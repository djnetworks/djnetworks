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OPDOWNS" sheetId="1" state="visible" r:id="rId1"/>
    <sheet xmlns:r="http://schemas.openxmlformats.org/officeDocument/2006/relationships" name="PRODUCT MASTER" sheetId="2" state="visible" r:id="rId2"/>
    <sheet xmlns:r="http://schemas.openxmlformats.org/officeDocument/2006/relationships" name="INVENTORY" sheetId="3" state="visible" r:id="rId3"/>
  </sheets>
  <definedNames>
    <definedName name="DD_Category">'DROPDOWNS'!$A$4:$A$403</definedName>
    <definedName name="DD_PairCategory">'DROPDOWNS'!$C$4:$C$403</definedName>
    <definedName name="DD_Subcategory">'DROPDOWNS'!$D$4:$D$403</definedName>
    <definedName name="DD_Brand">'DROPDOWNS'!$F$4:$F$403</definedName>
    <definedName name="DD_Condition">'DROPDOWNS'!$H$4:$H$403</definedName>
    <definedName name="DD_Status">'DROPDOWNS'!$J$4:$J$403</definedName>
    <definedName name="DD_Location">'DROPDOWNS'!$L$4:$L$403</definedName>
    <definedName name="DD_Ownership">'DROPDOWNS'!$N$4:$N$403</definedName>
    <definedName name="DD_YesNo">'DROPDOWNS'!$P$4:$P$403</definedName>
    <definedName name="PM_ID">'PRODUCT MASTER'!$A$4:$A$603</definedName>
    <definedName name="PM_Short">'PRODUCT MASTER'!$B$4:$B$603</definedName>
    <definedName name="PM_Category">'PRODUCT MASTER'!$C$4:$C$603</definedName>
    <definedName name="PM_Subcategory">'PRODUCT MASTER'!$D$4:$D$603</definedName>
    <definedName name="PM_Brand">'PRODUCT MASTER'!$E$4:$E$603</definedName>
    <definedName name="PM_Model">'PRODUCT MASTER'!$F$4:$F$603</definedName>
    <definedName name="PM_ModelNo">'PRODUCT MASTER'!$G$4:$G$603</definedName>
    <definedName name="PM_Description">'PRODUCT MASTER'!$H$4:$H$603</definedName>
    <definedName name="PM_Power">'PRODUCT MASTER'!$I$4:$I$603</definedName>
    <definedName name="PM_Weight">'PRODUCT MASTER'!$J$4:$J$603</definedName>
    <definedName name="PM_Dims">'PRODUCT MASTER'!$K$4:$K$603</definedName>
    <definedName name="PM_InCase">'PRODUCT MASTER'!$L$4:$L$603</definedName>
    <definedName name="PM_Deposit">'PRODUCT MASTER'!$M$4:$M$603</definedName>
    <definedName name="PM_D1">'PRODUCT MASTER'!$N$4:$N$603</definedName>
    <definedName name="PM_D2">'PRODUCT MASTER'!$O$4:$O$603</definedName>
    <definedName name="PM_D4">'PRODUCT MASTER'!$P$4:$P$603</definedName>
    <definedName name="PM_D8">'PRODUCT MASTER'!$Q$4:$Q$603</definedName>
    <definedName name="PM_Owned">'PRODUCT MASTER'!$R$4:$R$603</definedName>
    <definedName name="PM_Available">'PRODUCT MASTER'!$S$4:$S$603</definedName>
    <definedName name="PM_CatOK">'PRODUCT MASTER'!$T$4:$T$603</definedName>
    <definedName name="PM_Dupe">'PRODUCT MASTER'!$U$4:$U$603</definedName>
    <definedName name="PM_Notes">'PRODUCT MASTER'!$V$4:$V$603</definedName>
    <definedName name="INV_ID">'INVENTORY'!$A$4:$A$2003</definedName>
    <definedName name="INV_Product">'INVENTORY'!$B$4:$B$2003</definedName>
    <definedName name="INV_No">'INVENTORY'!$C$4:$C$2003</definedName>
    <definedName name="INV_Category">'INVENTORY'!$D$4:$D$2003</definedName>
    <definedName name="INV_Subcategory">'INVENTORY'!$E$4:$E$2003</definedName>
    <definedName name="INV_Brand">'INVENTORY'!$F$4:$F$2003</definedName>
    <definedName name="INV_Model">'INVENTORY'!$G$4:$G$2003</definedName>
    <definedName name="INV_Serial">'INVENTORY'!$H$4:$H$2003</definedName>
    <definedName name="INV_Bought">'INVENTORY'!$I$4:$I$2003</definedName>
    <definedName name="INV_Cost">'INVENTORY'!$J$4:$J$2003</definedName>
    <definedName name="INV_Condition">'INVENTORY'!$K$4:$K$2003</definedName>
    <definedName name="INV_Status">'INVENTORY'!$L$4:$L$2003</definedName>
    <definedName name="INV_Location">'INVENTORY'!$M$4:$M$2003</definedName>
    <definedName name="INV_Ownership">'INVENTORY'!$N$4:$N$2003</definedName>
    <definedName name="INV_Dupe">'INVENTORY'!$O$4:$O$2003</definedName>
    <definedName name="INV_Notes">'INVENTORY'!$P$4:$P$2003</definedName>
  </definedNames>
  <calcPr calcId="124519" fullCalcOnLoad="1"/>
</workbook>
</file>

<file path=xl/styles.xml><?xml version="1.0" encoding="utf-8"?>
<styleSheet xmlns="http://schemas.openxmlformats.org/spreadsheetml/2006/main">
  <numFmts count="2">
    <numFmt numFmtId="164" formatCode="&quot;₹&quot;#,##0"/>
    <numFmt numFmtId="165" formatCode="DD-MM-YYYY"/>
  </numFmts>
  <fonts count="6">
    <font>
      <name val="Calibri"/>
      <family val="2"/>
      <color theme="1"/>
      <sz val="11"/>
      <scheme val="minor"/>
    </font>
    <font>
      <name val="Arial"/>
      <b val="1"/>
      <color rgb="FF1F2937"/>
      <sz val="15"/>
    </font>
    <font>
      <name val="Arial"/>
      <i val="1"/>
      <color rgb="FF6B7280"/>
      <sz val="10"/>
    </font>
    <font>
      <name val="Arial"/>
      <b val="1"/>
      <color rgb="FFFFFFFF"/>
      <sz val="10"/>
    </font>
    <font>
      <name val="Arial"/>
      <i val="1"/>
      <color rgb="FF6B7280"/>
      <sz val="9"/>
    </font>
    <font>
      <name val="Arial"/>
      <color rgb="FF1F2937"/>
      <sz val="10"/>
    </font>
  </fonts>
  <fills count="5">
    <fill>
      <patternFill/>
    </fill>
    <fill>
      <patternFill patternType="gray125"/>
    </fill>
    <fill>
      <patternFill patternType="solid">
        <fgColor rgb="FF1F2937"/>
      </patternFill>
    </fill>
    <fill>
      <patternFill patternType="solid">
        <fgColor rgb="FFFFF7ED"/>
      </patternFill>
    </fill>
    <fill>
      <patternFill patternType="solid">
        <fgColor rgb="FFF8FAF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center" vertical="center"/>
    </xf>
    <xf numFmtId="0" fontId="5" fillId="3" borderId="0" pivotButton="0" quotePrefix="0" xfId="0"/>
    <xf numFmtId="0" fontId="0" fillId="3" borderId="0" pivotButton="0" quotePrefix="0" xfId="0"/>
    <xf numFmtId="0" fontId="3" fillId="2" borderId="0" applyAlignment="1" pivotButton="0" quotePrefix="0" xfId="0">
      <alignment horizontal="center" vertical="center" wrapText="1"/>
    </xf>
    <xf numFmtId="0" fontId="5" fillId="4" borderId="0" pivotButton="0" quotePrefix="0" xfId="0"/>
    <xf numFmtId="164" fontId="5" fillId="3" borderId="0" pivotButton="0" quotePrefix="0" xfId="0"/>
    <xf numFmtId="165" fontId="5" fillId="3" borderId="0" pivotButton="0" quotePrefix="0" xfId="0"/>
  </cellXfs>
  <cellStyles count="1">
    <cellStyle name="Normal" xfId="0" builtinId="0" hidden="0"/>
  </cellStyles>
  <dxfs count="4">
    <dxf>
      <fill>
        <patternFill patternType="solid">
          <fgColor rgb="FFFEE2E2"/>
        </patternFill>
      </fill>
    </dxf>
    <dxf>
      <fill>
        <patternFill patternType="solid">
          <fgColor rgb="FFFEF3C7"/>
        </patternFill>
      </fill>
    </dxf>
    <dxf>
      <fill>
        <patternFill patternType="solid">
          <fgColor rgb="FFDCFCE7"/>
        </patternFill>
      </fill>
    </dxf>
    <dxf>
      <fill>
        <patternFill patternType="solid">
          <fgColor rgb="FF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6B7280"/>
    <outlinePr summaryBelow="1" summaryRight="1"/>
    <pageSetUpPr/>
  </sheetPr>
  <dimension ref="A1:P408"/>
  <sheetViews>
    <sheetView showGridLines="0" workbookViewId="0">
      <pane ySplit="3" topLeftCell="A4" activePane="bottomLeft" state="frozen"/>
      <selection pane="bottomLeft" activeCell="A1" sqref="A1"/>
    </sheetView>
  </sheetViews>
  <sheetFormatPr baseColWidth="8" defaultRowHeight="15"/>
  <cols>
    <col width="26" customWidth="1" min="1" max="1"/>
    <col width="3" customWidth="1" min="2" max="2"/>
    <col width="26" customWidth="1" min="3" max="3"/>
    <col width="34" customWidth="1" min="4" max="4"/>
    <col width="3" customWidth="1" min="5" max="5"/>
    <col width="26" customWidth="1" min="6" max="6"/>
    <col width="3" customWidth="1" min="7" max="7"/>
    <col width="22" customWidth="1" min="8" max="8"/>
    <col width="3" customWidth="1" min="9" max="9"/>
    <col width="24" customWidth="1" min="10" max="10"/>
    <col width="3" customWidth="1" min="11" max="11"/>
    <col width="22" customWidth="1" min="12" max="12"/>
    <col width="3" customWidth="1" min="13" max="13"/>
    <col width="20" customWidth="1" min="14" max="14"/>
    <col width="3" customWidth="1" min="15" max="15"/>
    <col width="14" customWidth="1" min="16" max="16"/>
  </cols>
  <sheetData>
    <row r="1">
      <c r="A1" s="1" t="inlineStr">
        <is>
          <t>DROPDOWNS — every list the other two sheets choose from</t>
        </is>
      </c>
    </row>
    <row r="2">
      <c r="A2" s="2" t="inlineStr">
        <is>
          <t>Add a value to the bottom of any list and it appears in that dropdown straight away. Nothing to update, no formula to copy. Do not rename the headings — the named ranges are built on them.</t>
        </is>
      </c>
      <c r="C2" s="3" t="inlineStr">
        <is>
          <t>the pair table — a subcategory belongs to a category</t>
        </is>
      </c>
    </row>
    <row r="3" ht="30" customHeight="1">
      <c r="A3" s="4" t="inlineStr">
        <is>
          <t>Category</t>
        </is>
      </c>
      <c r="C3" s="4" t="inlineStr">
        <is>
          <t>Category</t>
        </is>
      </c>
      <c r="D3" s="4" t="inlineStr">
        <is>
          <t>Subcategory</t>
        </is>
      </c>
      <c r="F3" s="4" t="inlineStr">
        <is>
          <t>Brand</t>
        </is>
      </c>
      <c r="H3" s="4" t="inlineStr">
        <is>
          <t>Condition</t>
        </is>
      </c>
      <c r="J3" s="4" t="inlineStr">
        <is>
          <t>Status</t>
        </is>
      </c>
      <c r="L3" s="4" t="inlineStr">
        <is>
          <t>Location</t>
        </is>
      </c>
      <c r="N3" s="4" t="inlineStr">
        <is>
          <t>Owned / hired</t>
        </is>
      </c>
      <c r="P3" s="4" t="inlineStr">
        <is>
          <t>Yes / No</t>
        </is>
      </c>
    </row>
    <row r="4">
      <c r="A4" s="5" t="inlineStr">
        <is>
          <t>DJ</t>
        </is>
      </c>
      <c r="C4" s="5" t="inlineStr">
        <is>
          <t>DJ</t>
        </is>
      </c>
      <c r="D4" s="5" t="inlineStr">
        <is>
          <t>CD / USB player</t>
        </is>
      </c>
      <c r="F4" s="5" t="inlineStr">
        <is>
          <t>Pioneer DJ</t>
        </is>
      </c>
      <c r="H4" s="5" t="inlineStr">
        <is>
          <t>Good</t>
        </is>
      </c>
      <c r="J4" s="5" t="inlineStr">
        <is>
          <t>Available</t>
        </is>
      </c>
      <c r="L4" s="5" t="inlineStr">
        <is>
          <t>Main Store</t>
        </is>
      </c>
      <c r="N4" s="5" t="inlineStr">
        <is>
          <t>Owned</t>
        </is>
      </c>
      <c r="P4" s="5" t="inlineStr">
        <is>
          <t>Yes</t>
        </is>
      </c>
    </row>
    <row r="5">
      <c r="A5" s="5" t="inlineStr">
        <is>
          <t>Speaker</t>
        </is>
      </c>
      <c r="C5" s="5" t="inlineStr">
        <is>
          <t>DJ</t>
        </is>
      </c>
      <c r="D5" s="5" t="inlineStr">
        <is>
          <t>Turntable</t>
        </is>
      </c>
      <c r="F5" s="5" t="inlineStr">
        <is>
          <t>Denon DJ</t>
        </is>
      </c>
      <c r="H5" s="5" t="inlineStr">
        <is>
          <t>Minor wear</t>
        </is>
      </c>
      <c r="J5" s="5" t="inlineStr">
        <is>
          <t>Reserved</t>
        </is>
      </c>
      <c r="L5" s="5" t="inlineStr">
        <is>
          <t>Godown</t>
        </is>
      </c>
      <c r="N5" s="5" t="inlineStr">
        <is>
          <t>Sub-hired</t>
        </is>
      </c>
      <c r="P5" s="5" t="inlineStr">
        <is>
          <t>No</t>
        </is>
      </c>
    </row>
    <row r="6">
      <c r="A6" s="5" t="inlineStr">
        <is>
          <t>Amplifier</t>
        </is>
      </c>
      <c r="C6" s="5" t="inlineStr">
        <is>
          <t>DJ</t>
        </is>
      </c>
      <c r="D6" s="5" t="inlineStr">
        <is>
          <t>DJ mixer - 2 channel</t>
        </is>
      </c>
      <c r="F6" s="5" t="inlineStr">
        <is>
          <t>Numark</t>
        </is>
      </c>
      <c r="H6" s="5" t="inlineStr">
        <is>
          <t>Needs attention</t>
        </is>
      </c>
      <c r="J6" s="5" t="inlineStr">
        <is>
          <t>Out on rental</t>
        </is>
      </c>
      <c r="L6" s="5" t="inlineStr">
        <is>
          <t>Van 1</t>
        </is>
      </c>
      <c r="N6" s="5" t="inlineStr">
        <is>
          <t>On loan</t>
        </is>
      </c>
      <c r="P6" s="6" t="n"/>
    </row>
    <row r="7">
      <c r="A7" s="5" t="inlineStr">
        <is>
          <t>Mixer</t>
        </is>
      </c>
      <c r="C7" s="5" t="inlineStr">
        <is>
          <t>DJ</t>
        </is>
      </c>
      <c r="D7" s="5" t="inlineStr">
        <is>
          <t>DJ mixer - 4 channel</t>
        </is>
      </c>
      <c r="F7" s="5" t="inlineStr">
        <is>
          <t>Rane</t>
        </is>
      </c>
      <c r="H7" s="5" t="inlineStr">
        <is>
          <t>Damaged</t>
        </is>
      </c>
      <c r="J7" s="5" t="inlineStr">
        <is>
          <t>Inspection pending</t>
        </is>
      </c>
      <c r="L7" s="5" t="inlineStr">
        <is>
          <t>Van 2</t>
        </is>
      </c>
      <c r="N7" s="5" t="inlineStr">
        <is>
          <t>Sold</t>
        </is>
      </c>
      <c r="P7" s="6" t="n"/>
    </row>
    <row r="8">
      <c r="A8" s="5" t="inlineStr">
        <is>
          <t>Microphone</t>
        </is>
      </c>
      <c r="C8" s="5" t="inlineStr">
        <is>
          <t>DJ</t>
        </is>
      </c>
      <c r="D8" s="5" t="inlineStr">
        <is>
          <t>All-in-one controller</t>
        </is>
      </c>
      <c r="F8" s="5" t="inlineStr">
        <is>
          <t>Technics</t>
        </is>
      </c>
      <c r="H8" s="5" t="inlineStr">
        <is>
          <t>Not working</t>
        </is>
      </c>
      <c r="J8" s="5" t="inlineStr">
        <is>
          <t>In repair</t>
        </is>
      </c>
      <c r="L8" s="5" t="inlineStr">
        <is>
          <t>Workshop</t>
        </is>
      </c>
      <c r="N8" s="6" t="n"/>
      <c r="P8" s="6" t="n"/>
    </row>
    <row r="9">
      <c r="A9" s="5" t="inlineStr">
        <is>
          <t>Mic accessory</t>
        </is>
      </c>
      <c r="C9" s="5" t="inlineStr">
        <is>
          <t>DJ</t>
        </is>
      </c>
      <c r="D9" s="5" t="inlineStr">
        <is>
          <t>Pad / effects controller</t>
        </is>
      </c>
      <c r="F9" s="5" t="inlineStr">
        <is>
          <t>Allen &amp; Heath</t>
        </is>
      </c>
      <c r="H9" s="6" t="n"/>
      <c r="J9" s="5" t="inlineStr">
        <is>
          <t>Maintenance</t>
        </is>
      </c>
      <c r="L9" s="5" t="inlineStr">
        <is>
          <t>At a customer</t>
        </is>
      </c>
      <c r="N9" s="6" t="n"/>
      <c r="P9" s="6" t="n"/>
    </row>
    <row r="10">
      <c r="A10" s="5" t="inlineStr">
        <is>
          <t>Signal</t>
        </is>
      </c>
      <c r="C10" s="5" t="inlineStr">
        <is>
          <t>DJ</t>
        </is>
      </c>
      <c r="D10" s="5" t="inlineStr">
        <is>
          <t>DJ headphones</t>
        </is>
      </c>
      <c r="F10" s="5" t="inlineStr">
        <is>
          <t>Behringer</t>
        </is>
      </c>
      <c r="H10" s="6" t="n"/>
      <c r="J10" s="5" t="inlineStr">
        <is>
          <t>Damaged</t>
        </is>
      </c>
      <c r="L10" s="5" t="inlineStr">
        <is>
          <t>At a repair shop</t>
        </is>
      </c>
      <c r="N10" s="6" t="n"/>
      <c r="P10" s="6" t="n"/>
    </row>
    <row r="11">
      <c r="A11" s="5" t="inlineStr">
        <is>
          <t>Playback</t>
        </is>
      </c>
      <c r="C11" s="5" t="inlineStr">
        <is>
          <t>DJ</t>
        </is>
      </c>
      <c r="D11" s="5" t="inlineStr">
        <is>
          <t>Booth facade</t>
        </is>
      </c>
      <c r="F11" s="5" t="inlineStr">
        <is>
          <t>Yamaha</t>
        </is>
      </c>
      <c r="H11" s="6" t="n"/>
      <c r="J11" s="5" t="inlineStr">
        <is>
          <t>Lost</t>
        </is>
      </c>
      <c r="L11" s="5" t="inlineStr">
        <is>
          <t>Not recorded</t>
        </is>
      </c>
      <c r="N11" s="6" t="n"/>
      <c r="P11" s="6" t="n"/>
    </row>
    <row r="12">
      <c r="A12" s="5" t="inlineStr">
        <is>
          <t>Lighting - static</t>
        </is>
      </c>
      <c r="C12" s="5" t="inlineStr">
        <is>
          <t>DJ</t>
        </is>
      </c>
      <c r="D12" s="5" t="inlineStr">
        <is>
          <t>Laptop stand</t>
        </is>
      </c>
      <c r="F12" s="5" t="inlineStr">
        <is>
          <t>Mackie</t>
        </is>
      </c>
      <c r="H12" s="6" t="n"/>
      <c r="J12" s="5" t="inlineStr">
        <is>
          <t>Retired</t>
        </is>
      </c>
      <c r="L12" s="6" t="n"/>
      <c r="N12" s="6" t="n"/>
      <c r="P12" s="6" t="n"/>
    </row>
    <row r="13">
      <c r="A13" s="5" t="inlineStr">
        <is>
          <t>Lighting - moving</t>
        </is>
      </c>
      <c r="C13" s="5" t="inlineStr">
        <is>
          <t>DJ</t>
        </is>
      </c>
      <c r="D13" s="5" t="inlineStr">
        <is>
          <t>Rekordbox / USB drive</t>
        </is>
      </c>
      <c r="F13" s="5" t="inlineStr">
        <is>
          <t>Soundcraft</t>
        </is>
      </c>
      <c r="H13" s="6" t="n"/>
      <c r="J13" s="6" t="n"/>
      <c r="L13" s="6" t="n"/>
      <c r="N13" s="6" t="n"/>
      <c r="P13" s="6" t="n"/>
    </row>
    <row r="14">
      <c r="A14" s="5" t="inlineStr">
        <is>
          <t>Lighting - effect</t>
        </is>
      </c>
      <c r="C14" s="5" t="inlineStr">
        <is>
          <t>Speaker</t>
        </is>
      </c>
      <c r="D14" s="5" t="inlineStr">
        <is>
          <t>Top - full range 10"</t>
        </is>
      </c>
      <c r="F14" s="5" t="inlineStr">
        <is>
          <t>Midas</t>
        </is>
      </c>
      <c r="H14" s="6" t="n"/>
      <c r="J14" s="6" t="n"/>
      <c r="L14" s="6" t="n"/>
      <c r="N14" s="6" t="n"/>
      <c r="P14" s="6" t="n"/>
    </row>
    <row r="15">
      <c r="A15" s="5" t="inlineStr">
        <is>
          <t>Lighting - control</t>
        </is>
      </c>
      <c r="C15" s="5" t="inlineStr">
        <is>
          <t>Speaker</t>
        </is>
      </c>
      <c r="D15" s="5" t="inlineStr">
        <is>
          <t>Top - full range 12"</t>
        </is>
      </c>
      <c r="F15" s="5" t="inlineStr">
        <is>
          <t>JBL</t>
        </is>
      </c>
      <c r="H15" s="6" t="n"/>
      <c r="J15" s="6" t="n"/>
      <c r="L15" s="6" t="n"/>
      <c r="N15" s="6" t="n"/>
      <c r="P15" s="6" t="n"/>
    </row>
    <row r="16">
      <c r="A16" s="5" t="inlineStr">
        <is>
          <t>Visual</t>
        </is>
      </c>
      <c r="C16" s="5" t="inlineStr">
        <is>
          <t>Speaker</t>
        </is>
      </c>
      <c r="D16" s="5" t="inlineStr">
        <is>
          <t>Top - full range 15"</t>
        </is>
      </c>
      <c r="F16" s="5" t="inlineStr">
        <is>
          <t>RCF</t>
        </is>
      </c>
      <c r="H16" s="6" t="n"/>
      <c r="J16" s="6" t="n"/>
      <c r="L16" s="6" t="n"/>
      <c r="N16" s="6" t="n"/>
      <c r="P16" s="6" t="n"/>
    </row>
    <row r="17">
      <c r="A17" s="5" t="inlineStr">
        <is>
          <t>Effects</t>
        </is>
      </c>
      <c r="C17" s="5" t="inlineStr">
        <is>
          <t>Speaker</t>
        </is>
      </c>
      <c r="D17" s="5" t="inlineStr">
        <is>
          <t>Subwoofer 15"</t>
        </is>
      </c>
      <c r="F17" s="5" t="inlineStr">
        <is>
          <t>QSC</t>
        </is>
      </c>
      <c r="H17" s="6" t="n"/>
      <c r="J17" s="6" t="n"/>
      <c r="L17" s="6" t="n"/>
      <c r="N17" s="6" t="n"/>
      <c r="P17" s="6" t="n"/>
    </row>
    <row r="18">
      <c r="A18" s="5" t="inlineStr">
        <is>
          <t>Truss</t>
        </is>
      </c>
      <c r="C18" s="5" t="inlineStr">
        <is>
          <t>Speaker</t>
        </is>
      </c>
      <c r="D18" s="5" t="inlineStr">
        <is>
          <t>Subwoofer 18"</t>
        </is>
      </c>
      <c r="F18" s="5" t="inlineStr">
        <is>
          <t>Electro-Voice</t>
        </is>
      </c>
      <c r="H18" s="6" t="n"/>
      <c r="J18" s="6" t="n"/>
      <c r="L18" s="6" t="n"/>
      <c r="N18" s="6" t="n"/>
      <c r="P18" s="6" t="n"/>
    </row>
    <row r="19">
      <c r="A19" s="5" t="inlineStr">
        <is>
          <t>Stand &amp; rigging</t>
        </is>
      </c>
      <c r="C19" s="5" t="inlineStr">
        <is>
          <t>Speaker</t>
        </is>
      </c>
      <c r="D19" s="5" t="inlineStr">
        <is>
          <t>Subwoofer - double 18"</t>
        </is>
      </c>
      <c r="F19" s="5" t="inlineStr">
        <is>
          <t>dB Technologies</t>
        </is>
      </c>
      <c r="H19" s="6" t="n"/>
      <c r="J19" s="6" t="n"/>
      <c r="L19" s="6" t="n"/>
      <c r="N19" s="6" t="n"/>
      <c r="P19" s="6" t="n"/>
    </row>
    <row r="20">
      <c r="A20" s="5" t="inlineStr">
        <is>
          <t>Stage</t>
        </is>
      </c>
      <c r="C20" s="5" t="inlineStr">
        <is>
          <t>Speaker</t>
        </is>
      </c>
      <c r="D20" s="5" t="inlineStr">
        <is>
          <t>Line array cabinet</t>
        </is>
      </c>
      <c r="F20" s="5" t="inlineStr">
        <is>
          <t>Martin Audio</t>
        </is>
      </c>
      <c r="H20" s="6" t="n"/>
      <c r="J20" s="6" t="n"/>
      <c r="L20" s="6" t="n"/>
      <c r="N20" s="6" t="n"/>
      <c r="P20" s="6" t="n"/>
    </row>
    <row r="21">
      <c r="A21" s="5" t="inlineStr">
        <is>
          <t>Power</t>
        </is>
      </c>
      <c r="C21" s="5" t="inlineStr">
        <is>
          <t>Speaker</t>
        </is>
      </c>
      <c r="D21" s="5" t="inlineStr">
        <is>
          <t>Line array sub</t>
        </is>
      </c>
      <c r="F21" s="5" t="inlineStr">
        <is>
          <t>d&amp;b audiotechnik</t>
        </is>
      </c>
      <c r="H21" s="6" t="n"/>
      <c r="J21" s="6" t="n"/>
      <c r="L21" s="6" t="n"/>
      <c r="N21" s="6" t="n"/>
      <c r="P21" s="6" t="n"/>
    </row>
    <row r="22">
      <c r="A22" s="5" t="inlineStr">
        <is>
          <t>Cable</t>
        </is>
      </c>
      <c r="C22" s="5" t="inlineStr">
        <is>
          <t>Speaker</t>
        </is>
      </c>
      <c r="D22" s="5" t="inlineStr">
        <is>
          <t>Stage monitor / wedge</t>
        </is>
      </c>
      <c r="F22" s="5" t="inlineStr">
        <is>
          <t>L-Acoustics</t>
        </is>
      </c>
      <c r="H22" s="6" t="n"/>
      <c r="J22" s="6" t="n"/>
      <c r="L22" s="6" t="n"/>
      <c r="N22" s="6" t="n"/>
      <c r="P22" s="6" t="n"/>
    </row>
    <row r="23">
      <c r="A23" s="5" t="inlineStr">
        <is>
          <t>Backline - keys</t>
        </is>
      </c>
      <c r="C23" s="5" t="inlineStr">
        <is>
          <t>Speaker</t>
        </is>
      </c>
      <c r="D23" s="5" t="inlineStr">
        <is>
          <t>Column / pillar speaker</t>
        </is>
      </c>
      <c r="F23" s="5" t="inlineStr">
        <is>
          <t>Bose</t>
        </is>
      </c>
      <c r="H23" s="6" t="n"/>
      <c r="J23" s="6" t="n"/>
      <c r="L23" s="6" t="n"/>
      <c r="N23" s="6" t="n"/>
      <c r="P23" s="6" t="n"/>
    </row>
    <row r="24">
      <c r="A24" s="5" t="inlineStr">
        <is>
          <t>Backline - drums</t>
        </is>
      </c>
      <c r="C24" s="5" t="inlineStr">
        <is>
          <t>Speaker</t>
        </is>
      </c>
      <c r="D24" s="5" t="inlineStr">
        <is>
          <t>Coaxial / point source</t>
        </is>
      </c>
      <c r="F24" s="5" t="inlineStr">
        <is>
          <t>FBT</t>
        </is>
      </c>
      <c r="H24" s="6" t="n"/>
      <c r="J24" s="6" t="n"/>
      <c r="L24" s="6" t="n"/>
      <c r="N24" s="6" t="n"/>
      <c r="P24" s="6" t="n"/>
    </row>
    <row r="25">
      <c r="A25" s="5" t="inlineStr">
        <is>
          <t>Backline - guitar</t>
        </is>
      </c>
      <c r="C25" s="5" t="inlineStr">
        <is>
          <t>Speaker</t>
        </is>
      </c>
      <c r="D25" s="5" t="inlineStr">
        <is>
          <t>Passive cabinet</t>
        </is>
      </c>
      <c r="F25" s="5" t="inlineStr">
        <is>
          <t>Turbosound</t>
        </is>
      </c>
      <c r="H25" s="6" t="n"/>
      <c r="J25" s="6" t="n"/>
      <c r="L25" s="6" t="n"/>
      <c r="N25" s="6" t="n"/>
      <c r="P25" s="6" t="n"/>
    </row>
    <row r="26">
      <c r="A26" s="5" t="inlineStr">
        <is>
          <t>Backline - other</t>
        </is>
      </c>
      <c r="C26" s="5" t="inlineStr">
        <is>
          <t>Amplifier</t>
        </is>
      </c>
      <c r="D26" s="5" t="inlineStr">
        <is>
          <t>Power amplifier</t>
        </is>
      </c>
      <c r="F26" s="5" t="inlineStr">
        <is>
          <t>Crown</t>
        </is>
      </c>
      <c r="H26" s="6" t="n"/>
      <c r="J26" s="6" t="n"/>
      <c r="L26" s="6" t="n"/>
      <c r="N26" s="6" t="n"/>
      <c r="P26" s="6" t="n"/>
    </row>
    <row r="27">
      <c r="A27" s="5" t="inlineStr">
        <is>
          <t>Case &amp; transport</t>
        </is>
      </c>
      <c r="C27" s="5" t="inlineStr">
        <is>
          <t>Amplifier</t>
        </is>
      </c>
      <c r="D27" s="5" t="inlineStr">
        <is>
          <t>Speaker processor / DSP</t>
        </is>
      </c>
      <c r="F27" s="5" t="inlineStr">
        <is>
          <t>Lab.gruppen</t>
        </is>
      </c>
      <c r="H27" s="6" t="n"/>
      <c r="J27" s="6" t="n"/>
      <c r="L27" s="6" t="n"/>
      <c r="N27" s="6" t="n"/>
      <c r="P27" s="6" t="n"/>
    </row>
    <row r="28">
      <c r="A28" s="5" t="inlineStr">
        <is>
          <t>Consumable</t>
        </is>
      </c>
      <c r="C28" s="5" t="inlineStr">
        <is>
          <t>Amplifier</t>
        </is>
      </c>
      <c r="D28" s="5" t="inlineStr">
        <is>
          <t>Crossover</t>
        </is>
      </c>
      <c r="F28" s="5" t="inlineStr">
        <is>
          <t>Powersoft</t>
        </is>
      </c>
      <c r="H28" s="6" t="n"/>
      <c r="J28" s="6" t="n"/>
      <c r="L28" s="6" t="n"/>
      <c r="N28" s="6" t="n"/>
      <c r="P28" s="6" t="n"/>
    </row>
    <row r="29">
      <c r="A29" s="5" t="inlineStr">
        <is>
          <t>Tool &amp; spare</t>
        </is>
      </c>
      <c r="C29" s="5" t="inlineStr">
        <is>
          <t>Amplifier</t>
        </is>
      </c>
      <c r="D29" s="5" t="inlineStr">
        <is>
          <t>Rack case - amp</t>
        </is>
      </c>
      <c r="F29" s="5" t="inlineStr">
        <is>
          <t>Ahuja</t>
        </is>
      </c>
      <c r="H29" s="6" t="n"/>
      <c r="J29" s="6" t="n"/>
      <c r="L29" s="6" t="n"/>
      <c r="N29" s="6" t="n"/>
      <c r="P29" s="6" t="n"/>
    </row>
    <row r="30">
      <c r="A30" s="5" t="inlineStr">
        <is>
          <t>Other</t>
        </is>
      </c>
      <c r="C30" s="5" t="inlineStr">
        <is>
          <t>Mixer</t>
        </is>
      </c>
      <c r="D30" s="5" t="inlineStr">
        <is>
          <t>Analogue mixer - 8ch</t>
        </is>
      </c>
      <c r="F30" s="5" t="inlineStr">
        <is>
          <t>Studiomaster</t>
        </is>
      </c>
      <c r="H30" s="6" t="n"/>
      <c r="J30" s="6" t="n"/>
      <c r="L30" s="6" t="n"/>
      <c r="N30" s="6" t="n"/>
      <c r="P30" s="6" t="n"/>
    </row>
    <row r="31">
      <c r="A31" s="6" t="n"/>
      <c r="C31" s="5" t="inlineStr">
        <is>
          <t>Mixer</t>
        </is>
      </c>
      <c r="D31" s="5" t="inlineStr">
        <is>
          <t>Analogue mixer - 16ch</t>
        </is>
      </c>
      <c r="F31" s="5" t="inlineStr">
        <is>
          <t>Wharfedale</t>
        </is>
      </c>
      <c r="H31" s="6" t="n"/>
      <c r="J31" s="6" t="n"/>
      <c r="L31" s="6" t="n"/>
      <c r="N31" s="6" t="n"/>
      <c r="P31" s="6" t="n"/>
    </row>
    <row r="32">
      <c r="A32" s="6" t="n"/>
      <c r="C32" s="5" t="inlineStr">
        <is>
          <t>Mixer</t>
        </is>
      </c>
      <c r="D32" s="5" t="inlineStr">
        <is>
          <t>Analogue mixer - 24ch</t>
        </is>
      </c>
      <c r="F32" s="5" t="inlineStr">
        <is>
          <t>Shure</t>
        </is>
      </c>
      <c r="H32" s="6" t="n"/>
      <c r="J32" s="6" t="n"/>
      <c r="L32" s="6" t="n"/>
      <c r="N32" s="6" t="n"/>
      <c r="P32" s="6" t="n"/>
    </row>
    <row r="33">
      <c r="A33" s="6" t="n"/>
      <c r="C33" s="5" t="inlineStr">
        <is>
          <t>Mixer</t>
        </is>
      </c>
      <c r="D33" s="5" t="inlineStr">
        <is>
          <t>Digital mixing desk</t>
        </is>
      </c>
      <c r="F33" s="5" t="inlineStr">
        <is>
          <t>Sennheiser</t>
        </is>
      </c>
      <c r="H33" s="6" t="n"/>
      <c r="J33" s="6" t="n"/>
      <c r="L33" s="6" t="n"/>
      <c r="N33" s="6" t="n"/>
      <c r="P33" s="6" t="n"/>
    </row>
    <row r="34">
      <c r="A34" s="6" t="n"/>
      <c r="C34" s="5" t="inlineStr">
        <is>
          <t>Mixer</t>
        </is>
      </c>
      <c r="D34" s="5" t="inlineStr">
        <is>
          <t>Rack mixer</t>
        </is>
      </c>
      <c r="F34" s="5" t="inlineStr">
        <is>
          <t>AKG</t>
        </is>
      </c>
      <c r="H34" s="6" t="n"/>
      <c r="J34" s="6" t="n"/>
      <c r="L34" s="6" t="n"/>
      <c r="N34" s="6" t="n"/>
      <c r="P34" s="6" t="n"/>
    </row>
    <row r="35">
      <c r="A35" s="6" t="n"/>
      <c r="C35" s="5" t="inlineStr">
        <is>
          <t>Mixer</t>
        </is>
      </c>
      <c r="D35" s="5" t="inlineStr">
        <is>
          <t>Stage box / digital snake</t>
        </is>
      </c>
      <c r="F35" s="5" t="inlineStr">
        <is>
          <t>Audio-Technica</t>
        </is>
      </c>
      <c r="H35" s="6" t="n"/>
      <c r="J35" s="6" t="n"/>
      <c r="L35" s="6" t="n"/>
      <c r="N35" s="6" t="n"/>
      <c r="P35" s="6" t="n"/>
    </row>
    <row r="36">
      <c r="A36" s="6" t="n"/>
      <c r="C36" s="5" t="inlineStr">
        <is>
          <t>Microphone</t>
        </is>
      </c>
      <c r="D36" s="5" t="inlineStr">
        <is>
          <t>Wired dynamic</t>
        </is>
      </c>
      <c r="F36" s="5" t="inlineStr">
        <is>
          <t>Rode</t>
        </is>
      </c>
      <c r="H36" s="6" t="n"/>
      <c r="J36" s="6" t="n"/>
      <c r="L36" s="6" t="n"/>
      <c r="N36" s="6" t="n"/>
      <c r="P36" s="6" t="n"/>
    </row>
    <row r="37">
      <c r="A37" s="6" t="n"/>
      <c r="C37" s="5" t="inlineStr">
        <is>
          <t>Microphone</t>
        </is>
      </c>
      <c r="D37" s="5" t="inlineStr">
        <is>
          <t>Wired condenser</t>
        </is>
      </c>
      <c r="F37" s="5" t="inlineStr">
        <is>
          <t>Beyerdynamic</t>
        </is>
      </c>
      <c r="H37" s="6" t="n"/>
      <c r="J37" s="6" t="n"/>
      <c r="L37" s="6" t="n"/>
      <c r="N37" s="6" t="n"/>
      <c r="P37" s="6" t="n"/>
    </row>
    <row r="38">
      <c r="A38" s="6" t="n"/>
      <c r="C38" s="5" t="inlineStr">
        <is>
          <t>Microphone</t>
        </is>
      </c>
      <c r="D38" s="5" t="inlineStr">
        <is>
          <t>Instrument mic</t>
        </is>
      </c>
      <c r="F38" s="5" t="inlineStr">
        <is>
          <t>Chauvet</t>
        </is>
      </c>
      <c r="H38" s="6" t="n"/>
      <c r="J38" s="6" t="n"/>
      <c r="L38" s="6" t="n"/>
      <c r="N38" s="6" t="n"/>
      <c r="P38" s="6" t="n"/>
    </row>
    <row r="39">
      <c r="A39" s="6" t="n"/>
      <c r="C39" s="5" t="inlineStr">
        <is>
          <t>Microphone</t>
        </is>
      </c>
      <c r="D39" s="5" t="inlineStr">
        <is>
          <t>Shotgun mic</t>
        </is>
      </c>
      <c r="F39" s="5" t="inlineStr">
        <is>
          <t>ADJ / American DJ</t>
        </is>
      </c>
      <c r="H39" s="6" t="n"/>
      <c r="J39" s="6" t="n"/>
      <c r="L39" s="6" t="n"/>
      <c r="N39" s="6" t="n"/>
      <c r="P39" s="6" t="n"/>
    </row>
    <row r="40">
      <c r="A40" s="6" t="n"/>
      <c r="C40" s="5" t="inlineStr">
        <is>
          <t>Microphone</t>
        </is>
      </c>
      <c r="D40" s="5" t="inlineStr">
        <is>
          <t>Boundary / table mic</t>
        </is>
      </c>
      <c r="F40" s="5" t="inlineStr">
        <is>
          <t>Martin</t>
        </is>
      </c>
      <c r="H40" s="6" t="n"/>
      <c r="J40" s="6" t="n"/>
      <c r="L40" s="6" t="n"/>
      <c r="N40" s="6" t="n"/>
      <c r="P40" s="6" t="n"/>
    </row>
    <row r="41">
      <c r="A41" s="6" t="n"/>
      <c r="C41" s="5" t="inlineStr">
        <is>
          <t>Microphone</t>
        </is>
      </c>
      <c r="D41" s="5" t="inlineStr">
        <is>
          <t>Wireless handheld set</t>
        </is>
      </c>
      <c r="F41" s="5" t="inlineStr">
        <is>
          <t>Robe</t>
        </is>
      </c>
      <c r="H41" s="6" t="n"/>
      <c r="J41" s="6" t="n"/>
      <c r="L41" s="6" t="n"/>
      <c r="N41" s="6" t="n"/>
      <c r="P41" s="6" t="n"/>
    </row>
    <row r="42">
      <c r="A42" s="6" t="n"/>
      <c r="C42" s="5" t="inlineStr">
        <is>
          <t>Microphone</t>
        </is>
      </c>
      <c r="D42" s="5" t="inlineStr">
        <is>
          <t>Wireless lapel / collar set</t>
        </is>
      </c>
      <c r="F42" s="5" t="inlineStr">
        <is>
          <t>Clay Paky</t>
        </is>
      </c>
      <c r="H42" s="6" t="n"/>
      <c r="J42" s="6" t="n"/>
      <c r="L42" s="6" t="n"/>
      <c r="N42" s="6" t="n"/>
      <c r="P42" s="6" t="n"/>
    </row>
    <row r="43">
      <c r="A43" s="6" t="n"/>
      <c r="C43" s="5" t="inlineStr">
        <is>
          <t>Microphone</t>
        </is>
      </c>
      <c r="D43" s="5" t="inlineStr">
        <is>
          <t>Wireless headworn set</t>
        </is>
      </c>
      <c r="F43" s="5" t="inlineStr">
        <is>
          <t>Showtec</t>
        </is>
      </c>
      <c r="H43" s="6" t="n"/>
      <c r="J43" s="6" t="n"/>
      <c r="L43" s="6" t="n"/>
      <c r="N43" s="6" t="n"/>
      <c r="P43" s="6" t="n"/>
    </row>
    <row r="44">
      <c r="A44" s="6" t="n"/>
      <c r="C44" s="5" t="inlineStr">
        <is>
          <t>Microphone</t>
        </is>
      </c>
      <c r="D44" s="5" t="inlineStr">
        <is>
          <t>Wireless instrument set</t>
        </is>
      </c>
      <c r="F44" s="5" t="inlineStr">
        <is>
          <t>Ayrton</t>
        </is>
      </c>
      <c r="H44" s="6" t="n"/>
      <c r="J44" s="6" t="n"/>
      <c r="L44" s="6" t="n"/>
      <c r="N44" s="6" t="n"/>
      <c r="P44" s="6" t="n"/>
    </row>
    <row r="45">
      <c r="A45" s="6" t="n"/>
      <c r="C45" s="5" t="inlineStr">
        <is>
          <t>Microphone</t>
        </is>
      </c>
      <c r="D45" s="5" t="inlineStr">
        <is>
          <t>Antenna / booster</t>
        </is>
      </c>
      <c r="F45" s="5" t="inlineStr">
        <is>
          <t>Elation</t>
        </is>
      </c>
      <c r="H45" s="6" t="n"/>
      <c r="J45" s="6" t="n"/>
      <c r="L45" s="6" t="n"/>
      <c r="N45" s="6" t="n"/>
      <c r="P45" s="6" t="n"/>
    </row>
    <row r="46">
      <c r="A46" s="6" t="n"/>
      <c r="C46" s="5" t="inlineStr">
        <is>
          <t>Mic accessory</t>
        </is>
      </c>
      <c r="D46" s="5" t="inlineStr">
        <is>
          <t>Boom stand</t>
        </is>
      </c>
      <c r="F46" s="5" t="inlineStr">
        <is>
          <t>Antari</t>
        </is>
      </c>
      <c r="H46" s="6" t="n"/>
      <c r="J46" s="6" t="n"/>
      <c r="L46" s="6" t="n"/>
      <c r="N46" s="6" t="n"/>
      <c r="P46" s="6" t="n"/>
    </row>
    <row r="47">
      <c r="A47" s="6" t="n"/>
      <c r="C47" s="5" t="inlineStr">
        <is>
          <t>Mic accessory</t>
        </is>
      </c>
      <c r="D47" s="5" t="inlineStr">
        <is>
          <t>Straight stand</t>
        </is>
      </c>
      <c r="F47" s="5" t="inlineStr">
        <is>
          <t>Look Solutions</t>
        </is>
      </c>
      <c r="H47" s="6" t="n"/>
      <c r="J47" s="6" t="n"/>
      <c r="L47" s="6" t="n"/>
      <c r="N47" s="6" t="n"/>
      <c r="P47" s="6" t="n"/>
    </row>
    <row r="48">
      <c r="A48" s="6" t="n"/>
      <c r="C48" s="5" t="inlineStr">
        <is>
          <t>Mic accessory</t>
        </is>
      </c>
      <c r="D48" s="5" t="inlineStr">
        <is>
          <t>Short / desk stand</t>
        </is>
      </c>
      <c r="F48" s="5" t="inlineStr">
        <is>
          <t>Le Maitre</t>
        </is>
      </c>
      <c r="H48" s="6" t="n"/>
      <c r="J48" s="6" t="n"/>
      <c r="L48" s="6" t="n"/>
      <c r="N48" s="6" t="n"/>
      <c r="P48" s="6" t="n"/>
    </row>
    <row r="49">
      <c r="A49" s="6" t="n"/>
      <c r="C49" s="5" t="inlineStr">
        <is>
          <t>Mic accessory</t>
        </is>
      </c>
      <c r="D49" s="5" t="inlineStr">
        <is>
          <t>Mic clip</t>
        </is>
      </c>
      <c r="F49" s="5" t="inlineStr">
        <is>
          <t>Global Truss</t>
        </is>
      </c>
      <c r="H49" s="6" t="n"/>
      <c r="J49" s="6" t="n"/>
      <c r="L49" s="6" t="n"/>
      <c r="N49" s="6" t="n"/>
      <c r="P49" s="6" t="n"/>
    </row>
    <row r="50">
      <c r="A50" s="6" t="n"/>
      <c r="C50" s="5" t="inlineStr">
        <is>
          <t>Mic accessory</t>
        </is>
      </c>
      <c r="D50" s="5" t="inlineStr">
        <is>
          <t>Pop filter</t>
        </is>
      </c>
      <c r="F50" s="5" t="inlineStr">
        <is>
          <t>Prolyte</t>
        </is>
      </c>
      <c r="H50" s="6" t="n"/>
      <c r="J50" s="6" t="n"/>
      <c r="L50" s="6" t="n"/>
      <c r="N50" s="6" t="n"/>
      <c r="P50" s="6" t="n"/>
    </row>
    <row r="51">
      <c r="A51" s="6" t="n"/>
      <c r="C51" s="5" t="inlineStr">
        <is>
          <t>Mic accessory</t>
        </is>
      </c>
      <c r="D51" s="5" t="inlineStr">
        <is>
          <t>Windscreen</t>
        </is>
      </c>
      <c r="F51" s="5" t="inlineStr">
        <is>
          <t>Milos</t>
        </is>
      </c>
      <c r="H51" s="6" t="n"/>
      <c r="J51" s="6" t="n"/>
      <c r="L51" s="6" t="n"/>
      <c r="N51" s="6" t="n"/>
      <c r="P51" s="6" t="n"/>
    </row>
    <row r="52">
      <c r="A52" s="6" t="n"/>
      <c r="C52" s="5" t="inlineStr">
        <is>
          <t>Mic accessory</t>
        </is>
      </c>
      <c r="D52" s="5" t="inlineStr">
        <is>
          <t>Gooseneck</t>
        </is>
      </c>
      <c r="F52" s="5" t="inlineStr">
        <is>
          <t>Roland</t>
        </is>
      </c>
      <c r="H52" s="6" t="n"/>
      <c r="J52" s="6" t="n"/>
      <c r="L52" s="6" t="n"/>
      <c r="N52" s="6" t="n"/>
      <c r="P52" s="6" t="n"/>
    </row>
    <row r="53">
      <c r="A53" s="6" t="n"/>
      <c r="C53" s="5" t="inlineStr">
        <is>
          <t>Signal</t>
        </is>
      </c>
      <c r="D53" s="5" t="inlineStr">
        <is>
          <t>DI box - active</t>
        </is>
      </c>
      <c r="F53" s="5" t="inlineStr">
        <is>
          <t>Korg</t>
        </is>
      </c>
      <c r="H53" s="6" t="n"/>
      <c r="J53" s="6" t="n"/>
      <c r="L53" s="6" t="n"/>
      <c r="N53" s="6" t="n"/>
      <c r="P53" s="6" t="n"/>
    </row>
    <row r="54">
      <c r="A54" s="6" t="n"/>
      <c r="C54" s="5" t="inlineStr">
        <is>
          <t>Signal</t>
        </is>
      </c>
      <c r="D54" s="5" t="inlineStr">
        <is>
          <t>DI box - passive</t>
        </is>
      </c>
      <c r="F54" s="5" t="inlineStr">
        <is>
          <t>Nord</t>
        </is>
      </c>
      <c r="H54" s="6" t="n"/>
      <c r="J54" s="6" t="n"/>
      <c r="L54" s="6" t="n"/>
      <c r="N54" s="6" t="n"/>
      <c r="P54" s="6" t="n"/>
    </row>
    <row r="55">
      <c r="A55" s="6" t="n"/>
      <c r="C55" s="5" t="inlineStr">
        <is>
          <t>Signal</t>
        </is>
      </c>
      <c r="D55" s="5" t="inlineStr">
        <is>
          <t>Splitter</t>
        </is>
      </c>
      <c r="F55" s="5" t="inlineStr">
        <is>
          <t>Casio</t>
        </is>
      </c>
      <c r="H55" s="6" t="n"/>
      <c r="J55" s="6" t="n"/>
      <c r="L55" s="6" t="n"/>
      <c r="N55" s="6" t="n"/>
      <c r="P55" s="6" t="n"/>
    </row>
    <row r="56">
      <c r="A56" s="6" t="n"/>
      <c r="C56" s="5" t="inlineStr">
        <is>
          <t>Signal</t>
        </is>
      </c>
      <c r="D56" s="5" t="inlineStr">
        <is>
          <t>Isolator</t>
        </is>
      </c>
      <c r="F56" s="5" t="inlineStr">
        <is>
          <t>Kurzweil</t>
        </is>
      </c>
      <c r="H56" s="6" t="n"/>
      <c r="J56" s="6" t="n"/>
      <c r="L56" s="6" t="n"/>
      <c r="N56" s="6" t="n"/>
      <c r="P56" s="6" t="n"/>
    </row>
    <row r="57">
      <c r="A57" s="6" t="n"/>
      <c r="C57" s="5" t="inlineStr">
        <is>
          <t>Signal</t>
        </is>
      </c>
      <c r="D57" s="5" t="inlineStr">
        <is>
          <t>Multicore snake</t>
        </is>
      </c>
      <c r="F57" s="5" t="inlineStr">
        <is>
          <t>Fender</t>
        </is>
      </c>
      <c r="H57" s="6" t="n"/>
      <c r="J57" s="6" t="n"/>
      <c r="L57" s="6" t="n"/>
      <c r="N57" s="6" t="n"/>
      <c r="P57" s="6" t="n"/>
    </row>
    <row r="58">
      <c r="A58" s="6" t="n"/>
      <c r="C58" s="5" t="inlineStr">
        <is>
          <t>Signal</t>
        </is>
      </c>
      <c r="D58" s="5" t="inlineStr">
        <is>
          <t>Patch panel</t>
        </is>
      </c>
      <c r="F58" s="5" t="inlineStr">
        <is>
          <t>Gibson</t>
        </is>
      </c>
      <c r="H58" s="6" t="n"/>
      <c r="J58" s="6" t="n"/>
      <c r="L58" s="6" t="n"/>
      <c r="N58" s="6" t="n"/>
      <c r="P58" s="6" t="n"/>
    </row>
    <row r="59">
      <c r="A59" s="6" t="n"/>
      <c r="C59" s="5" t="inlineStr">
        <is>
          <t>Playback</t>
        </is>
      </c>
      <c r="D59" s="5" t="inlineStr">
        <is>
          <t>Media player</t>
        </is>
      </c>
      <c r="F59" s="5" t="inlineStr">
        <is>
          <t>Ibanez</t>
        </is>
      </c>
      <c r="H59" s="6" t="n"/>
      <c r="J59" s="6" t="n"/>
      <c r="L59" s="6" t="n"/>
      <c r="N59" s="6" t="n"/>
      <c r="P59" s="6" t="n"/>
    </row>
    <row r="60">
      <c r="A60" s="6" t="n"/>
      <c r="C60" s="5" t="inlineStr">
        <is>
          <t>Playback</t>
        </is>
      </c>
      <c r="D60" s="5" t="inlineStr">
        <is>
          <t>Audio interface</t>
        </is>
      </c>
      <c r="F60" s="5" t="inlineStr">
        <is>
          <t>Tama</t>
        </is>
      </c>
      <c r="H60" s="6" t="n"/>
      <c r="J60" s="6" t="n"/>
      <c r="L60" s="6" t="n"/>
      <c r="N60" s="6" t="n"/>
      <c r="P60" s="6" t="n"/>
    </row>
    <row r="61">
      <c r="A61" s="6" t="n"/>
      <c r="C61" s="5" t="inlineStr">
        <is>
          <t>Playback</t>
        </is>
      </c>
      <c r="D61" s="5" t="inlineStr">
        <is>
          <t>Laptop</t>
        </is>
      </c>
      <c r="F61" s="5" t="inlineStr">
        <is>
          <t>Pearl</t>
        </is>
      </c>
      <c r="H61" s="6" t="n"/>
      <c r="J61" s="6" t="n"/>
      <c r="L61" s="6" t="n"/>
      <c r="N61" s="6" t="n"/>
      <c r="P61" s="6" t="n"/>
    </row>
    <row r="62">
      <c r="A62" s="6" t="n"/>
      <c r="C62" s="5" t="inlineStr">
        <is>
          <t>Playback</t>
        </is>
      </c>
      <c r="D62" s="5" t="inlineStr">
        <is>
          <t>Tablet</t>
        </is>
      </c>
      <c r="F62" s="5" t="inlineStr">
        <is>
          <t>Mapex</t>
        </is>
      </c>
      <c r="H62" s="6" t="n"/>
      <c r="J62" s="6" t="n"/>
      <c r="L62" s="6" t="n"/>
      <c r="N62" s="6" t="n"/>
      <c r="P62" s="6" t="n"/>
    </row>
    <row r="63">
      <c r="A63" s="6" t="n"/>
      <c r="C63" s="5" t="inlineStr">
        <is>
          <t>Playback</t>
        </is>
      </c>
      <c r="D63" s="5" t="inlineStr">
        <is>
          <t>CD player</t>
        </is>
      </c>
      <c r="F63" s="5" t="inlineStr">
        <is>
          <t>Zildjian</t>
        </is>
      </c>
      <c r="H63" s="6" t="n"/>
      <c r="J63" s="6" t="n"/>
      <c r="L63" s="6" t="n"/>
      <c r="N63" s="6" t="n"/>
      <c r="P63" s="6" t="n"/>
    </row>
    <row r="64">
      <c r="A64" s="6" t="n"/>
      <c r="C64" s="5" t="inlineStr">
        <is>
          <t>Lighting - static</t>
        </is>
      </c>
      <c r="D64" s="5" t="inlineStr">
        <is>
          <t>LED par can</t>
        </is>
      </c>
      <c r="F64" s="5" t="inlineStr">
        <is>
          <t>Sabian</t>
        </is>
      </c>
      <c r="H64" s="6" t="n"/>
      <c r="J64" s="6" t="n"/>
      <c r="L64" s="6" t="n"/>
      <c r="N64" s="6" t="n"/>
      <c r="P64" s="6" t="n"/>
    </row>
    <row r="65">
      <c r="A65" s="6" t="n"/>
      <c r="C65" s="5" t="inlineStr">
        <is>
          <t>Lighting - static</t>
        </is>
      </c>
      <c r="D65" s="5" t="inlineStr">
        <is>
          <t>Wash light</t>
        </is>
      </c>
      <c r="F65" s="5" t="inlineStr">
        <is>
          <t>Paiste</t>
        </is>
      </c>
      <c r="H65" s="6" t="n"/>
      <c r="J65" s="6" t="n"/>
      <c r="L65" s="6" t="n"/>
      <c r="N65" s="6" t="n"/>
      <c r="P65" s="6" t="n"/>
    </row>
    <row r="66">
      <c r="A66" s="6" t="n"/>
      <c r="C66" s="5" t="inlineStr">
        <is>
          <t>Lighting - static</t>
        </is>
      </c>
      <c r="D66" s="5" t="inlineStr">
        <is>
          <t>Flood / city colour</t>
        </is>
      </c>
      <c r="F66" s="5" t="inlineStr">
        <is>
          <t>Sony</t>
        </is>
      </c>
      <c r="H66" s="6" t="n"/>
      <c r="J66" s="6" t="n"/>
      <c r="L66" s="6" t="n"/>
      <c r="N66" s="6" t="n"/>
      <c r="P66" s="6" t="n"/>
    </row>
    <row r="67">
      <c r="A67" s="6" t="n"/>
      <c r="C67" s="5" t="inlineStr">
        <is>
          <t>Lighting - static</t>
        </is>
      </c>
      <c r="D67" s="5" t="inlineStr">
        <is>
          <t>Blinder</t>
        </is>
      </c>
      <c r="F67" s="5" t="inlineStr">
        <is>
          <t>Epson</t>
        </is>
      </c>
      <c r="H67" s="6" t="n"/>
      <c r="J67" s="6" t="n"/>
      <c r="L67" s="6" t="n"/>
      <c r="N67" s="6" t="n"/>
      <c r="P67" s="6" t="n"/>
    </row>
    <row r="68">
      <c r="A68" s="6" t="n"/>
      <c r="C68" s="5" t="inlineStr">
        <is>
          <t>Lighting - static</t>
        </is>
      </c>
      <c r="D68" s="5" t="inlineStr">
        <is>
          <t>Strobe</t>
        </is>
      </c>
      <c r="F68" s="5" t="inlineStr">
        <is>
          <t>BenQ</t>
        </is>
      </c>
      <c r="H68" s="6" t="n"/>
      <c r="J68" s="6" t="n"/>
      <c r="L68" s="6" t="n"/>
      <c r="N68" s="6" t="n"/>
      <c r="P68" s="6" t="n"/>
    </row>
    <row r="69">
      <c r="A69" s="6" t="n"/>
      <c r="C69" s="5" t="inlineStr">
        <is>
          <t>Lighting - static</t>
        </is>
      </c>
      <c r="D69" s="5" t="inlineStr">
        <is>
          <t>Pixel bar / batten</t>
        </is>
      </c>
      <c r="F69" s="5" t="inlineStr">
        <is>
          <t>Generic / local</t>
        </is>
      </c>
      <c r="H69" s="6" t="n"/>
      <c r="J69" s="6" t="n"/>
      <c r="L69" s="6" t="n"/>
      <c r="N69" s="6" t="n"/>
      <c r="P69" s="6" t="n"/>
    </row>
    <row r="70">
      <c r="A70" s="6" t="n"/>
      <c r="C70" s="5" t="inlineStr">
        <is>
          <t>Lighting - static</t>
        </is>
      </c>
      <c r="D70" s="5" t="inlineStr">
        <is>
          <t>Profile / theatre spot</t>
        </is>
      </c>
      <c r="F70" s="5" t="inlineStr">
        <is>
          <t>Unbranded</t>
        </is>
      </c>
      <c r="H70" s="6" t="n"/>
      <c r="J70" s="6" t="n"/>
      <c r="L70" s="6" t="n"/>
      <c r="N70" s="6" t="n"/>
      <c r="P70" s="6" t="n"/>
    </row>
    <row r="71">
      <c r="A71" s="6" t="n"/>
      <c r="C71" s="5" t="inlineStr">
        <is>
          <t>Lighting - static</t>
        </is>
      </c>
      <c r="D71" s="5" t="inlineStr">
        <is>
          <t>Fresnel</t>
        </is>
      </c>
      <c r="F71" s="5" t="inlineStr">
        <is>
          <t>Other</t>
        </is>
      </c>
      <c r="H71" s="6" t="n"/>
      <c r="J71" s="6" t="n"/>
      <c r="L71" s="6" t="n"/>
      <c r="N71" s="6" t="n"/>
      <c r="P71" s="6" t="n"/>
    </row>
    <row r="72">
      <c r="A72" s="6" t="n"/>
      <c r="C72" s="5" t="inlineStr">
        <is>
          <t>Lighting - moving</t>
        </is>
      </c>
      <c r="D72" s="5" t="inlineStr">
        <is>
          <t>Moving head - spot</t>
        </is>
      </c>
      <c r="F72" s="6" t="n"/>
      <c r="H72" s="6" t="n"/>
      <c r="J72" s="6" t="n"/>
      <c r="L72" s="6" t="n"/>
      <c r="N72" s="6" t="n"/>
      <c r="P72" s="6" t="n"/>
    </row>
    <row r="73">
      <c r="A73" s="6" t="n"/>
      <c r="C73" s="5" t="inlineStr">
        <is>
          <t>Lighting - moving</t>
        </is>
      </c>
      <c r="D73" s="5" t="inlineStr">
        <is>
          <t>Moving head - beam / sharpy</t>
        </is>
      </c>
      <c r="F73" s="6" t="n"/>
      <c r="H73" s="6" t="n"/>
      <c r="J73" s="6" t="n"/>
      <c r="L73" s="6" t="n"/>
      <c r="N73" s="6" t="n"/>
      <c r="P73" s="6" t="n"/>
    </row>
    <row r="74">
      <c r="A74" s="6" t="n"/>
      <c r="C74" s="5" t="inlineStr">
        <is>
          <t>Lighting - moving</t>
        </is>
      </c>
      <c r="D74" s="5" t="inlineStr">
        <is>
          <t>Moving head - wash</t>
        </is>
      </c>
      <c r="F74" s="6" t="n"/>
      <c r="H74" s="6" t="n"/>
      <c r="J74" s="6" t="n"/>
      <c r="L74" s="6" t="n"/>
      <c r="N74" s="6" t="n"/>
      <c r="P74" s="6" t="n"/>
    </row>
    <row r="75">
      <c r="A75" s="6" t="n"/>
      <c r="C75" s="5" t="inlineStr">
        <is>
          <t>Lighting - moving</t>
        </is>
      </c>
      <c r="D75" s="5" t="inlineStr">
        <is>
          <t>Moving head - hybrid</t>
        </is>
      </c>
      <c r="F75" s="6" t="n"/>
      <c r="H75" s="6" t="n"/>
      <c r="J75" s="6" t="n"/>
      <c r="L75" s="6" t="n"/>
      <c r="N75" s="6" t="n"/>
      <c r="P75" s="6" t="n"/>
    </row>
    <row r="76">
      <c r="A76" s="6" t="n"/>
      <c r="C76" s="5" t="inlineStr">
        <is>
          <t>Lighting - moving</t>
        </is>
      </c>
      <c r="D76" s="5" t="inlineStr">
        <is>
          <t>Scanner</t>
        </is>
      </c>
      <c r="F76" s="6" t="n"/>
      <c r="H76" s="6" t="n"/>
      <c r="J76" s="6" t="n"/>
      <c r="L76" s="6" t="n"/>
      <c r="N76" s="6" t="n"/>
      <c r="P76" s="6" t="n"/>
    </row>
    <row r="77">
      <c r="A77" s="6" t="n"/>
      <c r="C77" s="5" t="inlineStr">
        <is>
          <t>Lighting - moving</t>
        </is>
      </c>
      <c r="D77" s="5" t="inlineStr">
        <is>
          <t>Follow spot</t>
        </is>
      </c>
      <c r="F77" s="6" t="n"/>
      <c r="H77" s="6" t="n"/>
      <c r="J77" s="6" t="n"/>
      <c r="L77" s="6" t="n"/>
      <c r="N77" s="6" t="n"/>
      <c r="P77" s="6" t="n"/>
    </row>
    <row r="78">
      <c r="A78" s="6" t="n"/>
      <c r="C78" s="5" t="inlineStr">
        <is>
          <t>Lighting - effect</t>
        </is>
      </c>
      <c r="D78" s="5" t="inlineStr">
        <is>
          <t>Derby / party effect</t>
        </is>
      </c>
      <c r="F78" s="6" t="n"/>
      <c r="H78" s="6" t="n"/>
      <c r="J78" s="6" t="n"/>
      <c r="L78" s="6" t="n"/>
      <c r="N78" s="6" t="n"/>
      <c r="P78" s="6" t="n"/>
    </row>
    <row r="79">
      <c r="A79" s="6" t="n"/>
      <c r="C79" s="5" t="inlineStr">
        <is>
          <t>Lighting - effect</t>
        </is>
      </c>
      <c r="D79" s="5" t="inlineStr">
        <is>
          <t>Laser</t>
        </is>
      </c>
      <c r="F79" s="6" t="n"/>
      <c r="H79" s="6" t="n"/>
      <c r="J79" s="6" t="n"/>
      <c r="L79" s="6" t="n"/>
      <c r="N79" s="6" t="n"/>
      <c r="P79" s="6" t="n"/>
    </row>
    <row r="80">
      <c r="A80" s="6" t="n"/>
      <c r="C80" s="5" t="inlineStr">
        <is>
          <t>Lighting - effect</t>
        </is>
      </c>
      <c r="D80" s="5" t="inlineStr">
        <is>
          <t>Mirror ball</t>
        </is>
      </c>
      <c r="F80" s="6" t="n"/>
      <c r="H80" s="6" t="n"/>
      <c r="J80" s="6" t="n"/>
      <c r="L80" s="6" t="n"/>
      <c r="N80" s="6" t="n"/>
      <c r="P80" s="6" t="n"/>
    </row>
    <row r="81">
      <c r="A81" s="6" t="n"/>
      <c r="C81" s="5" t="inlineStr">
        <is>
          <t>Lighting - effect</t>
        </is>
      </c>
      <c r="D81" s="5" t="inlineStr">
        <is>
          <t>Mirror ball motor</t>
        </is>
      </c>
      <c r="F81" s="6" t="n"/>
      <c r="H81" s="6" t="n"/>
      <c r="J81" s="6" t="n"/>
      <c r="L81" s="6" t="n"/>
      <c r="N81" s="6" t="n"/>
      <c r="P81" s="6" t="n"/>
    </row>
    <row r="82">
      <c r="A82" s="6" t="n"/>
      <c r="C82" s="5" t="inlineStr">
        <is>
          <t>Lighting - effect</t>
        </is>
      </c>
      <c r="D82" s="5" t="inlineStr">
        <is>
          <t>UV / blacklight</t>
        </is>
      </c>
      <c r="F82" s="6" t="n"/>
      <c r="H82" s="6" t="n"/>
      <c r="J82" s="6" t="n"/>
      <c r="L82" s="6" t="n"/>
      <c r="N82" s="6" t="n"/>
      <c r="P82" s="6" t="n"/>
    </row>
    <row r="83">
      <c r="A83" s="6" t="n"/>
      <c r="C83" s="5" t="inlineStr">
        <is>
          <t>Lighting - control</t>
        </is>
      </c>
      <c r="D83" s="5" t="inlineStr">
        <is>
          <t>Lighting console</t>
        </is>
      </c>
      <c r="F83" s="6" t="n"/>
      <c r="H83" s="6" t="n"/>
      <c r="J83" s="6" t="n"/>
      <c r="L83" s="6" t="n"/>
      <c r="N83" s="6" t="n"/>
      <c r="P83" s="6" t="n"/>
    </row>
    <row r="84">
      <c r="A84" s="6" t="n"/>
      <c r="C84" s="5" t="inlineStr">
        <is>
          <t>Lighting - control</t>
        </is>
      </c>
      <c r="D84" s="5" t="inlineStr">
        <is>
          <t>DMX splitter</t>
        </is>
      </c>
      <c r="F84" s="6" t="n"/>
      <c r="H84" s="6" t="n"/>
      <c r="J84" s="6" t="n"/>
      <c r="L84" s="6" t="n"/>
      <c r="N84" s="6" t="n"/>
      <c r="P84" s="6" t="n"/>
    </row>
    <row r="85">
      <c r="A85" s="6" t="n"/>
      <c r="C85" s="5" t="inlineStr">
        <is>
          <t>Lighting - control</t>
        </is>
      </c>
      <c r="D85" s="5" t="inlineStr">
        <is>
          <t>Dimmer pack</t>
        </is>
      </c>
      <c r="F85" s="6" t="n"/>
      <c r="H85" s="6" t="n"/>
      <c r="J85" s="6" t="n"/>
      <c r="L85" s="6" t="n"/>
      <c r="N85" s="6" t="n"/>
      <c r="P85" s="6" t="n"/>
    </row>
    <row r="86">
      <c r="A86" s="6" t="n"/>
      <c r="C86" s="5" t="inlineStr">
        <is>
          <t>Lighting - control</t>
        </is>
      </c>
      <c r="D86" s="5" t="inlineStr">
        <is>
          <t>Wireless DMX</t>
        </is>
      </c>
      <c r="F86" s="6" t="n"/>
      <c r="H86" s="6" t="n"/>
      <c r="J86" s="6" t="n"/>
      <c r="L86" s="6" t="n"/>
      <c r="N86" s="6" t="n"/>
      <c r="P86" s="6" t="n"/>
    </row>
    <row r="87">
      <c r="A87" s="6" t="n"/>
      <c r="C87" s="5" t="inlineStr">
        <is>
          <t>Lighting - control</t>
        </is>
      </c>
      <c r="D87" s="5" t="inlineStr">
        <is>
          <t>Hazer controller</t>
        </is>
      </c>
      <c r="F87" s="6" t="n"/>
      <c r="H87" s="6" t="n"/>
      <c r="J87" s="6" t="n"/>
      <c r="L87" s="6" t="n"/>
      <c r="N87" s="6" t="n"/>
      <c r="P87" s="6" t="n"/>
    </row>
    <row r="88">
      <c r="A88" s="6" t="n"/>
      <c r="C88" s="5" t="inlineStr">
        <is>
          <t>Lighting - control</t>
        </is>
      </c>
      <c r="D88" s="5" t="inlineStr">
        <is>
          <t>Switch pack</t>
        </is>
      </c>
      <c r="F88" s="6" t="n"/>
      <c r="H88" s="6" t="n"/>
      <c r="J88" s="6" t="n"/>
      <c r="L88" s="6" t="n"/>
      <c r="N88" s="6" t="n"/>
      <c r="P88" s="6" t="n"/>
    </row>
    <row r="89">
      <c r="A89" s="6" t="n"/>
      <c r="C89" s="5" t="inlineStr">
        <is>
          <t>Visual</t>
        </is>
      </c>
      <c r="D89" s="5" t="inlineStr">
        <is>
          <t>LED wall panel</t>
        </is>
      </c>
      <c r="F89" s="6" t="n"/>
      <c r="H89" s="6" t="n"/>
      <c r="J89" s="6" t="n"/>
      <c r="L89" s="6" t="n"/>
      <c r="N89" s="6" t="n"/>
      <c r="P89" s="6" t="n"/>
    </row>
    <row r="90">
      <c r="A90" s="6" t="n"/>
      <c r="C90" s="5" t="inlineStr">
        <is>
          <t>Visual</t>
        </is>
      </c>
      <c r="D90" s="5" t="inlineStr">
        <is>
          <t>LED processor</t>
        </is>
      </c>
      <c r="F90" s="6" t="n"/>
      <c r="H90" s="6" t="n"/>
      <c r="J90" s="6" t="n"/>
      <c r="L90" s="6" t="n"/>
      <c r="N90" s="6" t="n"/>
      <c r="P90" s="6" t="n"/>
    </row>
    <row r="91">
      <c r="A91" s="6" t="n"/>
      <c r="C91" s="5" t="inlineStr">
        <is>
          <t>Visual</t>
        </is>
      </c>
      <c r="D91" s="5" t="inlineStr">
        <is>
          <t>Projector</t>
        </is>
      </c>
      <c r="F91" s="6" t="n"/>
      <c r="H91" s="6" t="n"/>
      <c r="J91" s="6" t="n"/>
      <c r="L91" s="6" t="n"/>
      <c r="N91" s="6" t="n"/>
      <c r="P91" s="6" t="n"/>
    </row>
    <row r="92">
      <c r="A92" s="6" t="n"/>
      <c r="C92" s="5" t="inlineStr">
        <is>
          <t>Visual</t>
        </is>
      </c>
      <c r="D92" s="5" t="inlineStr">
        <is>
          <t>Projection screen</t>
        </is>
      </c>
      <c r="F92" s="6" t="n"/>
      <c r="H92" s="6" t="n"/>
      <c r="J92" s="6" t="n"/>
      <c r="L92" s="6" t="n"/>
      <c r="N92" s="6" t="n"/>
      <c r="P92" s="6" t="n"/>
    </row>
    <row r="93">
      <c r="A93" s="6" t="n"/>
      <c r="C93" s="5" t="inlineStr">
        <is>
          <t>Visual</t>
        </is>
      </c>
      <c r="D93" s="5" t="inlineStr">
        <is>
          <t>TV / monitor</t>
        </is>
      </c>
      <c r="F93" s="6" t="n"/>
      <c r="H93" s="6" t="n"/>
      <c r="J93" s="6" t="n"/>
      <c r="L93" s="6" t="n"/>
      <c r="N93" s="6" t="n"/>
      <c r="P93" s="6" t="n"/>
    </row>
    <row r="94">
      <c r="A94" s="6" t="n"/>
      <c r="C94" s="5" t="inlineStr">
        <is>
          <t>Visual</t>
        </is>
      </c>
      <c r="D94" s="5" t="inlineStr">
        <is>
          <t>Video switcher</t>
        </is>
      </c>
      <c r="F94" s="6" t="n"/>
      <c r="H94" s="6" t="n"/>
      <c r="J94" s="6" t="n"/>
      <c r="L94" s="6" t="n"/>
      <c r="N94" s="6" t="n"/>
      <c r="P94" s="6" t="n"/>
    </row>
    <row r="95">
      <c r="A95" s="6" t="n"/>
      <c r="C95" s="5" t="inlineStr">
        <is>
          <t>Visual</t>
        </is>
      </c>
      <c r="D95" s="5" t="inlineStr">
        <is>
          <t>Media server</t>
        </is>
      </c>
      <c r="F95" s="6" t="n"/>
      <c r="H95" s="6" t="n"/>
      <c r="J95" s="6" t="n"/>
      <c r="L95" s="6" t="n"/>
      <c r="N95" s="6" t="n"/>
      <c r="P95" s="6" t="n"/>
    </row>
    <row r="96">
      <c r="A96" s="6" t="n"/>
      <c r="C96" s="5" t="inlineStr">
        <is>
          <t>Visual</t>
        </is>
      </c>
      <c r="D96" s="5" t="inlineStr">
        <is>
          <t>Camera</t>
        </is>
      </c>
      <c r="F96" s="6" t="n"/>
      <c r="H96" s="6" t="n"/>
      <c r="J96" s="6" t="n"/>
      <c r="L96" s="6" t="n"/>
      <c r="N96" s="6" t="n"/>
      <c r="P96" s="6" t="n"/>
    </row>
    <row r="97">
      <c r="A97" s="6" t="n"/>
      <c r="C97" s="5" t="inlineStr">
        <is>
          <t>Effects</t>
        </is>
      </c>
      <c r="D97" s="5" t="inlineStr">
        <is>
          <t>Fog machine</t>
        </is>
      </c>
      <c r="F97" s="6" t="n"/>
      <c r="H97" s="6" t="n"/>
      <c r="J97" s="6" t="n"/>
      <c r="L97" s="6" t="n"/>
      <c r="N97" s="6" t="n"/>
      <c r="P97" s="6" t="n"/>
    </row>
    <row r="98">
      <c r="A98" s="6" t="n"/>
      <c r="C98" s="5" t="inlineStr">
        <is>
          <t>Effects</t>
        </is>
      </c>
      <c r="D98" s="5" t="inlineStr">
        <is>
          <t>Haze machine</t>
        </is>
      </c>
      <c r="F98" s="6" t="n"/>
      <c r="H98" s="6" t="n"/>
      <c r="J98" s="6" t="n"/>
      <c r="L98" s="6" t="n"/>
      <c r="N98" s="6" t="n"/>
      <c r="P98" s="6" t="n"/>
    </row>
    <row r="99">
      <c r="A99" s="6" t="n"/>
      <c r="C99" s="5" t="inlineStr">
        <is>
          <t>Effects</t>
        </is>
      </c>
      <c r="D99" s="5" t="inlineStr">
        <is>
          <t>Low fog / dry ice</t>
        </is>
      </c>
      <c r="F99" s="6" t="n"/>
      <c r="H99" s="6" t="n"/>
      <c r="J99" s="6" t="n"/>
      <c r="L99" s="6" t="n"/>
      <c r="N99" s="6" t="n"/>
      <c r="P99" s="6" t="n"/>
    </row>
    <row r="100">
      <c r="A100" s="6" t="n"/>
      <c r="C100" s="5" t="inlineStr">
        <is>
          <t>Effects</t>
        </is>
      </c>
      <c r="D100" s="5" t="inlineStr">
        <is>
          <t>CO2 jet</t>
        </is>
      </c>
      <c r="F100" s="6" t="n"/>
      <c r="H100" s="6" t="n"/>
      <c r="J100" s="6" t="n"/>
      <c r="L100" s="6" t="n"/>
      <c r="N100" s="6" t="n"/>
      <c r="P100" s="6" t="n"/>
    </row>
    <row r="101">
      <c r="A101" s="6" t="n"/>
      <c r="C101" s="5" t="inlineStr">
        <is>
          <t>Effects</t>
        </is>
      </c>
      <c r="D101" s="5" t="inlineStr">
        <is>
          <t>Cold spark</t>
        </is>
      </c>
      <c r="F101" s="6" t="n"/>
      <c r="H101" s="6" t="n"/>
      <c r="J101" s="6" t="n"/>
      <c r="L101" s="6" t="n"/>
      <c r="N101" s="6" t="n"/>
      <c r="P101" s="6" t="n"/>
    </row>
    <row r="102">
      <c r="A102" s="6" t="n"/>
      <c r="C102" s="5" t="inlineStr">
        <is>
          <t>Effects</t>
        </is>
      </c>
      <c r="D102" s="5" t="inlineStr">
        <is>
          <t>Confetti blaster</t>
        </is>
      </c>
      <c r="F102" s="6" t="n"/>
      <c r="H102" s="6" t="n"/>
      <c r="J102" s="6" t="n"/>
      <c r="L102" s="6" t="n"/>
      <c r="N102" s="6" t="n"/>
      <c r="P102" s="6" t="n"/>
    </row>
    <row r="103">
      <c r="A103" s="6" t="n"/>
      <c r="C103" s="5" t="inlineStr">
        <is>
          <t>Effects</t>
        </is>
      </c>
      <c r="D103" s="5" t="inlineStr">
        <is>
          <t>Bubble machine</t>
        </is>
      </c>
      <c r="F103" s="6" t="n"/>
      <c r="H103" s="6" t="n"/>
      <c r="J103" s="6" t="n"/>
      <c r="L103" s="6" t="n"/>
      <c r="N103" s="6" t="n"/>
      <c r="P103" s="6" t="n"/>
    </row>
    <row r="104">
      <c r="A104" s="6" t="n"/>
      <c r="C104" s="5" t="inlineStr">
        <is>
          <t>Effects</t>
        </is>
      </c>
      <c r="D104" s="5" t="inlineStr">
        <is>
          <t>Snow machine</t>
        </is>
      </c>
      <c r="F104" s="6" t="n"/>
      <c r="H104" s="6" t="n"/>
      <c r="J104" s="6" t="n"/>
      <c r="L104" s="6" t="n"/>
      <c r="N104" s="6" t="n"/>
      <c r="P104" s="6" t="n"/>
    </row>
    <row r="105">
      <c r="A105" s="6" t="n"/>
      <c r="C105" s="5" t="inlineStr">
        <is>
          <t>Effects</t>
        </is>
      </c>
      <c r="D105" s="5" t="inlineStr">
        <is>
          <t>Flame projector</t>
        </is>
      </c>
      <c r="F105" s="6" t="n"/>
      <c r="H105" s="6" t="n"/>
      <c r="J105" s="6" t="n"/>
      <c r="L105" s="6" t="n"/>
      <c r="N105" s="6" t="n"/>
      <c r="P105" s="6" t="n"/>
    </row>
    <row r="106">
      <c r="A106" s="6" t="n"/>
      <c r="C106" s="5" t="inlineStr">
        <is>
          <t>Truss</t>
        </is>
      </c>
      <c r="D106" s="5" t="inlineStr">
        <is>
          <t>Box truss</t>
        </is>
      </c>
      <c r="F106" s="6" t="n"/>
      <c r="H106" s="6" t="n"/>
      <c r="J106" s="6" t="n"/>
      <c r="L106" s="6" t="n"/>
      <c r="N106" s="6" t="n"/>
      <c r="P106" s="6" t="n"/>
    </row>
    <row r="107">
      <c r="A107" s="6" t="n"/>
      <c r="C107" s="5" t="inlineStr">
        <is>
          <t>Truss</t>
        </is>
      </c>
      <c r="D107" s="5" t="inlineStr">
        <is>
          <t>Ladder truss</t>
        </is>
      </c>
      <c r="F107" s="6" t="n"/>
      <c r="H107" s="6" t="n"/>
      <c r="J107" s="6" t="n"/>
      <c r="L107" s="6" t="n"/>
      <c r="N107" s="6" t="n"/>
      <c r="P107" s="6" t="n"/>
    </row>
    <row r="108">
      <c r="A108" s="6" t="n"/>
      <c r="C108" s="5" t="inlineStr">
        <is>
          <t>Truss</t>
        </is>
      </c>
      <c r="D108" s="5" t="inlineStr">
        <is>
          <t>Circular truss</t>
        </is>
      </c>
      <c r="F108" s="6" t="n"/>
      <c r="H108" s="6" t="n"/>
      <c r="J108" s="6" t="n"/>
      <c r="L108" s="6" t="n"/>
      <c r="N108" s="6" t="n"/>
      <c r="P108" s="6" t="n"/>
    </row>
    <row r="109">
      <c r="A109" s="6" t="n"/>
      <c r="C109" s="5" t="inlineStr">
        <is>
          <t>Truss</t>
        </is>
      </c>
      <c r="D109" s="5" t="inlineStr">
        <is>
          <t>Corner block</t>
        </is>
      </c>
      <c r="F109" s="6" t="n"/>
      <c r="H109" s="6" t="n"/>
      <c r="J109" s="6" t="n"/>
      <c r="L109" s="6" t="n"/>
      <c r="N109" s="6" t="n"/>
      <c r="P109" s="6" t="n"/>
    </row>
    <row r="110">
      <c r="A110" s="6" t="n"/>
      <c r="C110" s="5" t="inlineStr">
        <is>
          <t>Truss</t>
        </is>
      </c>
      <c r="D110" s="5" t="inlineStr">
        <is>
          <t>Truss base plate</t>
        </is>
      </c>
      <c r="F110" s="6" t="n"/>
      <c r="H110" s="6" t="n"/>
      <c r="J110" s="6" t="n"/>
      <c r="L110" s="6" t="n"/>
      <c r="N110" s="6" t="n"/>
      <c r="P110" s="6" t="n"/>
    </row>
    <row r="111">
      <c r="A111" s="6" t="n"/>
      <c r="C111" s="5" t="inlineStr">
        <is>
          <t>Truss</t>
        </is>
      </c>
      <c r="D111" s="5" t="inlineStr">
        <is>
          <t>Sleeve block</t>
        </is>
      </c>
      <c r="F111" s="6" t="n"/>
      <c r="H111" s="6" t="n"/>
      <c r="J111" s="6" t="n"/>
      <c r="L111" s="6" t="n"/>
      <c r="N111" s="6" t="n"/>
      <c r="P111" s="6" t="n"/>
    </row>
    <row r="112">
      <c r="A112" s="6" t="n"/>
      <c r="C112" s="5" t="inlineStr">
        <is>
          <t>Truss</t>
        </is>
      </c>
      <c r="D112" s="5" t="inlineStr">
        <is>
          <t>Truss pin / clamp set</t>
        </is>
      </c>
      <c r="F112" s="6" t="n"/>
      <c r="H112" s="6" t="n"/>
      <c r="J112" s="6" t="n"/>
      <c r="L112" s="6" t="n"/>
      <c r="N112" s="6" t="n"/>
      <c r="P112" s="6" t="n"/>
    </row>
    <row r="113">
      <c r="A113" s="6" t="n"/>
      <c r="C113" s="5" t="inlineStr">
        <is>
          <t>Stand &amp; rigging</t>
        </is>
      </c>
      <c r="D113" s="5" t="inlineStr">
        <is>
          <t>Speaker stand / tripod</t>
        </is>
      </c>
      <c r="F113" s="6" t="n"/>
      <c r="H113" s="6" t="n"/>
      <c r="J113" s="6" t="n"/>
      <c r="L113" s="6" t="n"/>
      <c r="N113" s="6" t="n"/>
      <c r="P113" s="6" t="n"/>
    </row>
    <row r="114">
      <c r="A114" s="6" t="n"/>
      <c r="C114" s="5" t="inlineStr">
        <is>
          <t>Stand &amp; rigging</t>
        </is>
      </c>
      <c r="D114" s="5" t="inlineStr">
        <is>
          <t>Sub pole</t>
        </is>
      </c>
      <c r="F114" s="6" t="n"/>
      <c r="H114" s="6" t="n"/>
      <c r="J114" s="6" t="n"/>
      <c r="L114" s="6" t="n"/>
      <c r="N114" s="6" t="n"/>
      <c r="P114" s="6" t="n"/>
    </row>
    <row r="115">
      <c r="A115" s="6" t="n"/>
      <c r="C115" s="5" t="inlineStr">
        <is>
          <t>Stand &amp; rigging</t>
        </is>
      </c>
      <c r="D115" s="5" t="inlineStr">
        <is>
          <t>Lighting T-bar stand</t>
        </is>
      </c>
      <c r="F115" s="6" t="n"/>
      <c r="H115" s="6" t="n"/>
      <c r="J115" s="6" t="n"/>
      <c r="L115" s="6" t="n"/>
      <c r="N115" s="6" t="n"/>
      <c r="P115" s="6" t="n"/>
    </row>
    <row r="116">
      <c r="A116" s="6" t="n"/>
      <c r="C116" s="5" t="inlineStr">
        <is>
          <t>Stand &amp; rigging</t>
        </is>
      </c>
      <c r="D116" s="5" t="inlineStr">
        <is>
          <t>Manual winch stand</t>
        </is>
      </c>
      <c r="F116" s="6" t="n"/>
      <c r="H116" s="6" t="n"/>
      <c r="J116" s="6" t="n"/>
      <c r="L116" s="6" t="n"/>
      <c r="N116" s="6" t="n"/>
      <c r="P116" s="6" t="n"/>
    </row>
    <row r="117">
      <c r="A117" s="6" t="n"/>
      <c r="C117" s="5" t="inlineStr">
        <is>
          <t>Stand &amp; rigging</t>
        </is>
      </c>
      <c r="D117" s="5" t="inlineStr">
        <is>
          <t>Crank stand</t>
        </is>
      </c>
      <c r="F117" s="6" t="n"/>
      <c r="H117" s="6" t="n"/>
      <c r="J117" s="6" t="n"/>
      <c r="L117" s="6" t="n"/>
      <c r="N117" s="6" t="n"/>
      <c r="P117" s="6" t="n"/>
    </row>
    <row r="118">
      <c r="A118" s="6" t="n"/>
      <c r="C118" s="5" t="inlineStr">
        <is>
          <t>Stand &amp; rigging</t>
        </is>
      </c>
      <c r="D118" s="5" t="inlineStr">
        <is>
          <t>Hoist / chain motor</t>
        </is>
      </c>
      <c r="F118" s="6" t="n"/>
      <c r="H118" s="6" t="n"/>
      <c r="J118" s="6" t="n"/>
      <c r="L118" s="6" t="n"/>
      <c r="N118" s="6" t="n"/>
      <c r="P118" s="6" t="n"/>
    </row>
    <row r="119">
      <c r="A119" s="6" t="n"/>
      <c r="C119" s="5" t="inlineStr">
        <is>
          <t>Stand &amp; rigging</t>
        </is>
      </c>
      <c r="D119" s="5" t="inlineStr">
        <is>
          <t>G-clamp</t>
        </is>
      </c>
      <c r="F119" s="6" t="n"/>
      <c r="H119" s="6" t="n"/>
      <c r="J119" s="6" t="n"/>
      <c r="L119" s="6" t="n"/>
      <c r="N119" s="6" t="n"/>
      <c r="P119" s="6" t="n"/>
    </row>
    <row r="120">
      <c r="A120" s="6" t="n"/>
      <c r="C120" s="5" t="inlineStr">
        <is>
          <t>Stand &amp; rigging</t>
        </is>
      </c>
      <c r="D120" s="5" t="inlineStr">
        <is>
          <t>Safety wire</t>
        </is>
      </c>
      <c r="F120" s="6" t="n"/>
      <c r="H120" s="6" t="n"/>
      <c r="J120" s="6" t="n"/>
      <c r="L120" s="6" t="n"/>
      <c r="N120" s="6" t="n"/>
      <c r="P120" s="6" t="n"/>
    </row>
    <row r="121">
      <c r="A121" s="6" t="n"/>
      <c r="C121" s="5" t="inlineStr">
        <is>
          <t>Stand &amp; rigging</t>
        </is>
      </c>
      <c r="D121" s="5" t="inlineStr">
        <is>
          <t>Ratchet strap</t>
        </is>
      </c>
      <c r="F121" s="6" t="n"/>
      <c r="H121" s="6" t="n"/>
      <c r="J121" s="6" t="n"/>
      <c r="L121" s="6" t="n"/>
      <c r="N121" s="6" t="n"/>
      <c r="P121" s="6" t="n"/>
    </row>
    <row r="122">
      <c r="A122" s="6" t="n"/>
      <c r="C122" s="5" t="inlineStr">
        <is>
          <t>Stage</t>
        </is>
      </c>
      <c r="D122" s="5" t="inlineStr">
        <is>
          <t>Stage deck</t>
        </is>
      </c>
      <c r="F122" s="6" t="n"/>
      <c r="H122" s="6" t="n"/>
      <c r="J122" s="6" t="n"/>
      <c r="L122" s="6" t="n"/>
      <c r="N122" s="6" t="n"/>
      <c r="P122" s="6" t="n"/>
    </row>
    <row r="123">
      <c r="A123" s="6" t="n"/>
      <c r="C123" s="5" t="inlineStr">
        <is>
          <t>Stage</t>
        </is>
      </c>
      <c r="D123" s="5" t="inlineStr">
        <is>
          <t>Riser</t>
        </is>
      </c>
      <c r="F123" s="6" t="n"/>
      <c r="H123" s="6" t="n"/>
      <c r="J123" s="6" t="n"/>
      <c r="L123" s="6" t="n"/>
      <c r="N123" s="6" t="n"/>
      <c r="P123" s="6" t="n"/>
    </row>
    <row r="124">
      <c r="A124" s="6" t="n"/>
      <c r="C124" s="5" t="inlineStr">
        <is>
          <t>Stage</t>
        </is>
      </c>
      <c r="D124" s="5" t="inlineStr">
        <is>
          <t>Stage skirting</t>
        </is>
      </c>
      <c r="F124" s="6" t="n"/>
      <c r="H124" s="6" t="n"/>
      <c r="J124" s="6" t="n"/>
      <c r="L124" s="6" t="n"/>
      <c r="N124" s="6" t="n"/>
      <c r="P124" s="6" t="n"/>
    </row>
    <row r="125">
      <c r="A125" s="6" t="n"/>
      <c r="C125" s="5" t="inlineStr">
        <is>
          <t>Stage</t>
        </is>
      </c>
      <c r="D125" s="5" t="inlineStr">
        <is>
          <t>Stairs</t>
        </is>
      </c>
      <c r="F125" s="6" t="n"/>
      <c r="H125" s="6" t="n"/>
      <c r="J125" s="6" t="n"/>
      <c r="L125" s="6" t="n"/>
      <c r="N125" s="6" t="n"/>
      <c r="P125" s="6" t="n"/>
    </row>
    <row r="126">
      <c r="A126" s="6" t="n"/>
      <c r="C126" s="5" t="inlineStr">
        <is>
          <t>Stage</t>
        </is>
      </c>
      <c r="D126" s="5" t="inlineStr">
        <is>
          <t>Railing</t>
        </is>
      </c>
      <c r="F126" s="6" t="n"/>
      <c r="H126" s="6" t="n"/>
      <c r="J126" s="6" t="n"/>
      <c r="L126" s="6" t="n"/>
      <c r="N126" s="6" t="n"/>
      <c r="P126" s="6" t="n"/>
    </row>
    <row r="127">
      <c r="A127" s="6" t="n"/>
      <c r="C127" s="5" t="inlineStr">
        <is>
          <t>Stage</t>
        </is>
      </c>
      <c r="D127" s="5" t="inlineStr">
        <is>
          <t>Carpet / dance floor</t>
        </is>
      </c>
      <c r="F127" s="6" t="n"/>
      <c r="H127" s="6" t="n"/>
      <c r="J127" s="6" t="n"/>
      <c r="L127" s="6" t="n"/>
      <c r="N127" s="6" t="n"/>
      <c r="P127" s="6" t="n"/>
    </row>
    <row r="128">
      <c r="A128" s="6" t="n"/>
      <c r="C128" s="5" t="inlineStr">
        <is>
          <t>Power</t>
        </is>
      </c>
      <c r="D128" s="5" t="inlineStr">
        <is>
          <t>Generator</t>
        </is>
      </c>
      <c r="F128" s="6" t="n"/>
      <c r="H128" s="6" t="n"/>
      <c r="J128" s="6" t="n"/>
      <c r="L128" s="6" t="n"/>
      <c r="N128" s="6" t="n"/>
      <c r="P128" s="6" t="n"/>
    </row>
    <row r="129">
      <c r="A129" s="6" t="n"/>
      <c r="C129" s="5" t="inlineStr">
        <is>
          <t>Power</t>
        </is>
      </c>
      <c r="D129" s="5" t="inlineStr">
        <is>
          <t>Distribution box</t>
        </is>
      </c>
      <c r="F129" s="6" t="n"/>
      <c r="H129" s="6" t="n"/>
      <c r="J129" s="6" t="n"/>
      <c r="L129" s="6" t="n"/>
      <c r="N129" s="6" t="n"/>
      <c r="P129" s="6" t="n"/>
    </row>
    <row r="130">
      <c r="A130" s="6" t="n"/>
      <c r="C130" s="5" t="inlineStr">
        <is>
          <t>Power</t>
        </is>
      </c>
      <c r="D130" s="5" t="inlineStr">
        <is>
          <t>Extension board</t>
        </is>
      </c>
      <c r="F130" s="6" t="n"/>
      <c r="H130" s="6" t="n"/>
      <c r="J130" s="6" t="n"/>
      <c r="L130" s="6" t="n"/>
      <c r="N130" s="6" t="n"/>
      <c r="P130" s="6" t="n"/>
    </row>
    <row r="131">
      <c r="A131" s="6" t="n"/>
      <c r="C131" s="5" t="inlineStr">
        <is>
          <t>Power</t>
        </is>
      </c>
      <c r="D131" s="5" t="inlineStr">
        <is>
          <t>Cable reel</t>
        </is>
      </c>
      <c r="F131" s="6" t="n"/>
      <c r="H131" s="6" t="n"/>
      <c r="J131" s="6" t="n"/>
      <c r="L131" s="6" t="n"/>
      <c r="N131" s="6" t="n"/>
      <c r="P131" s="6" t="n"/>
    </row>
    <row r="132">
      <c r="A132" s="6" t="n"/>
      <c r="C132" s="5" t="inlineStr">
        <is>
          <t>Power</t>
        </is>
      </c>
      <c r="D132" s="5" t="inlineStr">
        <is>
          <t>UPS</t>
        </is>
      </c>
      <c r="F132" s="6" t="n"/>
      <c r="H132" s="6" t="n"/>
      <c r="J132" s="6" t="n"/>
      <c r="L132" s="6" t="n"/>
      <c r="N132" s="6" t="n"/>
      <c r="P132" s="6" t="n"/>
    </row>
    <row r="133">
      <c r="A133" s="6" t="n"/>
      <c r="C133" s="5" t="inlineStr">
        <is>
          <t>Power</t>
        </is>
      </c>
      <c r="D133" s="5" t="inlineStr">
        <is>
          <t>Voltage stabiliser</t>
        </is>
      </c>
      <c r="F133" s="6" t="n"/>
      <c r="H133" s="6" t="n"/>
      <c r="J133" s="6" t="n"/>
      <c r="L133" s="6" t="n"/>
      <c r="N133" s="6" t="n"/>
      <c r="P133" s="6" t="n"/>
    </row>
    <row r="134">
      <c r="A134" s="6" t="n"/>
      <c r="C134" s="5" t="inlineStr">
        <is>
          <t>Power</t>
        </is>
      </c>
      <c r="D134" s="5" t="inlineStr">
        <is>
          <t>Battery pack</t>
        </is>
      </c>
      <c r="F134" s="6" t="n"/>
      <c r="H134" s="6" t="n"/>
      <c r="J134" s="6" t="n"/>
      <c r="L134" s="6" t="n"/>
      <c r="N134" s="6" t="n"/>
      <c r="P134" s="6" t="n"/>
    </row>
    <row r="135">
      <c r="A135" s="6" t="n"/>
      <c r="C135" s="5" t="inlineStr">
        <is>
          <t>Cable</t>
        </is>
      </c>
      <c r="D135" s="5" t="inlineStr">
        <is>
          <t>XLR cable</t>
        </is>
      </c>
      <c r="F135" s="6" t="n"/>
      <c r="H135" s="6" t="n"/>
      <c r="J135" s="6" t="n"/>
      <c r="L135" s="6" t="n"/>
      <c r="N135" s="6" t="n"/>
      <c r="P135" s="6" t="n"/>
    </row>
    <row r="136">
      <c r="A136" s="6" t="n"/>
      <c r="C136" s="5" t="inlineStr">
        <is>
          <t>Cable</t>
        </is>
      </c>
      <c r="D136" s="5" t="inlineStr">
        <is>
          <t>Speakon cable</t>
        </is>
      </c>
      <c r="F136" s="6" t="n"/>
      <c r="H136" s="6" t="n"/>
      <c r="J136" s="6" t="n"/>
      <c r="L136" s="6" t="n"/>
      <c r="N136" s="6" t="n"/>
      <c r="P136" s="6" t="n"/>
    </row>
    <row r="137">
      <c r="A137" s="6" t="n"/>
      <c r="C137" s="5" t="inlineStr">
        <is>
          <t>Cable</t>
        </is>
      </c>
      <c r="D137" s="5" t="inlineStr">
        <is>
          <t>Jack / TRS cable</t>
        </is>
      </c>
      <c r="F137" s="6" t="n"/>
      <c r="H137" s="6" t="n"/>
      <c r="J137" s="6" t="n"/>
      <c r="L137" s="6" t="n"/>
      <c r="N137" s="6" t="n"/>
      <c r="P137" s="6" t="n"/>
    </row>
    <row r="138">
      <c r="A138" s="6" t="n"/>
      <c r="C138" s="5" t="inlineStr">
        <is>
          <t>Cable</t>
        </is>
      </c>
      <c r="D138" s="5" t="inlineStr">
        <is>
          <t>RCA cable</t>
        </is>
      </c>
      <c r="F138" s="6" t="n"/>
      <c r="H138" s="6" t="n"/>
      <c r="J138" s="6" t="n"/>
      <c r="L138" s="6" t="n"/>
      <c r="N138" s="6" t="n"/>
      <c r="P138" s="6" t="n"/>
    </row>
    <row r="139">
      <c r="A139" s="6" t="n"/>
      <c r="C139" s="5" t="inlineStr">
        <is>
          <t>Cable</t>
        </is>
      </c>
      <c r="D139" s="5" t="inlineStr">
        <is>
          <t>DMX cable</t>
        </is>
      </c>
      <c r="F139" s="6" t="n"/>
      <c r="H139" s="6" t="n"/>
      <c r="J139" s="6" t="n"/>
      <c r="L139" s="6" t="n"/>
      <c r="N139" s="6" t="n"/>
      <c r="P139" s="6" t="n"/>
    </row>
    <row r="140">
      <c r="A140" s="6" t="n"/>
      <c r="C140" s="5" t="inlineStr">
        <is>
          <t>Cable</t>
        </is>
      </c>
      <c r="D140" s="5" t="inlineStr">
        <is>
          <t>Power cable / IEC</t>
        </is>
      </c>
      <c r="F140" s="6" t="n"/>
      <c r="H140" s="6" t="n"/>
      <c r="J140" s="6" t="n"/>
      <c r="L140" s="6" t="n"/>
      <c r="N140" s="6" t="n"/>
      <c r="P140" s="6" t="n"/>
    </row>
    <row r="141">
      <c r="A141" s="6" t="n"/>
      <c r="C141" s="5" t="inlineStr">
        <is>
          <t>Cable</t>
        </is>
      </c>
      <c r="D141" s="5" t="inlineStr">
        <is>
          <t>HDMI cable</t>
        </is>
      </c>
      <c r="F141" s="6" t="n"/>
      <c r="H141" s="6" t="n"/>
      <c r="J141" s="6" t="n"/>
      <c r="L141" s="6" t="n"/>
      <c r="N141" s="6" t="n"/>
      <c r="P141" s="6" t="n"/>
    </row>
    <row r="142">
      <c r="A142" s="6" t="n"/>
      <c r="C142" s="5" t="inlineStr">
        <is>
          <t>Cable</t>
        </is>
      </c>
      <c r="D142" s="5" t="inlineStr">
        <is>
          <t>CAT / ethernet cable</t>
        </is>
      </c>
      <c r="F142" s="6" t="n"/>
      <c r="H142" s="6" t="n"/>
      <c r="J142" s="6" t="n"/>
      <c r="L142" s="6" t="n"/>
      <c r="N142" s="6" t="n"/>
      <c r="P142" s="6" t="n"/>
    </row>
    <row r="143">
      <c r="A143" s="6" t="n"/>
      <c r="C143" s="5" t="inlineStr">
        <is>
          <t>Cable</t>
        </is>
      </c>
      <c r="D143" s="5" t="inlineStr">
        <is>
          <t>Adaptor / converter</t>
        </is>
      </c>
      <c r="F143" s="6" t="n"/>
      <c r="H143" s="6" t="n"/>
      <c r="J143" s="6" t="n"/>
      <c r="L143" s="6" t="n"/>
      <c r="N143" s="6" t="n"/>
      <c r="P143" s="6" t="n"/>
    </row>
    <row r="144">
      <c r="A144" s="6" t="n"/>
      <c r="C144" s="5" t="inlineStr">
        <is>
          <t>Backline - keys</t>
        </is>
      </c>
      <c r="D144" s="5" t="inlineStr">
        <is>
          <t>Synth / workstation</t>
        </is>
      </c>
      <c r="F144" s="6" t="n"/>
      <c r="H144" s="6" t="n"/>
      <c r="J144" s="6" t="n"/>
      <c r="L144" s="6" t="n"/>
      <c r="N144" s="6" t="n"/>
      <c r="P144" s="6" t="n"/>
    </row>
    <row r="145">
      <c r="A145" s="6" t="n"/>
      <c r="C145" s="5" t="inlineStr">
        <is>
          <t>Backline - keys</t>
        </is>
      </c>
      <c r="D145" s="5" t="inlineStr">
        <is>
          <t>Stage piano</t>
        </is>
      </c>
      <c r="F145" s="6" t="n"/>
      <c r="H145" s="6" t="n"/>
      <c r="J145" s="6" t="n"/>
      <c r="L145" s="6" t="n"/>
      <c r="N145" s="6" t="n"/>
      <c r="P145" s="6" t="n"/>
    </row>
    <row r="146">
      <c r="A146" s="6" t="n"/>
      <c r="C146" s="5" t="inlineStr">
        <is>
          <t>Backline - keys</t>
        </is>
      </c>
      <c r="D146" s="5" t="inlineStr">
        <is>
          <t>Keyboard amp</t>
        </is>
      </c>
      <c r="F146" s="6" t="n"/>
      <c r="H146" s="6" t="n"/>
      <c r="J146" s="6" t="n"/>
      <c r="L146" s="6" t="n"/>
      <c r="N146" s="6" t="n"/>
      <c r="P146" s="6" t="n"/>
    </row>
    <row r="147">
      <c r="A147" s="6" t="n"/>
      <c r="C147" s="5" t="inlineStr">
        <is>
          <t>Backline - keys</t>
        </is>
      </c>
      <c r="D147" s="5" t="inlineStr">
        <is>
          <t>Keyboard stand</t>
        </is>
      </c>
      <c r="F147" s="6" t="n"/>
      <c r="H147" s="6" t="n"/>
      <c r="J147" s="6" t="n"/>
      <c r="L147" s="6" t="n"/>
      <c r="N147" s="6" t="n"/>
      <c r="P147" s="6" t="n"/>
    </row>
    <row r="148">
      <c r="A148" s="6" t="n"/>
      <c r="C148" s="5" t="inlineStr">
        <is>
          <t>Backline - keys</t>
        </is>
      </c>
      <c r="D148" s="5" t="inlineStr">
        <is>
          <t>Keyboard bench</t>
        </is>
      </c>
      <c r="F148" s="6" t="n"/>
      <c r="H148" s="6" t="n"/>
      <c r="J148" s="6" t="n"/>
      <c r="L148" s="6" t="n"/>
      <c r="N148" s="6" t="n"/>
      <c r="P148" s="6" t="n"/>
    </row>
    <row r="149">
      <c r="A149" s="6" t="n"/>
      <c r="C149" s="5" t="inlineStr">
        <is>
          <t>Backline - keys</t>
        </is>
      </c>
      <c r="D149" s="5" t="inlineStr">
        <is>
          <t>Sustain pedal</t>
        </is>
      </c>
      <c r="F149" s="6" t="n"/>
      <c r="H149" s="6" t="n"/>
      <c r="J149" s="6" t="n"/>
      <c r="L149" s="6" t="n"/>
      <c r="N149" s="6" t="n"/>
      <c r="P149" s="6" t="n"/>
    </row>
    <row r="150">
      <c r="A150" s="6" t="n"/>
      <c r="C150" s="5" t="inlineStr">
        <is>
          <t>Backline - drums</t>
        </is>
      </c>
      <c r="D150" s="5" t="inlineStr">
        <is>
          <t>Acoustic drum kit</t>
        </is>
      </c>
      <c r="F150" s="6" t="n"/>
      <c r="H150" s="6" t="n"/>
      <c r="J150" s="6" t="n"/>
      <c r="L150" s="6" t="n"/>
      <c r="N150" s="6" t="n"/>
      <c r="P150" s="6" t="n"/>
    </row>
    <row r="151">
      <c r="A151" s="6" t="n"/>
      <c r="C151" s="5" t="inlineStr">
        <is>
          <t>Backline - drums</t>
        </is>
      </c>
      <c r="D151" s="5" t="inlineStr">
        <is>
          <t>Electronic drum kit</t>
        </is>
      </c>
      <c r="F151" s="6" t="n"/>
      <c r="H151" s="6" t="n"/>
      <c r="J151" s="6" t="n"/>
      <c r="L151" s="6" t="n"/>
      <c r="N151" s="6" t="n"/>
      <c r="P151" s="6" t="n"/>
    </row>
    <row r="152">
      <c r="A152" s="6" t="n"/>
      <c r="C152" s="5" t="inlineStr">
        <is>
          <t>Backline - drums</t>
        </is>
      </c>
      <c r="D152" s="5" t="inlineStr">
        <is>
          <t>Cymbal set</t>
        </is>
      </c>
      <c r="F152" s="6" t="n"/>
      <c r="H152" s="6" t="n"/>
      <c r="J152" s="6" t="n"/>
      <c r="L152" s="6" t="n"/>
      <c r="N152" s="6" t="n"/>
      <c r="P152" s="6" t="n"/>
    </row>
    <row r="153">
      <c r="A153" s="6" t="n"/>
      <c r="C153" s="5" t="inlineStr">
        <is>
          <t>Backline - drums</t>
        </is>
      </c>
      <c r="D153" s="5" t="inlineStr">
        <is>
          <t>Drum throne</t>
        </is>
      </c>
      <c r="F153" s="6" t="n"/>
      <c r="H153" s="6" t="n"/>
      <c r="J153" s="6" t="n"/>
      <c r="L153" s="6" t="n"/>
      <c r="N153" s="6" t="n"/>
      <c r="P153" s="6" t="n"/>
    </row>
    <row r="154">
      <c r="A154" s="6" t="n"/>
      <c r="C154" s="5" t="inlineStr">
        <is>
          <t>Backline - drums</t>
        </is>
      </c>
      <c r="D154" s="5" t="inlineStr">
        <is>
          <t>Percussion - congas</t>
        </is>
      </c>
      <c r="F154" s="6" t="n"/>
      <c r="H154" s="6" t="n"/>
      <c r="J154" s="6" t="n"/>
      <c r="L154" s="6" t="n"/>
      <c r="N154" s="6" t="n"/>
      <c r="P154" s="6" t="n"/>
    </row>
    <row r="155">
      <c r="A155" s="6" t="n"/>
      <c r="C155" s="5" t="inlineStr">
        <is>
          <t>Backline - drums</t>
        </is>
      </c>
      <c r="D155" s="5" t="inlineStr">
        <is>
          <t>Percussion - dholak / tabla</t>
        </is>
      </c>
      <c r="F155" s="6" t="n"/>
      <c r="H155" s="6" t="n"/>
      <c r="J155" s="6" t="n"/>
      <c r="L155" s="6" t="n"/>
      <c r="N155" s="6" t="n"/>
      <c r="P155" s="6" t="n"/>
    </row>
    <row r="156">
      <c r="A156" s="6" t="n"/>
      <c r="C156" s="5" t="inlineStr">
        <is>
          <t>Backline - drums</t>
        </is>
      </c>
      <c r="D156" s="5" t="inlineStr">
        <is>
          <t>Octapad</t>
        </is>
      </c>
      <c r="F156" s="6" t="n"/>
      <c r="H156" s="6" t="n"/>
      <c r="J156" s="6" t="n"/>
      <c r="L156" s="6" t="n"/>
      <c r="N156" s="6" t="n"/>
      <c r="P156" s="6" t="n"/>
    </row>
    <row r="157">
      <c r="A157" s="6" t="n"/>
      <c r="C157" s="5" t="inlineStr">
        <is>
          <t>Backline - drums</t>
        </is>
      </c>
      <c r="D157" s="5" t="inlineStr">
        <is>
          <t>Drum riser</t>
        </is>
      </c>
      <c r="F157" s="6" t="n"/>
      <c r="H157" s="6" t="n"/>
      <c r="J157" s="6" t="n"/>
      <c r="L157" s="6" t="n"/>
      <c r="N157" s="6" t="n"/>
      <c r="P157" s="6" t="n"/>
    </row>
    <row r="158">
      <c r="A158" s="6" t="n"/>
      <c r="C158" s="5" t="inlineStr">
        <is>
          <t>Backline - guitar</t>
        </is>
      </c>
      <c r="D158" s="5" t="inlineStr">
        <is>
          <t>Electric guitar</t>
        </is>
      </c>
      <c r="F158" s="6" t="n"/>
      <c r="H158" s="6" t="n"/>
      <c r="J158" s="6" t="n"/>
      <c r="L158" s="6" t="n"/>
      <c r="N158" s="6" t="n"/>
      <c r="P158" s="6" t="n"/>
    </row>
    <row r="159">
      <c r="A159" s="6" t="n"/>
      <c r="C159" s="5" t="inlineStr">
        <is>
          <t>Backline - guitar</t>
        </is>
      </c>
      <c r="D159" s="5" t="inlineStr">
        <is>
          <t>Acoustic guitar</t>
        </is>
      </c>
      <c r="F159" s="6" t="n"/>
      <c r="H159" s="6" t="n"/>
      <c r="J159" s="6" t="n"/>
      <c r="L159" s="6" t="n"/>
      <c r="N159" s="6" t="n"/>
      <c r="P159" s="6" t="n"/>
    </row>
    <row r="160">
      <c r="A160" s="6" t="n"/>
      <c r="C160" s="5" t="inlineStr">
        <is>
          <t>Backline - guitar</t>
        </is>
      </c>
      <c r="D160" s="5" t="inlineStr">
        <is>
          <t>Bass guitar</t>
        </is>
      </c>
      <c r="F160" s="6" t="n"/>
      <c r="H160" s="6" t="n"/>
      <c r="J160" s="6" t="n"/>
      <c r="L160" s="6" t="n"/>
      <c r="N160" s="6" t="n"/>
      <c r="P160" s="6" t="n"/>
    </row>
    <row r="161">
      <c r="A161" s="6" t="n"/>
      <c r="C161" s="5" t="inlineStr">
        <is>
          <t>Backline - guitar</t>
        </is>
      </c>
      <c r="D161" s="5" t="inlineStr">
        <is>
          <t>Guitar amp</t>
        </is>
      </c>
      <c r="F161" s="6" t="n"/>
      <c r="H161" s="6" t="n"/>
      <c r="J161" s="6" t="n"/>
      <c r="L161" s="6" t="n"/>
      <c r="N161" s="6" t="n"/>
      <c r="P161" s="6" t="n"/>
    </row>
    <row r="162">
      <c r="A162" s="6" t="n"/>
      <c r="C162" s="5" t="inlineStr">
        <is>
          <t>Backline - guitar</t>
        </is>
      </c>
      <c r="D162" s="5" t="inlineStr">
        <is>
          <t>Bass amp</t>
        </is>
      </c>
      <c r="F162" s="6" t="n"/>
      <c r="H162" s="6" t="n"/>
      <c r="J162" s="6" t="n"/>
      <c r="L162" s="6" t="n"/>
      <c r="N162" s="6" t="n"/>
      <c r="P162" s="6" t="n"/>
    </row>
    <row r="163">
      <c r="A163" s="6" t="n"/>
      <c r="C163" s="5" t="inlineStr">
        <is>
          <t>Backline - guitar</t>
        </is>
      </c>
      <c r="D163" s="5" t="inlineStr">
        <is>
          <t>Guitar stand</t>
        </is>
      </c>
      <c r="F163" s="6" t="n"/>
      <c r="H163" s="6" t="n"/>
      <c r="J163" s="6" t="n"/>
      <c r="L163" s="6" t="n"/>
      <c r="N163" s="6" t="n"/>
      <c r="P163" s="6" t="n"/>
    </row>
    <row r="164">
      <c r="A164" s="6" t="n"/>
      <c r="C164" s="5" t="inlineStr">
        <is>
          <t>Backline - guitar</t>
        </is>
      </c>
      <c r="D164" s="5" t="inlineStr">
        <is>
          <t>Pedal board</t>
        </is>
      </c>
      <c r="F164" s="6" t="n"/>
      <c r="H164" s="6" t="n"/>
      <c r="J164" s="6" t="n"/>
      <c r="L164" s="6" t="n"/>
      <c r="N164" s="6" t="n"/>
      <c r="P164" s="6" t="n"/>
    </row>
    <row r="165">
      <c r="A165" s="6" t="n"/>
      <c r="C165" s="5" t="inlineStr">
        <is>
          <t>Backline - other</t>
        </is>
      </c>
      <c r="D165" s="5" t="inlineStr">
        <is>
          <t>Music stand</t>
        </is>
      </c>
      <c r="F165" s="6" t="n"/>
      <c r="H165" s="6" t="n"/>
      <c r="J165" s="6" t="n"/>
      <c r="L165" s="6" t="n"/>
      <c r="N165" s="6" t="n"/>
      <c r="P165" s="6" t="n"/>
    </row>
    <row r="166">
      <c r="A166" s="6" t="n"/>
      <c r="C166" s="5" t="inlineStr">
        <is>
          <t>Backline - other</t>
        </is>
      </c>
      <c r="D166" s="5" t="inlineStr">
        <is>
          <t>Music stand light</t>
        </is>
      </c>
      <c r="F166" s="6" t="n"/>
      <c r="H166" s="6" t="n"/>
      <c r="J166" s="6" t="n"/>
      <c r="L166" s="6" t="n"/>
      <c r="N166" s="6" t="n"/>
      <c r="P166" s="6" t="n"/>
    </row>
    <row r="167">
      <c r="A167" s="6" t="n"/>
      <c r="C167" s="5" t="inlineStr">
        <is>
          <t>Backline - other</t>
        </is>
      </c>
      <c r="D167" s="5" t="inlineStr">
        <is>
          <t>Conductor podium</t>
        </is>
      </c>
      <c r="F167" s="6" t="n"/>
      <c r="H167" s="6" t="n"/>
      <c r="J167" s="6" t="n"/>
      <c r="L167" s="6" t="n"/>
      <c r="N167" s="6" t="n"/>
      <c r="P167" s="6" t="n"/>
    </row>
    <row r="168">
      <c r="A168" s="6" t="n"/>
      <c r="C168" s="5" t="inlineStr">
        <is>
          <t>Case &amp; transport</t>
        </is>
      </c>
      <c r="D168" s="5" t="inlineStr">
        <is>
          <t>Flight case</t>
        </is>
      </c>
      <c r="F168" s="6" t="n"/>
      <c r="H168" s="6" t="n"/>
      <c r="J168" s="6" t="n"/>
      <c r="L168" s="6" t="n"/>
      <c r="N168" s="6" t="n"/>
      <c r="P168" s="6" t="n"/>
    </row>
    <row r="169">
      <c r="A169" s="6" t="n"/>
      <c r="C169" s="5" t="inlineStr">
        <is>
          <t>Case &amp; transport</t>
        </is>
      </c>
      <c r="D169" s="5" t="inlineStr">
        <is>
          <t>Rack case</t>
        </is>
      </c>
      <c r="F169" s="6" t="n"/>
      <c r="H169" s="6" t="n"/>
      <c r="J169" s="6" t="n"/>
      <c r="L169" s="6" t="n"/>
      <c r="N169" s="6" t="n"/>
      <c r="P169" s="6" t="n"/>
    </row>
    <row r="170">
      <c r="A170" s="6" t="n"/>
      <c r="C170" s="5" t="inlineStr">
        <is>
          <t>Case &amp; transport</t>
        </is>
      </c>
      <c r="D170" s="5" t="inlineStr">
        <is>
          <t>Cable trunk</t>
        </is>
      </c>
      <c r="F170" s="6" t="n"/>
      <c r="H170" s="6" t="n"/>
      <c r="J170" s="6" t="n"/>
      <c r="L170" s="6" t="n"/>
      <c r="N170" s="6" t="n"/>
      <c r="P170" s="6" t="n"/>
    </row>
    <row r="171">
      <c r="A171" s="6" t="n"/>
      <c r="C171" s="5" t="inlineStr">
        <is>
          <t>Case &amp; transport</t>
        </is>
      </c>
      <c r="D171" s="5" t="inlineStr">
        <is>
          <t>Trolley / dolly</t>
        </is>
      </c>
      <c r="F171" s="6" t="n"/>
      <c r="H171" s="6" t="n"/>
      <c r="J171" s="6" t="n"/>
      <c r="L171" s="6" t="n"/>
      <c r="N171" s="6" t="n"/>
      <c r="P171" s="6" t="n"/>
    </row>
    <row r="172">
      <c r="A172" s="6" t="n"/>
      <c r="C172" s="5" t="inlineStr">
        <is>
          <t>Case &amp; transport</t>
        </is>
      </c>
      <c r="D172" s="5" t="inlineStr">
        <is>
          <t>Gig bag</t>
        </is>
      </c>
      <c r="F172" s="6" t="n"/>
      <c r="H172" s="6" t="n"/>
      <c r="J172" s="6" t="n"/>
      <c r="L172" s="6" t="n"/>
      <c r="N172" s="6" t="n"/>
      <c r="P172" s="6" t="n"/>
    </row>
    <row r="173">
      <c r="A173" s="6" t="n"/>
      <c r="C173" s="5" t="inlineStr">
        <is>
          <t>Case &amp; transport</t>
        </is>
      </c>
      <c r="D173" s="5" t="inlineStr">
        <is>
          <t>Speaker cover</t>
        </is>
      </c>
      <c r="F173" s="6" t="n"/>
      <c r="H173" s="6" t="n"/>
      <c r="J173" s="6" t="n"/>
      <c r="L173" s="6" t="n"/>
      <c r="N173" s="6" t="n"/>
      <c r="P173" s="6" t="n"/>
    </row>
    <row r="174">
      <c r="A174" s="6" t="n"/>
      <c r="C174" s="5" t="inlineStr">
        <is>
          <t>Case &amp; transport</t>
        </is>
      </c>
      <c r="D174" s="5" t="inlineStr">
        <is>
          <t>Tarpaulin</t>
        </is>
      </c>
      <c r="F174" s="6" t="n"/>
      <c r="H174" s="6" t="n"/>
      <c r="J174" s="6" t="n"/>
      <c r="L174" s="6" t="n"/>
      <c r="N174" s="6" t="n"/>
      <c r="P174" s="6" t="n"/>
    </row>
    <row r="175">
      <c r="A175" s="6" t="n"/>
      <c r="C175" s="5" t="inlineStr">
        <is>
          <t>Consumable</t>
        </is>
      </c>
      <c r="D175" s="5" t="inlineStr">
        <is>
          <t>Fog fluid</t>
        </is>
      </c>
      <c r="F175" s="6" t="n"/>
      <c r="H175" s="6" t="n"/>
      <c r="J175" s="6" t="n"/>
      <c r="L175" s="6" t="n"/>
      <c r="N175" s="6" t="n"/>
      <c r="P175" s="6" t="n"/>
    </row>
    <row r="176">
      <c r="A176" s="6" t="n"/>
      <c r="C176" s="5" t="inlineStr">
        <is>
          <t>Consumable</t>
        </is>
      </c>
      <c r="D176" s="5" t="inlineStr">
        <is>
          <t>Haze fluid</t>
        </is>
      </c>
      <c r="F176" s="6" t="n"/>
      <c r="H176" s="6" t="n"/>
      <c r="J176" s="6" t="n"/>
      <c r="L176" s="6" t="n"/>
      <c r="N176" s="6" t="n"/>
      <c r="P176" s="6" t="n"/>
    </row>
    <row r="177">
      <c r="A177" s="6" t="n"/>
      <c r="C177" s="5" t="inlineStr">
        <is>
          <t>Consumable</t>
        </is>
      </c>
      <c r="D177" s="5" t="inlineStr">
        <is>
          <t>CO2 cylinder</t>
        </is>
      </c>
      <c r="F177" s="6" t="n"/>
      <c r="H177" s="6" t="n"/>
      <c r="J177" s="6" t="n"/>
      <c r="L177" s="6" t="n"/>
      <c r="N177" s="6" t="n"/>
      <c r="P177" s="6" t="n"/>
    </row>
    <row r="178">
      <c r="A178" s="6" t="n"/>
      <c r="C178" s="5" t="inlineStr">
        <is>
          <t>Consumable</t>
        </is>
      </c>
      <c r="D178" s="5" t="inlineStr">
        <is>
          <t>Gaffer tape</t>
        </is>
      </c>
      <c r="F178" s="6" t="n"/>
      <c r="H178" s="6" t="n"/>
      <c r="J178" s="6" t="n"/>
      <c r="L178" s="6" t="n"/>
      <c r="N178" s="6" t="n"/>
      <c r="P178" s="6" t="n"/>
    </row>
    <row r="179">
      <c r="A179" s="6" t="n"/>
      <c r="C179" s="5" t="inlineStr">
        <is>
          <t>Consumable</t>
        </is>
      </c>
      <c r="D179" s="5" t="inlineStr">
        <is>
          <t>Cable tie</t>
        </is>
      </c>
      <c r="F179" s="6" t="n"/>
      <c r="H179" s="6" t="n"/>
      <c r="J179" s="6" t="n"/>
      <c r="L179" s="6" t="n"/>
      <c r="N179" s="6" t="n"/>
      <c r="P179" s="6" t="n"/>
    </row>
    <row r="180">
      <c r="A180" s="6" t="n"/>
      <c r="C180" s="5" t="inlineStr">
        <is>
          <t>Consumable</t>
        </is>
      </c>
      <c r="D180" s="5" t="inlineStr">
        <is>
          <t>Battery</t>
        </is>
      </c>
      <c r="F180" s="6" t="n"/>
      <c r="H180" s="6" t="n"/>
      <c r="J180" s="6" t="n"/>
      <c r="L180" s="6" t="n"/>
      <c r="N180" s="6" t="n"/>
      <c r="P180" s="6" t="n"/>
    </row>
    <row r="181">
      <c r="A181" s="6" t="n"/>
      <c r="C181" s="5" t="inlineStr">
        <is>
          <t>Consumable</t>
        </is>
      </c>
      <c r="D181" s="5" t="inlineStr">
        <is>
          <t>Gel / gobo</t>
        </is>
      </c>
      <c r="F181" s="6" t="n"/>
      <c r="H181" s="6" t="n"/>
      <c r="J181" s="6" t="n"/>
      <c r="L181" s="6" t="n"/>
      <c r="N181" s="6" t="n"/>
      <c r="P181" s="6" t="n"/>
    </row>
    <row r="182">
      <c r="A182" s="6" t="n"/>
      <c r="C182" s="5" t="inlineStr">
        <is>
          <t>Consumable</t>
        </is>
      </c>
      <c r="D182" s="5" t="inlineStr">
        <is>
          <t>Spare lamp</t>
        </is>
      </c>
      <c r="F182" s="6" t="n"/>
      <c r="H182" s="6" t="n"/>
      <c r="J182" s="6" t="n"/>
      <c r="L182" s="6" t="n"/>
      <c r="N182" s="6" t="n"/>
      <c r="P182" s="6" t="n"/>
    </row>
    <row r="183">
      <c r="A183" s="6" t="n"/>
      <c r="C183" s="5" t="inlineStr">
        <is>
          <t>Tool &amp; spare</t>
        </is>
      </c>
      <c r="D183" s="5" t="inlineStr">
        <is>
          <t>Tool kit</t>
        </is>
      </c>
      <c r="F183" s="6" t="n"/>
      <c r="H183" s="6" t="n"/>
      <c r="J183" s="6" t="n"/>
      <c r="L183" s="6" t="n"/>
      <c r="N183" s="6" t="n"/>
      <c r="P183" s="6" t="n"/>
    </row>
    <row r="184">
      <c r="A184" s="6" t="n"/>
      <c r="C184" s="5" t="inlineStr">
        <is>
          <t>Tool &amp; spare</t>
        </is>
      </c>
      <c r="D184" s="5" t="inlineStr">
        <is>
          <t>Multimeter</t>
        </is>
      </c>
      <c r="F184" s="6" t="n"/>
      <c r="H184" s="6" t="n"/>
      <c r="J184" s="6" t="n"/>
      <c r="L184" s="6" t="n"/>
      <c r="N184" s="6" t="n"/>
      <c r="P184" s="6" t="n"/>
    </row>
    <row r="185">
      <c r="A185" s="6" t="n"/>
      <c r="C185" s="5" t="inlineStr">
        <is>
          <t>Tool &amp; spare</t>
        </is>
      </c>
      <c r="D185" s="5" t="inlineStr">
        <is>
          <t>Spare part</t>
        </is>
      </c>
      <c r="F185" s="6" t="n"/>
      <c r="H185" s="6" t="n"/>
      <c r="J185" s="6" t="n"/>
      <c r="L185" s="6" t="n"/>
      <c r="N185" s="6" t="n"/>
      <c r="P185" s="6" t="n"/>
    </row>
    <row r="186">
      <c r="A186" s="6" t="n"/>
      <c r="C186" s="5" t="inlineStr">
        <is>
          <t>Tool &amp; spare</t>
        </is>
      </c>
      <c r="D186" s="5" t="inlineStr">
        <is>
          <t>Ladder</t>
        </is>
      </c>
      <c r="F186" s="6" t="n"/>
      <c r="H186" s="6" t="n"/>
      <c r="J186" s="6" t="n"/>
      <c r="L186" s="6" t="n"/>
      <c r="N186" s="6" t="n"/>
      <c r="P186" s="6" t="n"/>
    </row>
    <row r="187">
      <c r="A187" s="6" t="n"/>
      <c r="C187" s="5" t="inlineStr">
        <is>
          <t>Tool &amp; spare</t>
        </is>
      </c>
      <c r="D187" s="5" t="inlineStr">
        <is>
          <t>Torch</t>
        </is>
      </c>
      <c r="F187" s="6" t="n"/>
      <c r="H187" s="6" t="n"/>
      <c r="J187" s="6" t="n"/>
      <c r="L187" s="6" t="n"/>
      <c r="N187" s="6" t="n"/>
      <c r="P187" s="6" t="n"/>
    </row>
    <row r="188">
      <c r="A188" s="6" t="n"/>
      <c r="C188" s="5" t="inlineStr">
        <is>
          <t>Other</t>
        </is>
      </c>
      <c r="D188" s="5" t="inlineStr">
        <is>
          <t>Uncategorised</t>
        </is>
      </c>
      <c r="F188" s="6" t="n"/>
      <c r="H188" s="6" t="n"/>
      <c r="J188" s="6" t="n"/>
      <c r="L188" s="6" t="n"/>
      <c r="N188" s="6" t="n"/>
      <c r="P188" s="6" t="n"/>
    </row>
    <row r="189">
      <c r="A189" s="6" t="n"/>
      <c r="C189" s="5" t="inlineStr">
        <is>
          <t>Other</t>
        </is>
      </c>
      <c r="D189" s="5" t="inlineStr">
        <is>
          <t>Sub-hired item</t>
        </is>
      </c>
      <c r="F189" s="6" t="n"/>
      <c r="H189" s="6" t="n"/>
      <c r="J189" s="6" t="n"/>
      <c r="L189" s="6" t="n"/>
      <c r="N189" s="6" t="n"/>
      <c r="P189" s="6" t="n"/>
    </row>
    <row r="190">
      <c r="A190" s="6" t="n"/>
      <c r="C190" s="5" t="inlineStr">
        <is>
          <t>Other</t>
        </is>
      </c>
      <c r="D190" s="5" t="inlineStr">
        <is>
          <t>Sold / disposed</t>
        </is>
      </c>
      <c r="F190" s="6" t="n"/>
      <c r="H190" s="6" t="n"/>
      <c r="J190" s="6" t="n"/>
      <c r="L190" s="6" t="n"/>
      <c r="N190" s="6" t="n"/>
      <c r="P190" s="6" t="n"/>
    </row>
    <row r="191">
      <c r="A191" s="6" t="n"/>
      <c r="C191" s="6" t="n"/>
      <c r="D191" s="6" t="n"/>
      <c r="F191" s="6" t="n"/>
      <c r="H191" s="6" t="n"/>
      <c r="J191" s="6" t="n"/>
      <c r="L191" s="6" t="n"/>
      <c r="N191" s="6" t="n"/>
      <c r="P191" s="6" t="n"/>
    </row>
    <row r="192">
      <c r="A192" s="6" t="n"/>
      <c r="C192" s="6" t="n"/>
      <c r="D192" s="6" t="n"/>
      <c r="F192" s="6" t="n"/>
      <c r="H192" s="6" t="n"/>
      <c r="J192" s="6" t="n"/>
      <c r="L192" s="6" t="n"/>
      <c r="N192" s="6" t="n"/>
      <c r="P192" s="6" t="n"/>
    </row>
    <row r="193">
      <c r="A193" s="6" t="n"/>
      <c r="C193" s="6" t="n"/>
      <c r="D193" s="6" t="n"/>
      <c r="F193" s="6" t="n"/>
      <c r="H193" s="6" t="n"/>
      <c r="J193" s="6" t="n"/>
      <c r="L193" s="6" t="n"/>
      <c r="N193" s="6" t="n"/>
      <c r="P193" s="6" t="n"/>
    </row>
    <row r="194">
      <c r="A194" s="6" t="n"/>
      <c r="C194" s="6" t="n"/>
      <c r="D194" s="6" t="n"/>
      <c r="F194" s="6" t="n"/>
      <c r="H194" s="6" t="n"/>
      <c r="J194" s="6" t="n"/>
      <c r="L194" s="6" t="n"/>
      <c r="N194" s="6" t="n"/>
      <c r="P194" s="6" t="n"/>
    </row>
    <row r="195">
      <c r="A195" s="6" t="n"/>
      <c r="C195" s="6" t="n"/>
      <c r="D195" s="6" t="n"/>
      <c r="F195" s="6" t="n"/>
      <c r="H195" s="6" t="n"/>
      <c r="J195" s="6" t="n"/>
      <c r="L195" s="6" t="n"/>
      <c r="N195" s="6" t="n"/>
      <c r="P195" s="6" t="n"/>
    </row>
    <row r="196">
      <c r="A196" s="6" t="n"/>
      <c r="C196" s="6" t="n"/>
      <c r="D196" s="6" t="n"/>
      <c r="F196" s="6" t="n"/>
      <c r="H196" s="6" t="n"/>
      <c r="J196" s="6" t="n"/>
      <c r="L196" s="6" t="n"/>
      <c r="N196" s="6" t="n"/>
      <c r="P196" s="6" t="n"/>
    </row>
    <row r="197">
      <c r="A197" s="6" t="n"/>
      <c r="C197" s="6" t="n"/>
      <c r="D197" s="6" t="n"/>
      <c r="F197" s="6" t="n"/>
      <c r="H197" s="6" t="n"/>
      <c r="J197" s="6" t="n"/>
      <c r="L197" s="6" t="n"/>
      <c r="N197" s="6" t="n"/>
      <c r="P197" s="6" t="n"/>
    </row>
    <row r="198">
      <c r="A198" s="6" t="n"/>
      <c r="C198" s="6" t="n"/>
      <c r="D198" s="6" t="n"/>
      <c r="F198" s="6" t="n"/>
      <c r="H198" s="6" t="n"/>
      <c r="J198" s="6" t="n"/>
      <c r="L198" s="6" t="n"/>
      <c r="N198" s="6" t="n"/>
      <c r="P198" s="6" t="n"/>
    </row>
    <row r="199">
      <c r="A199" s="6" t="n"/>
      <c r="C199" s="6" t="n"/>
      <c r="D199" s="6" t="n"/>
      <c r="F199" s="6" t="n"/>
      <c r="H199" s="6" t="n"/>
      <c r="J199" s="6" t="n"/>
      <c r="L199" s="6" t="n"/>
      <c r="N199" s="6" t="n"/>
      <c r="P199" s="6" t="n"/>
    </row>
    <row r="200">
      <c r="A200" s="6" t="n"/>
      <c r="C200" s="6" t="n"/>
      <c r="D200" s="6" t="n"/>
      <c r="F200" s="6" t="n"/>
      <c r="H200" s="6" t="n"/>
      <c r="J200" s="6" t="n"/>
      <c r="L200" s="6" t="n"/>
      <c r="N200" s="6" t="n"/>
      <c r="P200" s="6" t="n"/>
    </row>
    <row r="201">
      <c r="A201" s="6" t="n"/>
      <c r="C201" s="6" t="n"/>
      <c r="D201" s="6" t="n"/>
      <c r="F201" s="6" t="n"/>
      <c r="H201" s="6" t="n"/>
      <c r="J201" s="6" t="n"/>
      <c r="L201" s="6" t="n"/>
      <c r="N201" s="6" t="n"/>
      <c r="P201" s="6" t="n"/>
    </row>
    <row r="202">
      <c r="A202" s="6" t="n"/>
      <c r="C202" s="6" t="n"/>
      <c r="D202" s="6" t="n"/>
      <c r="F202" s="6" t="n"/>
      <c r="H202" s="6" t="n"/>
      <c r="J202" s="6" t="n"/>
      <c r="L202" s="6" t="n"/>
      <c r="N202" s="6" t="n"/>
      <c r="P202" s="6" t="n"/>
    </row>
    <row r="203">
      <c r="A203" s="6" t="n"/>
      <c r="C203" s="6" t="n"/>
      <c r="D203" s="6" t="n"/>
      <c r="F203" s="6" t="n"/>
      <c r="H203" s="6" t="n"/>
      <c r="J203" s="6" t="n"/>
      <c r="L203" s="6" t="n"/>
      <c r="N203" s="6" t="n"/>
      <c r="P203" s="6" t="n"/>
    </row>
    <row r="204">
      <c r="A204" s="6" t="n"/>
      <c r="C204" s="6" t="n"/>
      <c r="D204" s="6" t="n"/>
      <c r="F204" s="6" t="n"/>
      <c r="H204" s="6" t="n"/>
      <c r="J204" s="6" t="n"/>
      <c r="L204" s="6" t="n"/>
      <c r="N204" s="6" t="n"/>
      <c r="P204" s="6" t="n"/>
    </row>
    <row r="205">
      <c r="A205" s="6" t="n"/>
      <c r="C205" s="6" t="n"/>
      <c r="D205" s="6" t="n"/>
      <c r="F205" s="6" t="n"/>
      <c r="H205" s="6" t="n"/>
      <c r="J205" s="6" t="n"/>
      <c r="L205" s="6" t="n"/>
      <c r="N205" s="6" t="n"/>
      <c r="P205" s="6" t="n"/>
    </row>
    <row r="206">
      <c r="A206" s="6" t="n"/>
      <c r="C206" s="6" t="n"/>
      <c r="D206" s="6" t="n"/>
      <c r="F206" s="6" t="n"/>
      <c r="H206" s="6" t="n"/>
      <c r="J206" s="6" t="n"/>
      <c r="L206" s="6" t="n"/>
      <c r="N206" s="6" t="n"/>
      <c r="P206" s="6" t="n"/>
    </row>
    <row r="207">
      <c r="A207" s="6" t="n"/>
      <c r="C207" s="6" t="n"/>
      <c r="D207" s="6" t="n"/>
      <c r="F207" s="6" t="n"/>
      <c r="H207" s="6" t="n"/>
      <c r="J207" s="6" t="n"/>
      <c r="L207" s="6" t="n"/>
      <c r="N207" s="6" t="n"/>
      <c r="P207" s="6" t="n"/>
    </row>
    <row r="208">
      <c r="A208" s="6" t="n"/>
      <c r="C208" s="6" t="n"/>
      <c r="D208" s="6" t="n"/>
      <c r="F208" s="6" t="n"/>
      <c r="H208" s="6" t="n"/>
      <c r="J208" s="6" t="n"/>
      <c r="L208" s="6" t="n"/>
      <c r="N208" s="6" t="n"/>
      <c r="P208" s="6" t="n"/>
    </row>
    <row r="209">
      <c r="A209" s="6" t="n"/>
      <c r="C209" s="6" t="n"/>
      <c r="D209" s="6" t="n"/>
      <c r="F209" s="6" t="n"/>
      <c r="H209" s="6" t="n"/>
      <c r="J209" s="6" t="n"/>
      <c r="L209" s="6" t="n"/>
      <c r="N209" s="6" t="n"/>
      <c r="P209" s="6" t="n"/>
    </row>
    <row r="210">
      <c r="A210" s="6" t="n"/>
      <c r="C210" s="6" t="n"/>
      <c r="D210" s="6" t="n"/>
      <c r="F210" s="6" t="n"/>
      <c r="H210" s="6" t="n"/>
      <c r="J210" s="6" t="n"/>
      <c r="L210" s="6" t="n"/>
      <c r="N210" s="6" t="n"/>
      <c r="P210" s="6" t="n"/>
    </row>
    <row r="211">
      <c r="A211" s="6" t="n"/>
      <c r="C211" s="6" t="n"/>
      <c r="D211" s="6" t="n"/>
      <c r="F211" s="6" t="n"/>
      <c r="H211" s="6" t="n"/>
      <c r="J211" s="6" t="n"/>
      <c r="L211" s="6" t="n"/>
      <c r="N211" s="6" t="n"/>
      <c r="P211" s="6" t="n"/>
    </row>
    <row r="212">
      <c r="A212" s="6" t="n"/>
      <c r="C212" s="6" t="n"/>
      <c r="D212" s="6" t="n"/>
      <c r="F212" s="6" t="n"/>
      <c r="H212" s="6" t="n"/>
      <c r="J212" s="6" t="n"/>
      <c r="L212" s="6" t="n"/>
      <c r="N212" s="6" t="n"/>
      <c r="P212" s="6" t="n"/>
    </row>
    <row r="213">
      <c r="A213" s="6" t="n"/>
      <c r="C213" s="6" t="n"/>
      <c r="D213" s="6" t="n"/>
      <c r="F213" s="6" t="n"/>
      <c r="H213" s="6" t="n"/>
      <c r="J213" s="6" t="n"/>
      <c r="L213" s="6" t="n"/>
      <c r="N213" s="6" t="n"/>
      <c r="P213" s="6" t="n"/>
    </row>
    <row r="214">
      <c r="A214" s="6" t="n"/>
      <c r="C214" s="6" t="n"/>
      <c r="D214" s="6" t="n"/>
      <c r="F214" s="6" t="n"/>
      <c r="H214" s="6" t="n"/>
      <c r="J214" s="6" t="n"/>
      <c r="L214" s="6" t="n"/>
      <c r="N214" s="6" t="n"/>
      <c r="P214" s="6" t="n"/>
    </row>
    <row r="215">
      <c r="A215" s="6" t="n"/>
      <c r="C215" s="6" t="n"/>
      <c r="D215" s="6" t="n"/>
      <c r="F215" s="6" t="n"/>
      <c r="H215" s="6" t="n"/>
      <c r="J215" s="6" t="n"/>
      <c r="L215" s="6" t="n"/>
      <c r="N215" s="6" t="n"/>
      <c r="P215" s="6" t="n"/>
    </row>
    <row r="216">
      <c r="A216" s="6" t="n"/>
      <c r="C216" s="6" t="n"/>
      <c r="D216" s="6" t="n"/>
      <c r="F216" s="6" t="n"/>
      <c r="H216" s="6" t="n"/>
      <c r="J216" s="6" t="n"/>
      <c r="L216" s="6" t="n"/>
      <c r="N216" s="6" t="n"/>
      <c r="P216" s="6" t="n"/>
    </row>
    <row r="217">
      <c r="A217" s="6" t="n"/>
      <c r="C217" s="6" t="n"/>
      <c r="D217" s="6" t="n"/>
      <c r="F217" s="6" t="n"/>
      <c r="H217" s="6" t="n"/>
      <c r="J217" s="6" t="n"/>
      <c r="L217" s="6" t="n"/>
      <c r="N217" s="6" t="n"/>
      <c r="P217" s="6" t="n"/>
    </row>
    <row r="218">
      <c r="A218" s="6" t="n"/>
      <c r="C218" s="6" t="n"/>
      <c r="D218" s="6" t="n"/>
      <c r="F218" s="6" t="n"/>
      <c r="H218" s="6" t="n"/>
      <c r="J218" s="6" t="n"/>
      <c r="L218" s="6" t="n"/>
      <c r="N218" s="6" t="n"/>
      <c r="P218" s="6" t="n"/>
    </row>
    <row r="219">
      <c r="A219" s="6" t="n"/>
      <c r="C219" s="6" t="n"/>
      <c r="D219" s="6" t="n"/>
      <c r="F219" s="6" t="n"/>
      <c r="H219" s="6" t="n"/>
      <c r="J219" s="6" t="n"/>
      <c r="L219" s="6" t="n"/>
      <c r="N219" s="6" t="n"/>
      <c r="P219" s="6" t="n"/>
    </row>
    <row r="220">
      <c r="A220" s="6" t="n"/>
      <c r="C220" s="6" t="n"/>
      <c r="D220" s="6" t="n"/>
      <c r="F220" s="6" t="n"/>
      <c r="H220" s="6" t="n"/>
      <c r="J220" s="6" t="n"/>
      <c r="L220" s="6" t="n"/>
      <c r="N220" s="6" t="n"/>
      <c r="P220" s="6" t="n"/>
    </row>
    <row r="221">
      <c r="A221" s="6" t="n"/>
      <c r="C221" s="6" t="n"/>
      <c r="D221" s="6" t="n"/>
      <c r="F221" s="6" t="n"/>
      <c r="H221" s="6" t="n"/>
      <c r="J221" s="6" t="n"/>
      <c r="L221" s="6" t="n"/>
      <c r="N221" s="6" t="n"/>
      <c r="P221" s="6" t="n"/>
    </row>
    <row r="222">
      <c r="A222" s="6" t="n"/>
      <c r="C222" s="6" t="n"/>
      <c r="D222" s="6" t="n"/>
      <c r="F222" s="6" t="n"/>
      <c r="H222" s="6" t="n"/>
      <c r="J222" s="6" t="n"/>
      <c r="L222" s="6" t="n"/>
      <c r="N222" s="6" t="n"/>
      <c r="P222" s="6" t="n"/>
    </row>
    <row r="223">
      <c r="A223" s="6" t="n"/>
      <c r="C223" s="6" t="n"/>
      <c r="D223" s="6" t="n"/>
      <c r="F223" s="6" t="n"/>
      <c r="H223" s="6" t="n"/>
      <c r="J223" s="6" t="n"/>
      <c r="L223" s="6" t="n"/>
      <c r="N223" s="6" t="n"/>
      <c r="P223" s="6" t="n"/>
    </row>
    <row r="224">
      <c r="A224" s="6" t="n"/>
      <c r="C224" s="6" t="n"/>
      <c r="D224" s="6" t="n"/>
      <c r="F224" s="6" t="n"/>
      <c r="H224" s="6" t="n"/>
      <c r="J224" s="6" t="n"/>
      <c r="L224" s="6" t="n"/>
      <c r="N224" s="6" t="n"/>
      <c r="P224" s="6" t="n"/>
    </row>
    <row r="225">
      <c r="A225" s="6" t="n"/>
      <c r="C225" s="6" t="n"/>
      <c r="D225" s="6" t="n"/>
      <c r="F225" s="6" t="n"/>
      <c r="H225" s="6" t="n"/>
      <c r="J225" s="6" t="n"/>
      <c r="L225" s="6" t="n"/>
      <c r="N225" s="6" t="n"/>
      <c r="P225" s="6" t="n"/>
    </row>
    <row r="226">
      <c r="A226" s="6" t="n"/>
      <c r="C226" s="6" t="n"/>
      <c r="D226" s="6" t="n"/>
      <c r="F226" s="6" t="n"/>
      <c r="H226" s="6" t="n"/>
      <c r="J226" s="6" t="n"/>
      <c r="L226" s="6" t="n"/>
      <c r="N226" s="6" t="n"/>
      <c r="P226" s="6" t="n"/>
    </row>
    <row r="227">
      <c r="A227" s="6" t="n"/>
      <c r="C227" s="6" t="n"/>
      <c r="D227" s="6" t="n"/>
      <c r="F227" s="6" t="n"/>
      <c r="H227" s="6" t="n"/>
      <c r="J227" s="6" t="n"/>
      <c r="L227" s="6" t="n"/>
      <c r="N227" s="6" t="n"/>
      <c r="P227" s="6" t="n"/>
    </row>
    <row r="228">
      <c r="A228" s="6" t="n"/>
      <c r="C228" s="6" t="n"/>
      <c r="D228" s="6" t="n"/>
      <c r="F228" s="6" t="n"/>
      <c r="H228" s="6" t="n"/>
      <c r="J228" s="6" t="n"/>
      <c r="L228" s="6" t="n"/>
      <c r="N228" s="6" t="n"/>
      <c r="P228" s="6" t="n"/>
    </row>
    <row r="229">
      <c r="A229" s="6" t="n"/>
      <c r="C229" s="6" t="n"/>
      <c r="D229" s="6" t="n"/>
      <c r="F229" s="6" t="n"/>
      <c r="H229" s="6" t="n"/>
      <c r="J229" s="6" t="n"/>
      <c r="L229" s="6" t="n"/>
      <c r="N229" s="6" t="n"/>
      <c r="P229" s="6" t="n"/>
    </row>
    <row r="230">
      <c r="A230" s="6" t="n"/>
      <c r="C230" s="6" t="n"/>
      <c r="D230" s="6" t="n"/>
      <c r="F230" s="6" t="n"/>
      <c r="H230" s="6" t="n"/>
      <c r="J230" s="6" t="n"/>
      <c r="L230" s="6" t="n"/>
      <c r="N230" s="6" t="n"/>
      <c r="P230" s="6" t="n"/>
    </row>
    <row r="231">
      <c r="A231" s="6" t="n"/>
      <c r="C231" s="6" t="n"/>
      <c r="D231" s="6" t="n"/>
      <c r="F231" s="6" t="n"/>
      <c r="H231" s="6" t="n"/>
      <c r="J231" s="6" t="n"/>
      <c r="L231" s="6" t="n"/>
      <c r="N231" s="6" t="n"/>
      <c r="P231" s="6" t="n"/>
    </row>
    <row r="232">
      <c r="A232" s="6" t="n"/>
      <c r="C232" s="6" t="n"/>
      <c r="D232" s="6" t="n"/>
      <c r="F232" s="6" t="n"/>
      <c r="H232" s="6" t="n"/>
      <c r="J232" s="6" t="n"/>
      <c r="L232" s="6" t="n"/>
      <c r="N232" s="6" t="n"/>
      <c r="P232" s="6" t="n"/>
    </row>
    <row r="233">
      <c r="A233" s="6" t="n"/>
      <c r="C233" s="6" t="n"/>
      <c r="D233" s="6" t="n"/>
      <c r="F233" s="6" t="n"/>
      <c r="H233" s="6" t="n"/>
      <c r="J233" s="6" t="n"/>
      <c r="L233" s="6" t="n"/>
      <c r="N233" s="6" t="n"/>
      <c r="P233" s="6" t="n"/>
    </row>
    <row r="234">
      <c r="A234" s="6" t="n"/>
      <c r="C234" s="6" t="n"/>
      <c r="D234" s="6" t="n"/>
      <c r="F234" s="6" t="n"/>
      <c r="H234" s="6" t="n"/>
      <c r="J234" s="6" t="n"/>
      <c r="L234" s="6" t="n"/>
      <c r="N234" s="6" t="n"/>
      <c r="P234" s="6" t="n"/>
    </row>
    <row r="235">
      <c r="A235" s="6" t="n"/>
      <c r="C235" s="6" t="n"/>
      <c r="D235" s="6" t="n"/>
      <c r="F235" s="6" t="n"/>
      <c r="H235" s="6" t="n"/>
      <c r="J235" s="6" t="n"/>
      <c r="L235" s="6" t="n"/>
      <c r="N235" s="6" t="n"/>
      <c r="P235" s="6" t="n"/>
    </row>
    <row r="236">
      <c r="A236" s="6" t="n"/>
      <c r="C236" s="6" t="n"/>
      <c r="D236" s="6" t="n"/>
      <c r="F236" s="6" t="n"/>
      <c r="H236" s="6" t="n"/>
      <c r="J236" s="6" t="n"/>
      <c r="L236" s="6" t="n"/>
      <c r="N236" s="6" t="n"/>
      <c r="P236" s="6" t="n"/>
    </row>
    <row r="237">
      <c r="A237" s="6" t="n"/>
      <c r="C237" s="6" t="n"/>
      <c r="D237" s="6" t="n"/>
      <c r="F237" s="6" t="n"/>
      <c r="H237" s="6" t="n"/>
      <c r="J237" s="6" t="n"/>
      <c r="L237" s="6" t="n"/>
      <c r="N237" s="6" t="n"/>
      <c r="P237" s="6" t="n"/>
    </row>
    <row r="238">
      <c r="A238" s="6" t="n"/>
      <c r="C238" s="6" t="n"/>
      <c r="D238" s="6" t="n"/>
      <c r="F238" s="6" t="n"/>
      <c r="H238" s="6" t="n"/>
      <c r="J238" s="6" t="n"/>
      <c r="L238" s="6" t="n"/>
      <c r="N238" s="6" t="n"/>
      <c r="P238" s="6" t="n"/>
    </row>
    <row r="239">
      <c r="A239" s="6" t="n"/>
      <c r="C239" s="6" t="n"/>
      <c r="D239" s="6" t="n"/>
      <c r="F239" s="6" t="n"/>
      <c r="H239" s="6" t="n"/>
      <c r="J239" s="6" t="n"/>
      <c r="L239" s="6" t="n"/>
      <c r="N239" s="6" t="n"/>
      <c r="P239" s="6" t="n"/>
    </row>
    <row r="240">
      <c r="A240" s="6" t="n"/>
      <c r="C240" s="6" t="n"/>
      <c r="D240" s="6" t="n"/>
      <c r="F240" s="6" t="n"/>
      <c r="H240" s="6" t="n"/>
      <c r="J240" s="6" t="n"/>
      <c r="L240" s="6" t="n"/>
      <c r="N240" s="6" t="n"/>
      <c r="P240" s="6" t="n"/>
    </row>
    <row r="241">
      <c r="A241" s="6" t="n"/>
      <c r="C241" s="6" t="n"/>
      <c r="D241" s="6" t="n"/>
      <c r="F241" s="6" t="n"/>
      <c r="H241" s="6" t="n"/>
      <c r="J241" s="6" t="n"/>
      <c r="L241" s="6" t="n"/>
      <c r="N241" s="6" t="n"/>
      <c r="P241" s="6" t="n"/>
    </row>
    <row r="242">
      <c r="A242" s="6" t="n"/>
      <c r="C242" s="6" t="n"/>
      <c r="D242" s="6" t="n"/>
      <c r="F242" s="6" t="n"/>
      <c r="H242" s="6" t="n"/>
      <c r="J242" s="6" t="n"/>
      <c r="L242" s="6" t="n"/>
      <c r="N242" s="6" t="n"/>
      <c r="P242" s="6" t="n"/>
    </row>
    <row r="243">
      <c r="A243" s="6" t="n"/>
      <c r="C243" s="6" t="n"/>
      <c r="D243" s="6" t="n"/>
      <c r="F243" s="6" t="n"/>
      <c r="H243" s="6" t="n"/>
      <c r="J243" s="6" t="n"/>
      <c r="L243" s="6" t="n"/>
      <c r="N243" s="6" t="n"/>
      <c r="P243" s="6" t="n"/>
    </row>
    <row r="244">
      <c r="A244" s="6" t="n"/>
      <c r="C244" s="6" t="n"/>
      <c r="D244" s="6" t="n"/>
      <c r="F244" s="6" t="n"/>
      <c r="H244" s="6" t="n"/>
      <c r="J244" s="6" t="n"/>
      <c r="L244" s="6" t="n"/>
      <c r="N244" s="6" t="n"/>
      <c r="P244" s="6" t="n"/>
    </row>
    <row r="245">
      <c r="A245" s="6" t="n"/>
      <c r="C245" s="6" t="n"/>
      <c r="D245" s="6" t="n"/>
      <c r="F245" s="6" t="n"/>
      <c r="H245" s="6" t="n"/>
      <c r="J245" s="6" t="n"/>
      <c r="L245" s="6" t="n"/>
      <c r="N245" s="6" t="n"/>
      <c r="P245" s="6" t="n"/>
    </row>
    <row r="246">
      <c r="A246" s="6" t="n"/>
      <c r="C246" s="6" t="n"/>
      <c r="D246" s="6" t="n"/>
      <c r="F246" s="6" t="n"/>
      <c r="H246" s="6" t="n"/>
      <c r="J246" s="6" t="n"/>
      <c r="L246" s="6" t="n"/>
      <c r="N246" s="6" t="n"/>
      <c r="P246" s="6" t="n"/>
    </row>
    <row r="247">
      <c r="A247" s="6" t="n"/>
      <c r="C247" s="6" t="n"/>
      <c r="D247" s="6" t="n"/>
      <c r="F247" s="6" t="n"/>
      <c r="H247" s="6" t="n"/>
      <c r="J247" s="6" t="n"/>
      <c r="L247" s="6" t="n"/>
      <c r="N247" s="6" t="n"/>
      <c r="P247" s="6" t="n"/>
    </row>
    <row r="248">
      <c r="A248" s="6" t="n"/>
      <c r="C248" s="6" t="n"/>
      <c r="D248" s="6" t="n"/>
      <c r="F248" s="6" t="n"/>
      <c r="H248" s="6" t="n"/>
      <c r="J248" s="6" t="n"/>
      <c r="L248" s="6" t="n"/>
      <c r="N248" s="6" t="n"/>
      <c r="P248" s="6" t="n"/>
    </row>
    <row r="249">
      <c r="A249" s="6" t="n"/>
      <c r="C249" s="6" t="n"/>
      <c r="D249" s="6" t="n"/>
      <c r="F249" s="6" t="n"/>
      <c r="H249" s="6" t="n"/>
      <c r="J249" s="6" t="n"/>
      <c r="L249" s="6" t="n"/>
      <c r="N249" s="6" t="n"/>
      <c r="P249" s="6" t="n"/>
    </row>
    <row r="250">
      <c r="A250" s="6" t="n"/>
      <c r="C250" s="6" t="n"/>
      <c r="D250" s="6" t="n"/>
      <c r="F250" s="6" t="n"/>
      <c r="H250" s="6" t="n"/>
      <c r="J250" s="6" t="n"/>
      <c r="L250" s="6" t="n"/>
      <c r="N250" s="6" t="n"/>
      <c r="P250" s="6" t="n"/>
    </row>
    <row r="251">
      <c r="A251" s="6" t="n"/>
      <c r="C251" s="6" t="n"/>
      <c r="D251" s="6" t="n"/>
      <c r="F251" s="6" t="n"/>
      <c r="H251" s="6" t="n"/>
      <c r="J251" s="6" t="n"/>
      <c r="L251" s="6" t="n"/>
      <c r="N251" s="6" t="n"/>
      <c r="P251" s="6" t="n"/>
    </row>
    <row r="252">
      <c r="A252" s="6" t="n"/>
      <c r="C252" s="6" t="n"/>
      <c r="D252" s="6" t="n"/>
      <c r="F252" s="6" t="n"/>
      <c r="H252" s="6" t="n"/>
      <c r="J252" s="6" t="n"/>
      <c r="L252" s="6" t="n"/>
      <c r="N252" s="6" t="n"/>
      <c r="P252" s="6" t="n"/>
    </row>
    <row r="253">
      <c r="A253" s="6" t="n"/>
      <c r="C253" s="6" t="n"/>
      <c r="D253" s="6" t="n"/>
      <c r="F253" s="6" t="n"/>
      <c r="H253" s="6" t="n"/>
      <c r="J253" s="6" t="n"/>
      <c r="L253" s="6" t="n"/>
      <c r="N253" s="6" t="n"/>
      <c r="P253" s="6" t="n"/>
    </row>
    <row r="254">
      <c r="A254" s="6" t="n"/>
      <c r="C254" s="6" t="n"/>
      <c r="D254" s="6" t="n"/>
      <c r="F254" s="6" t="n"/>
      <c r="H254" s="6" t="n"/>
      <c r="J254" s="6" t="n"/>
      <c r="L254" s="6" t="n"/>
      <c r="N254" s="6" t="n"/>
      <c r="P254" s="6" t="n"/>
    </row>
    <row r="255">
      <c r="A255" s="6" t="n"/>
      <c r="C255" s="6" t="n"/>
      <c r="D255" s="6" t="n"/>
      <c r="F255" s="6" t="n"/>
      <c r="H255" s="6" t="n"/>
      <c r="J255" s="6" t="n"/>
      <c r="L255" s="6" t="n"/>
      <c r="N255" s="6" t="n"/>
      <c r="P255" s="6" t="n"/>
    </row>
    <row r="256">
      <c r="A256" s="6" t="n"/>
      <c r="C256" s="6" t="n"/>
      <c r="D256" s="6" t="n"/>
      <c r="F256" s="6" t="n"/>
      <c r="H256" s="6" t="n"/>
      <c r="J256" s="6" t="n"/>
      <c r="L256" s="6" t="n"/>
      <c r="N256" s="6" t="n"/>
      <c r="P256" s="6" t="n"/>
    </row>
    <row r="257">
      <c r="A257" s="6" t="n"/>
      <c r="C257" s="6" t="n"/>
      <c r="D257" s="6" t="n"/>
      <c r="F257" s="6" t="n"/>
      <c r="H257" s="6" t="n"/>
      <c r="J257" s="6" t="n"/>
      <c r="L257" s="6" t="n"/>
      <c r="N257" s="6" t="n"/>
      <c r="P257" s="6" t="n"/>
    </row>
    <row r="258">
      <c r="A258" s="6" t="n"/>
      <c r="C258" s="6" t="n"/>
      <c r="D258" s="6" t="n"/>
      <c r="F258" s="6" t="n"/>
      <c r="H258" s="6" t="n"/>
      <c r="J258" s="6" t="n"/>
      <c r="L258" s="6" t="n"/>
      <c r="N258" s="6" t="n"/>
      <c r="P258" s="6" t="n"/>
    </row>
    <row r="259">
      <c r="A259" s="6" t="n"/>
      <c r="C259" s="6" t="n"/>
      <c r="D259" s="6" t="n"/>
      <c r="F259" s="6" t="n"/>
      <c r="H259" s="6" t="n"/>
      <c r="J259" s="6" t="n"/>
      <c r="L259" s="6" t="n"/>
      <c r="N259" s="6" t="n"/>
      <c r="P259" s="6" t="n"/>
    </row>
    <row r="260">
      <c r="A260" s="6" t="n"/>
      <c r="C260" s="6" t="n"/>
      <c r="D260" s="6" t="n"/>
      <c r="F260" s="6" t="n"/>
      <c r="H260" s="6" t="n"/>
      <c r="J260" s="6" t="n"/>
      <c r="L260" s="6" t="n"/>
      <c r="N260" s="6" t="n"/>
      <c r="P260" s="6" t="n"/>
    </row>
    <row r="261">
      <c r="A261" s="6" t="n"/>
      <c r="C261" s="6" t="n"/>
      <c r="D261" s="6" t="n"/>
      <c r="F261" s="6" t="n"/>
      <c r="H261" s="6" t="n"/>
      <c r="J261" s="6" t="n"/>
      <c r="L261" s="6" t="n"/>
      <c r="N261" s="6" t="n"/>
      <c r="P261" s="6" t="n"/>
    </row>
    <row r="262">
      <c r="A262" s="6" t="n"/>
      <c r="C262" s="6" t="n"/>
      <c r="D262" s="6" t="n"/>
      <c r="F262" s="6" t="n"/>
      <c r="H262" s="6" t="n"/>
      <c r="J262" s="6" t="n"/>
      <c r="L262" s="6" t="n"/>
      <c r="N262" s="6" t="n"/>
      <c r="P262" s="6" t="n"/>
    </row>
    <row r="263">
      <c r="A263" s="6" t="n"/>
      <c r="C263" s="6" t="n"/>
      <c r="D263" s="6" t="n"/>
      <c r="F263" s="6" t="n"/>
      <c r="H263" s="6" t="n"/>
      <c r="J263" s="6" t="n"/>
      <c r="L263" s="6" t="n"/>
      <c r="N263" s="6" t="n"/>
      <c r="P263" s="6" t="n"/>
    </row>
    <row r="264">
      <c r="A264" s="6" t="n"/>
      <c r="C264" s="6" t="n"/>
      <c r="D264" s="6" t="n"/>
      <c r="F264" s="6" t="n"/>
      <c r="H264" s="6" t="n"/>
      <c r="J264" s="6" t="n"/>
      <c r="L264" s="6" t="n"/>
      <c r="N264" s="6" t="n"/>
      <c r="P264" s="6" t="n"/>
    </row>
    <row r="265">
      <c r="A265" s="6" t="n"/>
      <c r="C265" s="6" t="n"/>
      <c r="D265" s="6" t="n"/>
      <c r="F265" s="6" t="n"/>
      <c r="H265" s="6" t="n"/>
      <c r="J265" s="6" t="n"/>
      <c r="L265" s="6" t="n"/>
      <c r="N265" s="6" t="n"/>
      <c r="P265" s="6" t="n"/>
    </row>
    <row r="266">
      <c r="A266" s="6" t="n"/>
      <c r="C266" s="6" t="n"/>
      <c r="D266" s="6" t="n"/>
      <c r="F266" s="6" t="n"/>
      <c r="H266" s="6" t="n"/>
      <c r="J266" s="6" t="n"/>
      <c r="L266" s="6" t="n"/>
      <c r="N266" s="6" t="n"/>
      <c r="P266" s="6" t="n"/>
    </row>
    <row r="267">
      <c r="A267" s="6" t="n"/>
      <c r="C267" s="6" t="n"/>
      <c r="D267" s="6" t="n"/>
      <c r="F267" s="6" t="n"/>
      <c r="H267" s="6" t="n"/>
      <c r="J267" s="6" t="n"/>
      <c r="L267" s="6" t="n"/>
      <c r="N267" s="6" t="n"/>
      <c r="P267" s="6" t="n"/>
    </row>
    <row r="268">
      <c r="A268" s="6" t="n"/>
      <c r="C268" s="6" t="n"/>
      <c r="D268" s="6" t="n"/>
      <c r="F268" s="6" t="n"/>
      <c r="H268" s="6" t="n"/>
      <c r="J268" s="6" t="n"/>
      <c r="L268" s="6" t="n"/>
      <c r="N268" s="6" t="n"/>
      <c r="P268" s="6" t="n"/>
    </row>
    <row r="269">
      <c r="A269" s="6" t="n"/>
      <c r="C269" s="6" t="n"/>
      <c r="D269" s="6" t="n"/>
      <c r="F269" s="6" t="n"/>
      <c r="H269" s="6" t="n"/>
      <c r="J269" s="6" t="n"/>
      <c r="L269" s="6" t="n"/>
      <c r="N269" s="6" t="n"/>
      <c r="P269" s="6" t="n"/>
    </row>
    <row r="270">
      <c r="A270" s="6" t="n"/>
      <c r="C270" s="6" t="n"/>
      <c r="D270" s="6" t="n"/>
      <c r="F270" s="6" t="n"/>
      <c r="H270" s="6" t="n"/>
      <c r="J270" s="6" t="n"/>
      <c r="L270" s="6" t="n"/>
      <c r="N270" s="6" t="n"/>
      <c r="P270" s="6" t="n"/>
    </row>
    <row r="271">
      <c r="A271" s="6" t="n"/>
      <c r="C271" s="6" t="n"/>
      <c r="D271" s="6" t="n"/>
      <c r="F271" s="6" t="n"/>
      <c r="H271" s="6" t="n"/>
      <c r="J271" s="6" t="n"/>
      <c r="L271" s="6" t="n"/>
      <c r="N271" s="6" t="n"/>
      <c r="P271" s="6" t="n"/>
    </row>
    <row r="272">
      <c r="A272" s="6" t="n"/>
      <c r="C272" s="6" t="n"/>
      <c r="D272" s="6" t="n"/>
      <c r="F272" s="6" t="n"/>
      <c r="H272" s="6" t="n"/>
      <c r="J272" s="6" t="n"/>
      <c r="L272" s="6" t="n"/>
      <c r="N272" s="6" t="n"/>
      <c r="P272" s="6" t="n"/>
    </row>
    <row r="273">
      <c r="A273" s="6" t="n"/>
      <c r="C273" s="6" t="n"/>
      <c r="D273" s="6" t="n"/>
      <c r="F273" s="6" t="n"/>
      <c r="H273" s="6" t="n"/>
      <c r="J273" s="6" t="n"/>
      <c r="L273" s="6" t="n"/>
      <c r="N273" s="6" t="n"/>
      <c r="P273" s="6" t="n"/>
    </row>
    <row r="274">
      <c r="A274" s="6" t="n"/>
      <c r="C274" s="6" t="n"/>
      <c r="D274" s="6" t="n"/>
      <c r="F274" s="6" t="n"/>
      <c r="H274" s="6" t="n"/>
      <c r="J274" s="6" t="n"/>
      <c r="L274" s="6" t="n"/>
      <c r="N274" s="6" t="n"/>
      <c r="P274" s="6" t="n"/>
    </row>
    <row r="275">
      <c r="A275" s="6" t="n"/>
      <c r="C275" s="6" t="n"/>
      <c r="D275" s="6" t="n"/>
      <c r="F275" s="6" t="n"/>
      <c r="H275" s="6" t="n"/>
      <c r="J275" s="6" t="n"/>
      <c r="L275" s="6" t="n"/>
      <c r="N275" s="6" t="n"/>
      <c r="P275" s="6" t="n"/>
    </row>
    <row r="276">
      <c r="A276" s="6" t="n"/>
      <c r="C276" s="6" t="n"/>
      <c r="D276" s="6" t="n"/>
      <c r="F276" s="6" t="n"/>
      <c r="H276" s="6" t="n"/>
      <c r="J276" s="6" t="n"/>
      <c r="L276" s="6" t="n"/>
      <c r="N276" s="6" t="n"/>
      <c r="P276" s="6" t="n"/>
    </row>
    <row r="277">
      <c r="A277" s="6" t="n"/>
      <c r="C277" s="6" t="n"/>
      <c r="D277" s="6" t="n"/>
      <c r="F277" s="6" t="n"/>
      <c r="H277" s="6" t="n"/>
      <c r="J277" s="6" t="n"/>
      <c r="L277" s="6" t="n"/>
      <c r="N277" s="6" t="n"/>
      <c r="P277" s="6" t="n"/>
    </row>
    <row r="278">
      <c r="A278" s="6" t="n"/>
      <c r="C278" s="6" t="n"/>
      <c r="D278" s="6" t="n"/>
      <c r="F278" s="6" t="n"/>
      <c r="H278" s="6" t="n"/>
      <c r="J278" s="6" t="n"/>
      <c r="L278" s="6" t="n"/>
      <c r="N278" s="6" t="n"/>
      <c r="P278" s="6" t="n"/>
    </row>
    <row r="279">
      <c r="A279" s="6" t="n"/>
      <c r="C279" s="6" t="n"/>
      <c r="D279" s="6" t="n"/>
      <c r="F279" s="6" t="n"/>
      <c r="H279" s="6" t="n"/>
      <c r="J279" s="6" t="n"/>
      <c r="L279" s="6" t="n"/>
      <c r="N279" s="6" t="n"/>
      <c r="P279" s="6" t="n"/>
    </row>
    <row r="280">
      <c r="A280" s="6" t="n"/>
      <c r="C280" s="6" t="n"/>
      <c r="D280" s="6" t="n"/>
      <c r="F280" s="6" t="n"/>
      <c r="H280" s="6" t="n"/>
      <c r="J280" s="6" t="n"/>
      <c r="L280" s="6" t="n"/>
      <c r="N280" s="6" t="n"/>
      <c r="P280" s="6" t="n"/>
    </row>
    <row r="281">
      <c r="A281" s="6" t="n"/>
      <c r="C281" s="6" t="n"/>
      <c r="D281" s="6" t="n"/>
      <c r="F281" s="6" t="n"/>
      <c r="H281" s="6" t="n"/>
      <c r="J281" s="6" t="n"/>
      <c r="L281" s="6" t="n"/>
      <c r="N281" s="6" t="n"/>
      <c r="P281" s="6" t="n"/>
    </row>
    <row r="282">
      <c r="A282" s="6" t="n"/>
      <c r="C282" s="6" t="n"/>
      <c r="D282" s="6" t="n"/>
      <c r="F282" s="6" t="n"/>
      <c r="H282" s="6" t="n"/>
      <c r="J282" s="6" t="n"/>
      <c r="L282" s="6" t="n"/>
      <c r="N282" s="6" t="n"/>
      <c r="P282" s="6" t="n"/>
    </row>
    <row r="283">
      <c r="A283" s="6" t="n"/>
      <c r="C283" s="6" t="n"/>
      <c r="D283" s="6" t="n"/>
      <c r="F283" s="6" t="n"/>
      <c r="H283" s="6" t="n"/>
      <c r="J283" s="6" t="n"/>
      <c r="L283" s="6" t="n"/>
      <c r="N283" s="6" t="n"/>
      <c r="P283" s="6" t="n"/>
    </row>
    <row r="284">
      <c r="A284" s="6" t="n"/>
      <c r="C284" s="6" t="n"/>
      <c r="D284" s="6" t="n"/>
      <c r="F284" s="6" t="n"/>
      <c r="H284" s="6" t="n"/>
      <c r="J284" s="6" t="n"/>
      <c r="L284" s="6" t="n"/>
      <c r="N284" s="6" t="n"/>
      <c r="P284" s="6" t="n"/>
    </row>
    <row r="285">
      <c r="A285" s="6" t="n"/>
      <c r="C285" s="6" t="n"/>
      <c r="D285" s="6" t="n"/>
      <c r="F285" s="6" t="n"/>
      <c r="H285" s="6" t="n"/>
      <c r="J285" s="6" t="n"/>
      <c r="L285" s="6" t="n"/>
      <c r="N285" s="6" t="n"/>
      <c r="P285" s="6" t="n"/>
    </row>
    <row r="286">
      <c r="A286" s="6" t="n"/>
      <c r="C286" s="6" t="n"/>
      <c r="D286" s="6" t="n"/>
      <c r="F286" s="6" t="n"/>
      <c r="H286" s="6" t="n"/>
      <c r="J286" s="6" t="n"/>
      <c r="L286" s="6" t="n"/>
      <c r="N286" s="6" t="n"/>
      <c r="P286" s="6" t="n"/>
    </row>
    <row r="287">
      <c r="A287" s="6" t="n"/>
      <c r="C287" s="6" t="n"/>
      <c r="D287" s="6" t="n"/>
      <c r="F287" s="6" t="n"/>
      <c r="H287" s="6" t="n"/>
      <c r="J287" s="6" t="n"/>
      <c r="L287" s="6" t="n"/>
      <c r="N287" s="6" t="n"/>
      <c r="P287" s="6" t="n"/>
    </row>
    <row r="288">
      <c r="A288" s="6" t="n"/>
      <c r="C288" s="6" t="n"/>
      <c r="D288" s="6" t="n"/>
      <c r="F288" s="6" t="n"/>
      <c r="H288" s="6" t="n"/>
      <c r="J288" s="6" t="n"/>
      <c r="L288" s="6" t="n"/>
      <c r="N288" s="6" t="n"/>
      <c r="P288" s="6" t="n"/>
    </row>
    <row r="289">
      <c r="A289" s="6" t="n"/>
      <c r="C289" s="6" t="n"/>
      <c r="D289" s="6" t="n"/>
      <c r="F289" s="6" t="n"/>
      <c r="H289" s="6" t="n"/>
      <c r="J289" s="6" t="n"/>
      <c r="L289" s="6" t="n"/>
      <c r="N289" s="6" t="n"/>
      <c r="P289" s="6" t="n"/>
    </row>
    <row r="290">
      <c r="A290" s="6" t="n"/>
      <c r="C290" s="6" t="n"/>
      <c r="D290" s="6" t="n"/>
      <c r="F290" s="6" t="n"/>
      <c r="H290" s="6" t="n"/>
      <c r="J290" s="6" t="n"/>
      <c r="L290" s="6" t="n"/>
      <c r="N290" s="6" t="n"/>
      <c r="P290" s="6" t="n"/>
    </row>
    <row r="291">
      <c r="A291" s="6" t="n"/>
      <c r="C291" s="6" t="n"/>
      <c r="D291" s="6" t="n"/>
      <c r="F291" s="6" t="n"/>
      <c r="H291" s="6" t="n"/>
      <c r="J291" s="6" t="n"/>
      <c r="L291" s="6" t="n"/>
      <c r="N291" s="6" t="n"/>
      <c r="P291" s="6" t="n"/>
    </row>
    <row r="292">
      <c r="A292" s="6" t="n"/>
      <c r="C292" s="6" t="n"/>
      <c r="D292" s="6" t="n"/>
      <c r="F292" s="6" t="n"/>
      <c r="H292" s="6" t="n"/>
      <c r="J292" s="6" t="n"/>
      <c r="L292" s="6" t="n"/>
      <c r="N292" s="6" t="n"/>
      <c r="P292" s="6" t="n"/>
    </row>
    <row r="293">
      <c r="A293" s="6" t="n"/>
      <c r="C293" s="6" t="n"/>
      <c r="D293" s="6" t="n"/>
      <c r="F293" s="6" t="n"/>
      <c r="H293" s="6" t="n"/>
      <c r="J293" s="6" t="n"/>
      <c r="L293" s="6" t="n"/>
      <c r="N293" s="6" t="n"/>
      <c r="P293" s="6" t="n"/>
    </row>
    <row r="294">
      <c r="A294" s="6" t="n"/>
      <c r="C294" s="6" t="n"/>
      <c r="D294" s="6" t="n"/>
      <c r="F294" s="6" t="n"/>
      <c r="H294" s="6" t="n"/>
      <c r="J294" s="6" t="n"/>
      <c r="L294" s="6" t="n"/>
      <c r="N294" s="6" t="n"/>
      <c r="P294" s="6" t="n"/>
    </row>
    <row r="295">
      <c r="A295" s="6" t="n"/>
      <c r="C295" s="6" t="n"/>
      <c r="D295" s="6" t="n"/>
      <c r="F295" s="6" t="n"/>
      <c r="H295" s="6" t="n"/>
      <c r="J295" s="6" t="n"/>
      <c r="L295" s="6" t="n"/>
      <c r="N295" s="6" t="n"/>
      <c r="P295" s="6" t="n"/>
    </row>
    <row r="296">
      <c r="A296" s="6" t="n"/>
      <c r="C296" s="6" t="n"/>
      <c r="D296" s="6" t="n"/>
      <c r="F296" s="6" t="n"/>
      <c r="H296" s="6" t="n"/>
      <c r="J296" s="6" t="n"/>
      <c r="L296" s="6" t="n"/>
      <c r="N296" s="6" t="n"/>
      <c r="P296" s="6" t="n"/>
    </row>
    <row r="297">
      <c r="A297" s="6" t="n"/>
      <c r="C297" s="6" t="n"/>
      <c r="D297" s="6" t="n"/>
      <c r="F297" s="6" t="n"/>
      <c r="H297" s="6" t="n"/>
      <c r="J297" s="6" t="n"/>
      <c r="L297" s="6" t="n"/>
      <c r="N297" s="6" t="n"/>
      <c r="P297" s="6" t="n"/>
    </row>
    <row r="298">
      <c r="A298" s="6" t="n"/>
      <c r="C298" s="6" t="n"/>
      <c r="D298" s="6" t="n"/>
      <c r="F298" s="6" t="n"/>
      <c r="H298" s="6" t="n"/>
      <c r="J298" s="6" t="n"/>
      <c r="L298" s="6" t="n"/>
      <c r="N298" s="6" t="n"/>
      <c r="P298" s="6" t="n"/>
    </row>
    <row r="299">
      <c r="A299" s="6" t="n"/>
      <c r="C299" s="6" t="n"/>
      <c r="D299" s="6" t="n"/>
      <c r="F299" s="6" t="n"/>
      <c r="H299" s="6" t="n"/>
      <c r="J299" s="6" t="n"/>
      <c r="L299" s="6" t="n"/>
      <c r="N299" s="6" t="n"/>
      <c r="P299" s="6" t="n"/>
    </row>
    <row r="300">
      <c r="A300" s="6" t="n"/>
      <c r="C300" s="6" t="n"/>
      <c r="D300" s="6" t="n"/>
      <c r="F300" s="6" t="n"/>
      <c r="H300" s="6" t="n"/>
      <c r="J300" s="6" t="n"/>
      <c r="L300" s="6" t="n"/>
      <c r="N300" s="6" t="n"/>
      <c r="P300" s="6" t="n"/>
    </row>
    <row r="301">
      <c r="A301" s="6" t="n"/>
      <c r="C301" s="6" t="n"/>
      <c r="D301" s="6" t="n"/>
      <c r="F301" s="6" t="n"/>
      <c r="H301" s="6" t="n"/>
      <c r="J301" s="6" t="n"/>
      <c r="L301" s="6" t="n"/>
      <c r="N301" s="6" t="n"/>
      <c r="P301" s="6" t="n"/>
    </row>
    <row r="302">
      <c r="A302" s="6" t="n"/>
      <c r="C302" s="6" t="n"/>
      <c r="D302" s="6" t="n"/>
      <c r="F302" s="6" t="n"/>
      <c r="H302" s="6" t="n"/>
      <c r="J302" s="6" t="n"/>
      <c r="L302" s="6" t="n"/>
      <c r="N302" s="6" t="n"/>
      <c r="P302" s="6" t="n"/>
    </row>
    <row r="303">
      <c r="A303" s="6" t="n"/>
      <c r="C303" s="6" t="n"/>
      <c r="D303" s="6" t="n"/>
      <c r="F303" s="6" t="n"/>
      <c r="H303" s="6" t="n"/>
      <c r="J303" s="6" t="n"/>
      <c r="L303" s="6" t="n"/>
      <c r="N303" s="6" t="n"/>
      <c r="P303" s="6" t="n"/>
    </row>
    <row r="304">
      <c r="A304" s="6" t="n"/>
      <c r="C304" s="6" t="n"/>
      <c r="D304" s="6" t="n"/>
      <c r="F304" s="6" t="n"/>
      <c r="H304" s="6" t="n"/>
      <c r="J304" s="6" t="n"/>
      <c r="L304" s="6" t="n"/>
      <c r="N304" s="6" t="n"/>
      <c r="P304" s="6" t="n"/>
    </row>
    <row r="305">
      <c r="A305" s="6" t="n"/>
      <c r="C305" s="6" t="n"/>
      <c r="D305" s="6" t="n"/>
      <c r="F305" s="6" t="n"/>
      <c r="H305" s="6" t="n"/>
      <c r="J305" s="6" t="n"/>
      <c r="L305" s="6" t="n"/>
      <c r="N305" s="6" t="n"/>
      <c r="P305" s="6" t="n"/>
    </row>
    <row r="306">
      <c r="A306" s="6" t="n"/>
      <c r="C306" s="6" t="n"/>
      <c r="D306" s="6" t="n"/>
      <c r="F306" s="6" t="n"/>
      <c r="H306" s="6" t="n"/>
      <c r="J306" s="6" t="n"/>
      <c r="L306" s="6" t="n"/>
      <c r="N306" s="6" t="n"/>
      <c r="P306" s="6" t="n"/>
    </row>
    <row r="307">
      <c r="A307" s="6" t="n"/>
      <c r="C307" s="6" t="n"/>
      <c r="D307" s="6" t="n"/>
      <c r="F307" s="6" t="n"/>
      <c r="H307" s="6" t="n"/>
      <c r="J307" s="6" t="n"/>
      <c r="L307" s="6" t="n"/>
      <c r="N307" s="6" t="n"/>
      <c r="P307" s="6" t="n"/>
    </row>
    <row r="308">
      <c r="A308" s="6" t="n"/>
      <c r="C308" s="6" t="n"/>
      <c r="D308" s="6" t="n"/>
      <c r="F308" s="6" t="n"/>
      <c r="H308" s="6" t="n"/>
      <c r="J308" s="6" t="n"/>
      <c r="L308" s="6" t="n"/>
      <c r="N308" s="6" t="n"/>
      <c r="P308" s="6" t="n"/>
    </row>
    <row r="309">
      <c r="A309" s="6" t="n"/>
      <c r="C309" s="6" t="n"/>
      <c r="D309" s="6" t="n"/>
      <c r="F309" s="6" t="n"/>
      <c r="H309" s="6" t="n"/>
      <c r="J309" s="6" t="n"/>
      <c r="L309" s="6" t="n"/>
      <c r="N309" s="6" t="n"/>
      <c r="P309" s="6" t="n"/>
    </row>
    <row r="310">
      <c r="A310" s="6" t="n"/>
      <c r="C310" s="6" t="n"/>
      <c r="D310" s="6" t="n"/>
      <c r="F310" s="6" t="n"/>
      <c r="H310" s="6" t="n"/>
      <c r="J310" s="6" t="n"/>
      <c r="L310" s="6" t="n"/>
      <c r="N310" s="6" t="n"/>
      <c r="P310" s="6" t="n"/>
    </row>
    <row r="311">
      <c r="A311" s="6" t="n"/>
      <c r="C311" s="6" t="n"/>
      <c r="D311" s="6" t="n"/>
      <c r="F311" s="6" t="n"/>
      <c r="H311" s="6" t="n"/>
      <c r="J311" s="6" t="n"/>
      <c r="L311" s="6" t="n"/>
      <c r="N311" s="6" t="n"/>
      <c r="P311" s="6" t="n"/>
    </row>
    <row r="312">
      <c r="A312" s="6" t="n"/>
      <c r="C312" s="6" t="n"/>
      <c r="D312" s="6" t="n"/>
      <c r="F312" s="6" t="n"/>
      <c r="H312" s="6" t="n"/>
      <c r="J312" s="6" t="n"/>
      <c r="L312" s="6" t="n"/>
      <c r="N312" s="6" t="n"/>
      <c r="P312" s="6" t="n"/>
    </row>
    <row r="313">
      <c r="A313" s="6" t="n"/>
      <c r="C313" s="6" t="n"/>
      <c r="D313" s="6" t="n"/>
      <c r="F313" s="6" t="n"/>
      <c r="H313" s="6" t="n"/>
      <c r="J313" s="6" t="n"/>
      <c r="L313" s="6" t="n"/>
      <c r="N313" s="6" t="n"/>
      <c r="P313" s="6" t="n"/>
    </row>
    <row r="314">
      <c r="A314" s="6" t="n"/>
      <c r="C314" s="6" t="n"/>
      <c r="D314" s="6" t="n"/>
      <c r="F314" s="6" t="n"/>
      <c r="H314" s="6" t="n"/>
      <c r="J314" s="6" t="n"/>
      <c r="L314" s="6" t="n"/>
      <c r="N314" s="6" t="n"/>
      <c r="P314" s="6" t="n"/>
    </row>
    <row r="315">
      <c r="A315" s="6" t="n"/>
      <c r="C315" s="6" t="n"/>
      <c r="D315" s="6" t="n"/>
      <c r="F315" s="6" t="n"/>
      <c r="H315" s="6" t="n"/>
      <c r="J315" s="6" t="n"/>
      <c r="L315" s="6" t="n"/>
      <c r="N315" s="6" t="n"/>
      <c r="P315" s="6" t="n"/>
    </row>
    <row r="316">
      <c r="A316" s="6" t="n"/>
      <c r="C316" s="6" t="n"/>
      <c r="D316" s="6" t="n"/>
      <c r="F316" s="6" t="n"/>
      <c r="H316" s="6" t="n"/>
      <c r="J316" s="6" t="n"/>
      <c r="L316" s="6" t="n"/>
      <c r="N316" s="6" t="n"/>
      <c r="P316" s="6" t="n"/>
    </row>
    <row r="317">
      <c r="A317" s="6" t="n"/>
      <c r="C317" s="6" t="n"/>
      <c r="D317" s="6" t="n"/>
      <c r="F317" s="6" t="n"/>
      <c r="H317" s="6" t="n"/>
      <c r="J317" s="6" t="n"/>
      <c r="L317" s="6" t="n"/>
      <c r="N317" s="6" t="n"/>
      <c r="P317" s="6" t="n"/>
    </row>
    <row r="318">
      <c r="A318" s="6" t="n"/>
      <c r="C318" s="6" t="n"/>
      <c r="D318" s="6" t="n"/>
      <c r="F318" s="6" t="n"/>
      <c r="H318" s="6" t="n"/>
      <c r="J318" s="6" t="n"/>
      <c r="L318" s="6" t="n"/>
      <c r="N318" s="6" t="n"/>
      <c r="P318" s="6" t="n"/>
    </row>
    <row r="319">
      <c r="A319" s="6" t="n"/>
      <c r="C319" s="6" t="n"/>
      <c r="D319" s="6" t="n"/>
      <c r="F319" s="6" t="n"/>
      <c r="H319" s="6" t="n"/>
      <c r="J319" s="6" t="n"/>
      <c r="L319" s="6" t="n"/>
      <c r="N319" s="6" t="n"/>
      <c r="P319" s="6" t="n"/>
    </row>
    <row r="320">
      <c r="A320" s="6" t="n"/>
      <c r="C320" s="6" t="n"/>
      <c r="D320" s="6" t="n"/>
      <c r="F320" s="6" t="n"/>
      <c r="H320" s="6" t="n"/>
      <c r="J320" s="6" t="n"/>
      <c r="L320" s="6" t="n"/>
      <c r="N320" s="6" t="n"/>
      <c r="P320" s="6" t="n"/>
    </row>
    <row r="321">
      <c r="A321" s="6" t="n"/>
      <c r="C321" s="6" t="n"/>
      <c r="D321" s="6" t="n"/>
      <c r="F321" s="6" t="n"/>
      <c r="H321" s="6" t="n"/>
      <c r="J321" s="6" t="n"/>
      <c r="L321" s="6" t="n"/>
      <c r="N321" s="6" t="n"/>
      <c r="P321" s="6" t="n"/>
    </row>
    <row r="322">
      <c r="A322" s="6" t="n"/>
      <c r="C322" s="6" t="n"/>
      <c r="D322" s="6" t="n"/>
      <c r="F322" s="6" t="n"/>
      <c r="H322" s="6" t="n"/>
      <c r="J322" s="6" t="n"/>
      <c r="L322" s="6" t="n"/>
      <c r="N322" s="6" t="n"/>
      <c r="P322" s="6" t="n"/>
    </row>
    <row r="323">
      <c r="A323" s="6" t="n"/>
      <c r="C323" s="6" t="n"/>
      <c r="D323" s="6" t="n"/>
      <c r="F323" s="6" t="n"/>
      <c r="H323" s="6" t="n"/>
      <c r="J323" s="6" t="n"/>
      <c r="L323" s="6" t="n"/>
      <c r="N323" s="6" t="n"/>
      <c r="P323" s="6" t="n"/>
    </row>
    <row r="324">
      <c r="A324" s="6" t="n"/>
      <c r="C324" s="6" t="n"/>
      <c r="D324" s="6" t="n"/>
      <c r="F324" s="6" t="n"/>
      <c r="H324" s="6" t="n"/>
      <c r="J324" s="6" t="n"/>
      <c r="L324" s="6" t="n"/>
      <c r="N324" s="6" t="n"/>
      <c r="P324" s="6" t="n"/>
    </row>
    <row r="325">
      <c r="A325" s="6" t="n"/>
      <c r="C325" s="6" t="n"/>
      <c r="D325" s="6" t="n"/>
      <c r="F325" s="6" t="n"/>
      <c r="H325" s="6" t="n"/>
      <c r="J325" s="6" t="n"/>
      <c r="L325" s="6" t="n"/>
      <c r="N325" s="6" t="n"/>
      <c r="P325" s="6" t="n"/>
    </row>
    <row r="326">
      <c r="A326" s="6" t="n"/>
      <c r="C326" s="6" t="n"/>
      <c r="D326" s="6" t="n"/>
      <c r="F326" s="6" t="n"/>
      <c r="H326" s="6" t="n"/>
      <c r="J326" s="6" t="n"/>
      <c r="L326" s="6" t="n"/>
      <c r="N326" s="6" t="n"/>
      <c r="P326" s="6" t="n"/>
    </row>
    <row r="327">
      <c r="A327" s="6" t="n"/>
      <c r="C327" s="6" t="n"/>
      <c r="D327" s="6" t="n"/>
      <c r="F327" s="6" t="n"/>
      <c r="H327" s="6" t="n"/>
      <c r="J327" s="6" t="n"/>
      <c r="L327" s="6" t="n"/>
      <c r="N327" s="6" t="n"/>
      <c r="P327" s="6" t="n"/>
    </row>
    <row r="328">
      <c r="A328" s="6" t="n"/>
      <c r="C328" s="6" t="n"/>
      <c r="D328" s="6" t="n"/>
      <c r="F328" s="6" t="n"/>
      <c r="H328" s="6" t="n"/>
      <c r="J328" s="6" t="n"/>
      <c r="L328" s="6" t="n"/>
      <c r="N328" s="6" t="n"/>
      <c r="P328" s="6" t="n"/>
    </row>
    <row r="329">
      <c r="A329" s="6" t="n"/>
      <c r="C329" s="6" t="n"/>
      <c r="D329" s="6" t="n"/>
      <c r="F329" s="6" t="n"/>
      <c r="H329" s="6" t="n"/>
      <c r="J329" s="6" t="n"/>
      <c r="L329" s="6" t="n"/>
      <c r="N329" s="6" t="n"/>
      <c r="P329" s="6" t="n"/>
    </row>
    <row r="330">
      <c r="A330" s="6" t="n"/>
      <c r="C330" s="6" t="n"/>
      <c r="D330" s="6" t="n"/>
      <c r="F330" s="6" t="n"/>
      <c r="H330" s="6" t="n"/>
      <c r="J330" s="6" t="n"/>
      <c r="L330" s="6" t="n"/>
      <c r="N330" s="6" t="n"/>
      <c r="P330" s="6" t="n"/>
    </row>
    <row r="331">
      <c r="A331" s="6" t="n"/>
      <c r="C331" s="6" t="n"/>
      <c r="D331" s="6" t="n"/>
      <c r="F331" s="6" t="n"/>
      <c r="H331" s="6" t="n"/>
      <c r="J331" s="6" t="n"/>
      <c r="L331" s="6" t="n"/>
      <c r="N331" s="6" t="n"/>
      <c r="P331" s="6" t="n"/>
    </row>
    <row r="332">
      <c r="A332" s="6" t="n"/>
      <c r="C332" s="6" t="n"/>
      <c r="D332" s="6" t="n"/>
      <c r="F332" s="6" t="n"/>
      <c r="H332" s="6" t="n"/>
      <c r="J332" s="6" t="n"/>
      <c r="L332" s="6" t="n"/>
      <c r="N332" s="6" t="n"/>
      <c r="P332" s="6" t="n"/>
    </row>
    <row r="333">
      <c r="A333" s="6" t="n"/>
      <c r="C333" s="6" t="n"/>
      <c r="D333" s="6" t="n"/>
      <c r="F333" s="6" t="n"/>
      <c r="H333" s="6" t="n"/>
      <c r="J333" s="6" t="n"/>
      <c r="L333" s="6" t="n"/>
      <c r="N333" s="6" t="n"/>
      <c r="P333" s="6" t="n"/>
    </row>
    <row r="334">
      <c r="A334" s="6" t="n"/>
      <c r="C334" s="6" t="n"/>
      <c r="D334" s="6" t="n"/>
      <c r="F334" s="6" t="n"/>
      <c r="H334" s="6" t="n"/>
      <c r="J334" s="6" t="n"/>
      <c r="L334" s="6" t="n"/>
      <c r="N334" s="6" t="n"/>
      <c r="P334" s="6" t="n"/>
    </row>
    <row r="335">
      <c r="A335" s="6" t="n"/>
      <c r="C335" s="6" t="n"/>
      <c r="D335" s="6" t="n"/>
      <c r="F335" s="6" t="n"/>
      <c r="H335" s="6" t="n"/>
      <c r="J335" s="6" t="n"/>
      <c r="L335" s="6" t="n"/>
      <c r="N335" s="6" t="n"/>
      <c r="P335" s="6" t="n"/>
    </row>
    <row r="336">
      <c r="A336" s="6" t="n"/>
      <c r="C336" s="6" t="n"/>
      <c r="D336" s="6" t="n"/>
      <c r="F336" s="6" t="n"/>
      <c r="H336" s="6" t="n"/>
      <c r="J336" s="6" t="n"/>
      <c r="L336" s="6" t="n"/>
      <c r="N336" s="6" t="n"/>
      <c r="P336" s="6" t="n"/>
    </row>
    <row r="337">
      <c r="A337" s="6" t="n"/>
      <c r="C337" s="6" t="n"/>
      <c r="D337" s="6" t="n"/>
      <c r="F337" s="6" t="n"/>
      <c r="H337" s="6" t="n"/>
      <c r="J337" s="6" t="n"/>
      <c r="L337" s="6" t="n"/>
      <c r="N337" s="6" t="n"/>
      <c r="P337" s="6" t="n"/>
    </row>
    <row r="338">
      <c r="A338" s="6" t="n"/>
      <c r="C338" s="6" t="n"/>
      <c r="D338" s="6" t="n"/>
      <c r="F338" s="6" t="n"/>
      <c r="H338" s="6" t="n"/>
      <c r="J338" s="6" t="n"/>
      <c r="L338" s="6" t="n"/>
      <c r="N338" s="6" t="n"/>
      <c r="P338" s="6" t="n"/>
    </row>
    <row r="339">
      <c r="A339" s="6" t="n"/>
      <c r="C339" s="6" t="n"/>
      <c r="D339" s="6" t="n"/>
      <c r="F339" s="6" t="n"/>
      <c r="H339" s="6" t="n"/>
      <c r="J339" s="6" t="n"/>
      <c r="L339" s="6" t="n"/>
      <c r="N339" s="6" t="n"/>
      <c r="P339" s="6" t="n"/>
    </row>
    <row r="340">
      <c r="A340" s="6" t="n"/>
      <c r="C340" s="6" t="n"/>
      <c r="D340" s="6" t="n"/>
      <c r="F340" s="6" t="n"/>
      <c r="H340" s="6" t="n"/>
      <c r="J340" s="6" t="n"/>
      <c r="L340" s="6" t="n"/>
      <c r="N340" s="6" t="n"/>
      <c r="P340" s="6" t="n"/>
    </row>
    <row r="341">
      <c r="A341" s="6" t="n"/>
      <c r="C341" s="6" t="n"/>
      <c r="D341" s="6" t="n"/>
      <c r="F341" s="6" t="n"/>
      <c r="H341" s="6" t="n"/>
      <c r="J341" s="6" t="n"/>
      <c r="L341" s="6" t="n"/>
      <c r="N341" s="6" t="n"/>
      <c r="P341" s="6" t="n"/>
    </row>
    <row r="342">
      <c r="A342" s="6" t="n"/>
      <c r="C342" s="6" t="n"/>
      <c r="D342" s="6" t="n"/>
      <c r="F342" s="6" t="n"/>
      <c r="H342" s="6" t="n"/>
      <c r="J342" s="6" t="n"/>
      <c r="L342" s="6" t="n"/>
      <c r="N342" s="6" t="n"/>
      <c r="P342" s="6" t="n"/>
    </row>
    <row r="343">
      <c r="A343" s="6" t="n"/>
      <c r="C343" s="6" t="n"/>
      <c r="D343" s="6" t="n"/>
      <c r="F343" s="6" t="n"/>
      <c r="H343" s="6" t="n"/>
      <c r="J343" s="6" t="n"/>
      <c r="L343" s="6" t="n"/>
      <c r="N343" s="6" t="n"/>
      <c r="P343" s="6" t="n"/>
    </row>
    <row r="344">
      <c r="A344" s="6" t="n"/>
      <c r="C344" s="6" t="n"/>
      <c r="D344" s="6" t="n"/>
      <c r="F344" s="6" t="n"/>
      <c r="H344" s="6" t="n"/>
      <c r="J344" s="6" t="n"/>
      <c r="L344" s="6" t="n"/>
      <c r="N344" s="6" t="n"/>
      <c r="P344" s="6" t="n"/>
    </row>
    <row r="345">
      <c r="A345" s="6" t="n"/>
      <c r="C345" s="6" t="n"/>
      <c r="D345" s="6" t="n"/>
      <c r="F345" s="6" t="n"/>
      <c r="H345" s="6" t="n"/>
      <c r="J345" s="6" t="n"/>
      <c r="L345" s="6" t="n"/>
      <c r="N345" s="6" t="n"/>
      <c r="P345" s="6" t="n"/>
    </row>
    <row r="346">
      <c r="A346" s="6" t="n"/>
      <c r="C346" s="6" t="n"/>
      <c r="D346" s="6" t="n"/>
      <c r="F346" s="6" t="n"/>
      <c r="H346" s="6" t="n"/>
      <c r="J346" s="6" t="n"/>
      <c r="L346" s="6" t="n"/>
      <c r="N346" s="6" t="n"/>
      <c r="P346" s="6" t="n"/>
    </row>
    <row r="347">
      <c r="A347" s="6" t="n"/>
      <c r="C347" s="6" t="n"/>
      <c r="D347" s="6" t="n"/>
      <c r="F347" s="6" t="n"/>
      <c r="H347" s="6" t="n"/>
      <c r="J347" s="6" t="n"/>
      <c r="L347" s="6" t="n"/>
      <c r="N347" s="6" t="n"/>
      <c r="P347" s="6" t="n"/>
    </row>
    <row r="348">
      <c r="A348" s="6" t="n"/>
      <c r="C348" s="6" t="n"/>
      <c r="D348" s="6" t="n"/>
      <c r="F348" s="6" t="n"/>
      <c r="H348" s="6" t="n"/>
      <c r="J348" s="6" t="n"/>
      <c r="L348" s="6" t="n"/>
      <c r="N348" s="6" t="n"/>
      <c r="P348" s="6" t="n"/>
    </row>
    <row r="349">
      <c r="A349" s="6" t="n"/>
      <c r="C349" s="6" t="n"/>
      <c r="D349" s="6" t="n"/>
      <c r="F349" s="6" t="n"/>
      <c r="H349" s="6" t="n"/>
      <c r="J349" s="6" t="n"/>
      <c r="L349" s="6" t="n"/>
      <c r="N349" s="6" t="n"/>
      <c r="P349" s="6" t="n"/>
    </row>
    <row r="350">
      <c r="A350" s="6" t="n"/>
      <c r="C350" s="6" t="n"/>
      <c r="D350" s="6" t="n"/>
      <c r="F350" s="6" t="n"/>
      <c r="H350" s="6" t="n"/>
      <c r="J350" s="6" t="n"/>
      <c r="L350" s="6" t="n"/>
      <c r="N350" s="6" t="n"/>
      <c r="P350" s="6" t="n"/>
    </row>
    <row r="351">
      <c r="A351" s="6" t="n"/>
      <c r="C351" s="6" t="n"/>
      <c r="D351" s="6" t="n"/>
      <c r="F351" s="6" t="n"/>
      <c r="H351" s="6" t="n"/>
      <c r="J351" s="6" t="n"/>
      <c r="L351" s="6" t="n"/>
      <c r="N351" s="6" t="n"/>
      <c r="P351" s="6" t="n"/>
    </row>
    <row r="352">
      <c r="A352" s="6" t="n"/>
      <c r="C352" s="6" t="n"/>
      <c r="D352" s="6" t="n"/>
      <c r="F352" s="6" t="n"/>
      <c r="H352" s="6" t="n"/>
      <c r="J352" s="6" t="n"/>
      <c r="L352" s="6" t="n"/>
      <c r="N352" s="6" t="n"/>
      <c r="P352" s="6" t="n"/>
    </row>
    <row r="353">
      <c r="A353" s="6" t="n"/>
      <c r="C353" s="6" t="n"/>
      <c r="D353" s="6" t="n"/>
      <c r="F353" s="6" t="n"/>
      <c r="H353" s="6" t="n"/>
      <c r="J353" s="6" t="n"/>
      <c r="L353" s="6" t="n"/>
      <c r="N353" s="6" t="n"/>
      <c r="P353" s="6" t="n"/>
    </row>
    <row r="354">
      <c r="A354" s="6" t="n"/>
      <c r="C354" s="6" t="n"/>
      <c r="D354" s="6" t="n"/>
      <c r="F354" s="6" t="n"/>
      <c r="H354" s="6" t="n"/>
      <c r="J354" s="6" t="n"/>
      <c r="L354" s="6" t="n"/>
      <c r="N354" s="6" t="n"/>
      <c r="P354" s="6" t="n"/>
    </row>
    <row r="355">
      <c r="A355" s="6" t="n"/>
      <c r="C355" s="6" t="n"/>
      <c r="D355" s="6" t="n"/>
      <c r="F355" s="6" t="n"/>
      <c r="H355" s="6" t="n"/>
      <c r="J355" s="6" t="n"/>
      <c r="L355" s="6" t="n"/>
      <c r="N355" s="6" t="n"/>
      <c r="P355" s="6" t="n"/>
    </row>
    <row r="356">
      <c r="A356" s="6" t="n"/>
      <c r="C356" s="6" t="n"/>
      <c r="D356" s="6" t="n"/>
      <c r="F356" s="6" t="n"/>
      <c r="H356" s="6" t="n"/>
      <c r="J356" s="6" t="n"/>
      <c r="L356" s="6" t="n"/>
      <c r="N356" s="6" t="n"/>
      <c r="P356" s="6" t="n"/>
    </row>
    <row r="357">
      <c r="A357" s="6" t="n"/>
      <c r="C357" s="6" t="n"/>
      <c r="D357" s="6" t="n"/>
      <c r="F357" s="6" t="n"/>
      <c r="H357" s="6" t="n"/>
      <c r="J357" s="6" t="n"/>
      <c r="L357" s="6" t="n"/>
      <c r="N357" s="6" t="n"/>
      <c r="P357" s="6" t="n"/>
    </row>
    <row r="358">
      <c r="A358" s="6" t="n"/>
      <c r="C358" s="6" t="n"/>
      <c r="D358" s="6" t="n"/>
      <c r="F358" s="6" t="n"/>
      <c r="H358" s="6" t="n"/>
      <c r="J358" s="6" t="n"/>
      <c r="L358" s="6" t="n"/>
      <c r="N358" s="6" t="n"/>
      <c r="P358" s="6" t="n"/>
    </row>
    <row r="359">
      <c r="A359" s="6" t="n"/>
      <c r="C359" s="6" t="n"/>
      <c r="D359" s="6" t="n"/>
      <c r="F359" s="6" t="n"/>
      <c r="H359" s="6" t="n"/>
      <c r="J359" s="6" t="n"/>
      <c r="L359" s="6" t="n"/>
      <c r="N359" s="6" t="n"/>
      <c r="P359" s="6" t="n"/>
    </row>
    <row r="360">
      <c r="A360" s="6" t="n"/>
      <c r="C360" s="6" t="n"/>
      <c r="D360" s="6" t="n"/>
      <c r="F360" s="6" t="n"/>
      <c r="H360" s="6" t="n"/>
      <c r="J360" s="6" t="n"/>
      <c r="L360" s="6" t="n"/>
      <c r="N360" s="6" t="n"/>
      <c r="P360" s="6" t="n"/>
    </row>
    <row r="361">
      <c r="A361" s="6" t="n"/>
      <c r="C361" s="6" t="n"/>
      <c r="D361" s="6" t="n"/>
      <c r="F361" s="6" t="n"/>
      <c r="H361" s="6" t="n"/>
      <c r="J361" s="6" t="n"/>
      <c r="L361" s="6" t="n"/>
      <c r="N361" s="6" t="n"/>
      <c r="P361" s="6" t="n"/>
    </row>
    <row r="362">
      <c r="A362" s="6" t="n"/>
      <c r="C362" s="6" t="n"/>
      <c r="D362" s="6" t="n"/>
      <c r="F362" s="6" t="n"/>
      <c r="H362" s="6" t="n"/>
      <c r="J362" s="6" t="n"/>
      <c r="L362" s="6" t="n"/>
      <c r="N362" s="6" t="n"/>
      <c r="P362" s="6" t="n"/>
    </row>
    <row r="363">
      <c r="A363" s="6" t="n"/>
      <c r="C363" s="6" t="n"/>
      <c r="D363" s="6" t="n"/>
      <c r="F363" s="6" t="n"/>
      <c r="H363" s="6" t="n"/>
      <c r="J363" s="6" t="n"/>
      <c r="L363" s="6" t="n"/>
      <c r="N363" s="6" t="n"/>
      <c r="P363" s="6" t="n"/>
    </row>
    <row r="364">
      <c r="A364" s="6" t="n"/>
      <c r="C364" s="6" t="n"/>
      <c r="D364" s="6" t="n"/>
      <c r="F364" s="6" t="n"/>
      <c r="H364" s="6" t="n"/>
      <c r="J364" s="6" t="n"/>
      <c r="L364" s="6" t="n"/>
      <c r="N364" s="6" t="n"/>
      <c r="P364" s="6" t="n"/>
    </row>
    <row r="365">
      <c r="A365" s="6" t="n"/>
      <c r="C365" s="6" t="n"/>
      <c r="D365" s="6" t="n"/>
      <c r="F365" s="6" t="n"/>
      <c r="H365" s="6" t="n"/>
      <c r="J365" s="6" t="n"/>
      <c r="L365" s="6" t="n"/>
      <c r="N365" s="6" t="n"/>
      <c r="P365" s="6" t="n"/>
    </row>
    <row r="366">
      <c r="A366" s="6" t="n"/>
      <c r="C366" s="6" t="n"/>
      <c r="D366" s="6" t="n"/>
      <c r="F366" s="6" t="n"/>
      <c r="H366" s="6" t="n"/>
      <c r="J366" s="6" t="n"/>
      <c r="L366" s="6" t="n"/>
      <c r="N366" s="6" t="n"/>
      <c r="P366" s="6" t="n"/>
    </row>
    <row r="367">
      <c r="A367" s="6" t="n"/>
      <c r="C367" s="6" t="n"/>
      <c r="D367" s="6" t="n"/>
      <c r="F367" s="6" t="n"/>
      <c r="H367" s="6" t="n"/>
      <c r="J367" s="6" t="n"/>
      <c r="L367" s="6" t="n"/>
      <c r="N367" s="6" t="n"/>
      <c r="P367" s="6" t="n"/>
    </row>
    <row r="368">
      <c r="A368" s="6" t="n"/>
      <c r="C368" s="6" t="n"/>
      <c r="D368" s="6" t="n"/>
      <c r="F368" s="6" t="n"/>
      <c r="H368" s="6" t="n"/>
      <c r="J368" s="6" t="n"/>
      <c r="L368" s="6" t="n"/>
      <c r="N368" s="6" t="n"/>
      <c r="P368" s="6" t="n"/>
    </row>
    <row r="369">
      <c r="A369" s="6" t="n"/>
      <c r="C369" s="6" t="n"/>
      <c r="D369" s="6" t="n"/>
      <c r="F369" s="6" t="n"/>
      <c r="H369" s="6" t="n"/>
      <c r="J369" s="6" t="n"/>
      <c r="L369" s="6" t="n"/>
      <c r="N369" s="6" t="n"/>
      <c r="P369" s="6" t="n"/>
    </row>
    <row r="370">
      <c r="A370" s="6" t="n"/>
      <c r="C370" s="6" t="n"/>
      <c r="D370" s="6" t="n"/>
      <c r="F370" s="6" t="n"/>
      <c r="H370" s="6" t="n"/>
      <c r="J370" s="6" t="n"/>
      <c r="L370" s="6" t="n"/>
      <c r="N370" s="6" t="n"/>
      <c r="P370" s="6" t="n"/>
    </row>
    <row r="371">
      <c r="A371" s="6" t="n"/>
      <c r="C371" s="6" t="n"/>
      <c r="D371" s="6" t="n"/>
      <c r="F371" s="6" t="n"/>
      <c r="H371" s="6" t="n"/>
      <c r="J371" s="6" t="n"/>
      <c r="L371" s="6" t="n"/>
      <c r="N371" s="6" t="n"/>
      <c r="P371" s="6" t="n"/>
    </row>
    <row r="372">
      <c r="A372" s="6" t="n"/>
      <c r="C372" s="6" t="n"/>
      <c r="D372" s="6" t="n"/>
      <c r="F372" s="6" t="n"/>
      <c r="H372" s="6" t="n"/>
      <c r="J372" s="6" t="n"/>
      <c r="L372" s="6" t="n"/>
      <c r="N372" s="6" t="n"/>
      <c r="P372" s="6" t="n"/>
    </row>
    <row r="373">
      <c r="A373" s="6" t="n"/>
      <c r="C373" s="6" t="n"/>
      <c r="D373" s="6" t="n"/>
      <c r="F373" s="6" t="n"/>
      <c r="H373" s="6" t="n"/>
      <c r="J373" s="6" t="n"/>
      <c r="L373" s="6" t="n"/>
      <c r="N373" s="6" t="n"/>
      <c r="P373" s="6" t="n"/>
    </row>
    <row r="374">
      <c r="A374" s="6" t="n"/>
      <c r="C374" s="6" t="n"/>
      <c r="D374" s="6" t="n"/>
      <c r="F374" s="6" t="n"/>
      <c r="H374" s="6" t="n"/>
      <c r="J374" s="6" t="n"/>
      <c r="L374" s="6" t="n"/>
      <c r="N374" s="6" t="n"/>
      <c r="P374" s="6" t="n"/>
    </row>
    <row r="375">
      <c r="A375" s="6" t="n"/>
      <c r="C375" s="6" t="n"/>
      <c r="D375" s="6" t="n"/>
      <c r="F375" s="6" t="n"/>
      <c r="H375" s="6" t="n"/>
      <c r="J375" s="6" t="n"/>
      <c r="L375" s="6" t="n"/>
      <c r="N375" s="6" t="n"/>
      <c r="P375" s="6" t="n"/>
    </row>
    <row r="376">
      <c r="A376" s="6" t="n"/>
      <c r="C376" s="6" t="n"/>
      <c r="D376" s="6" t="n"/>
      <c r="F376" s="6" t="n"/>
      <c r="H376" s="6" t="n"/>
      <c r="J376" s="6" t="n"/>
      <c r="L376" s="6" t="n"/>
      <c r="N376" s="6" t="n"/>
      <c r="P376" s="6" t="n"/>
    </row>
    <row r="377">
      <c r="A377" s="6" t="n"/>
      <c r="C377" s="6" t="n"/>
      <c r="D377" s="6" t="n"/>
      <c r="F377" s="6" t="n"/>
      <c r="H377" s="6" t="n"/>
      <c r="J377" s="6" t="n"/>
      <c r="L377" s="6" t="n"/>
      <c r="N377" s="6" t="n"/>
      <c r="P377" s="6" t="n"/>
    </row>
    <row r="378">
      <c r="A378" s="6" t="n"/>
      <c r="C378" s="6" t="n"/>
      <c r="D378" s="6" t="n"/>
      <c r="F378" s="6" t="n"/>
      <c r="H378" s="6" t="n"/>
      <c r="J378" s="6" t="n"/>
      <c r="L378" s="6" t="n"/>
      <c r="N378" s="6" t="n"/>
      <c r="P378" s="6" t="n"/>
    </row>
    <row r="379">
      <c r="A379" s="6" t="n"/>
      <c r="C379" s="6" t="n"/>
      <c r="D379" s="6" t="n"/>
      <c r="F379" s="6" t="n"/>
      <c r="H379" s="6" t="n"/>
      <c r="J379" s="6" t="n"/>
      <c r="L379" s="6" t="n"/>
      <c r="N379" s="6" t="n"/>
      <c r="P379" s="6" t="n"/>
    </row>
    <row r="380">
      <c r="A380" s="6" t="n"/>
      <c r="C380" s="6" t="n"/>
      <c r="D380" s="6" t="n"/>
      <c r="F380" s="6" t="n"/>
      <c r="H380" s="6" t="n"/>
      <c r="J380" s="6" t="n"/>
      <c r="L380" s="6" t="n"/>
      <c r="N380" s="6" t="n"/>
      <c r="P380" s="6" t="n"/>
    </row>
    <row r="381">
      <c r="A381" s="6" t="n"/>
      <c r="C381" s="6" t="n"/>
      <c r="D381" s="6" t="n"/>
      <c r="F381" s="6" t="n"/>
      <c r="H381" s="6" t="n"/>
      <c r="J381" s="6" t="n"/>
      <c r="L381" s="6" t="n"/>
      <c r="N381" s="6" t="n"/>
      <c r="P381" s="6" t="n"/>
    </row>
    <row r="382">
      <c r="A382" s="6" t="n"/>
      <c r="C382" s="6" t="n"/>
      <c r="D382" s="6" t="n"/>
      <c r="F382" s="6" t="n"/>
      <c r="H382" s="6" t="n"/>
      <c r="J382" s="6" t="n"/>
      <c r="L382" s="6" t="n"/>
      <c r="N382" s="6" t="n"/>
      <c r="P382" s="6" t="n"/>
    </row>
    <row r="383">
      <c r="A383" s="6" t="n"/>
      <c r="C383" s="6" t="n"/>
      <c r="D383" s="6" t="n"/>
      <c r="F383" s="6" t="n"/>
      <c r="H383" s="6" t="n"/>
      <c r="J383" s="6" t="n"/>
      <c r="L383" s="6" t="n"/>
      <c r="N383" s="6" t="n"/>
      <c r="P383" s="6" t="n"/>
    </row>
    <row r="384">
      <c r="A384" s="6" t="n"/>
      <c r="C384" s="6" t="n"/>
      <c r="D384" s="6" t="n"/>
      <c r="F384" s="6" t="n"/>
      <c r="H384" s="6" t="n"/>
      <c r="J384" s="6" t="n"/>
      <c r="L384" s="6" t="n"/>
      <c r="N384" s="6" t="n"/>
      <c r="P384" s="6" t="n"/>
    </row>
    <row r="385">
      <c r="A385" s="6" t="n"/>
      <c r="C385" s="6" t="n"/>
      <c r="D385" s="6" t="n"/>
      <c r="F385" s="6" t="n"/>
      <c r="H385" s="6" t="n"/>
      <c r="J385" s="6" t="n"/>
      <c r="L385" s="6" t="n"/>
      <c r="N385" s="6" t="n"/>
      <c r="P385" s="6" t="n"/>
    </row>
    <row r="386">
      <c r="A386" s="6" t="n"/>
      <c r="C386" s="6" t="n"/>
      <c r="D386" s="6" t="n"/>
      <c r="F386" s="6" t="n"/>
      <c r="H386" s="6" t="n"/>
      <c r="J386" s="6" t="n"/>
      <c r="L386" s="6" t="n"/>
      <c r="N386" s="6" t="n"/>
      <c r="P386" s="6" t="n"/>
    </row>
    <row r="387">
      <c r="A387" s="6" t="n"/>
      <c r="C387" s="6" t="n"/>
      <c r="D387" s="6" t="n"/>
      <c r="F387" s="6" t="n"/>
      <c r="H387" s="6" t="n"/>
      <c r="J387" s="6" t="n"/>
      <c r="L387" s="6" t="n"/>
      <c r="N387" s="6" t="n"/>
      <c r="P387" s="6" t="n"/>
    </row>
    <row r="388">
      <c r="A388" s="6" t="n"/>
      <c r="C388" s="6" t="n"/>
      <c r="D388" s="6" t="n"/>
      <c r="F388" s="6" t="n"/>
      <c r="H388" s="6" t="n"/>
      <c r="J388" s="6" t="n"/>
      <c r="L388" s="6" t="n"/>
      <c r="N388" s="6" t="n"/>
      <c r="P388" s="6" t="n"/>
    </row>
    <row r="389">
      <c r="A389" s="6" t="n"/>
      <c r="C389" s="6" t="n"/>
      <c r="D389" s="6" t="n"/>
      <c r="F389" s="6" t="n"/>
      <c r="H389" s="6" t="n"/>
      <c r="J389" s="6" t="n"/>
      <c r="L389" s="6" t="n"/>
      <c r="N389" s="6" t="n"/>
      <c r="P389" s="6" t="n"/>
    </row>
    <row r="390">
      <c r="A390" s="6" t="n"/>
      <c r="C390" s="6" t="n"/>
      <c r="D390" s="6" t="n"/>
      <c r="F390" s="6" t="n"/>
      <c r="H390" s="6" t="n"/>
      <c r="J390" s="6" t="n"/>
      <c r="L390" s="6" t="n"/>
      <c r="N390" s="6" t="n"/>
      <c r="P390" s="6" t="n"/>
    </row>
    <row r="391">
      <c r="A391" s="6" t="n"/>
      <c r="C391" s="6" t="n"/>
      <c r="D391" s="6" t="n"/>
      <c r="F391" s="6" t="n"/>
      <c r="H391" s="6" t="n"/>
      <c r="J391" s="6" t="n"/>
      <c r="L391" s="6" t="n"/>
      <c r="N391" s="6" t="n"/>
      <c r="P391" s="6" t="n"/>
    </row>
    <row r="392">
      <c r="A392" s="6" t="n"/>
      <c r="C392" s="6" t="n"/>
      <c r="D392" s="6" t="n"/>
      <c r="F392" s="6" t="n"/>
      <c r="H392" s="6" t="n"/>
      <c r="J392" s="6" t="n"/>
      <c r="L392" s="6" t="n"/>
      <c r="N392" s="6" t="n"/>
      <c r="P392" s="6" t="n"/>
    </row>
    <row r="393">
      <c r="A393" s="6" t="n"/>
      <c r="C393" s="6" t="n"/>
      <c r="D393" s="6" t="n"/>
      <c r="F393" s="6" t="n"/>
      <c r="H393" s="6" t="n"/>
      <c r="J393" s="6" t="n"/>
      <c r="L393" s="6" t="n"/>
      <c r="N393" s="6" t="n"/>
      <c r="P393" s="6" t="n"/>
    </row>
    <row r="394">
      <c r="A394" s="6" t="n"/>
      <c r="C394" s="6" t="n"/>
      <c r="D394" s="6" t="n"/>
      <c r="F394" s="6" t="n"/>
      <c r="H394" s="6" t="n"/>
      <c r="J394" s="6" t="n"/>
      <c r="L394" s="6" t="n"/>
      <c r="N394" s="6" t="n"/>
      <c r="P394" s="6" t="n"/>
    </row>
    <row r="395">
      <c r="A395" s="6" t="n"/>
      <c r="C395" s="6" t="n"/>
      <c r="D395" s="6" t="n"/>
      <c r="F395" s="6" t="n"/>
      <c r="H395" s="6" t="n"/>
      <c r="J395" s="6" t="n"/>
      <c r="L395" s="6" t="n"/>
      <c r="N395" s="6" t="n"/>
      <c r="P395" s="6" t="n"/>
    </row>
    <row r="396">
      <c r="A396" s="6" t="n"/>
      <c r="C396" s="6" t="n"/>
      <c r="D396" s="6" t="n"/>
      <c r="F396" s="6" t="n"/>
      <c r="H396" s="6" t="n"/>
      <c r="J396" s="6" t="n"/>
      <c r="L396" s="6" t="n"/>
      <c r="N396" s="6" t="n"/>
      <c r="P396" s="6" t="n"/>
    </row>
    <row r="397">
      <c r="A397" s="6" t="n"/>
      <c r="C397" s="6" t="n"/>
      <c r="D397" s="6" t="n"/>
      <c r="F397" s="6" t="n"/>
      <c r="H397" s="6" t="n"/>
      <c r="J397" s="6" t="n"/>
      <c r="L397" s="6" t="n"/>
      <c r="N397" s="6" t="n"/>
      <c r="P397" s="6" t="n"/>
    </row>
    <row r="398">
      <c r="A398" s="6" t="n"/>
      <c r="C398" s="6" t="n"/>
      <c r="D398" s="6" t="n"/>
      <c r="F398" s="6" t="n"/>
      <c r="H398" s="6" t="n"/>
      <c r="J398" s="6" t="n"/>
      <c r="L398" s="6" t="n"/>
      <c r="N398" s="6" t="n"/>
      <c r="P398" s="6" t="n"/>
    </row>
    <row r="399">
      <c r="A399" s="6" t="n"/>
      <c r="C399" s="6" t="n"/>
      <c r="D399" s="6" t="n"/>
      <c r="F399" s="6" t="n"/>
      <c r="H399" s="6" t="n"/>
      <c r="J399" s="6" t="n"/>
      <c r="L399" s="6" t="n"/>
      <c r="N399" s="6" t="n"/>
      <c r="P399" s="6" t="n"/>
    </row>
    <row r="400">
      <c r="A400" s="6" t="n"/>
      <c r="C400" s="6" t="n"/>
      <c r="D400" s="6" t="n"/>
      <c r="F400" s="6" t="n"/>
      <c r="H400" s="6" t="n"/>
      <c r="J400" s="6" t="n"/>
      <c r="L400" s="6" t="n"/>
      <c r="N400" s="6" t="n"/>
      <c r="P400" s="6" t="n"/>
    </row>
    <row r="401">
      <c r="A401" s="6" t="n"/>
      <c r="C401" s="6" t="n"/>
      <c r="D401" s="6" t="n"/>
      <c r="F401" s="6" t="n"/>
      <c r="H401" s="6" t="n"/>
      <c r="J401" s="6" t="n"/>
      <c r="L401" s="6" t="n"/>
      <c r="N401" s="6" t="n"/>
      <c r="P401" s="6" t="n"/>
    </row>
    <row r="402">
      <c r="A402" s="6" t="n"/>
      <c r="C402" s="6" t="n"/>
      <c r="D402" s="6" t="n"/>
      <c r="F402" s="6" t="n"/>
      <c r="H402" s="6" t="n"/>
      <c r="J402" s="6" t="n"/>
      <c r="L402" s="6" t="n"/>
      <c r="N402" s="6" t="n"/>
      <c r="P402" s="6" t="n"/>
    </row>
    <row r="403">
      <c r="A403" s="6" t="n"/>
      <c r="C403" s="6" t="n"/>
      <c r="D403" s="6" t="n"/>
      <c r="F403" s="6" t="n"/>
      <c r="H403" s="6" t="n"/>
      <c r="J403" s="6" t="n"/>
      <c r="L403" s="6" t="n"/>
      <c r="N403" s="6" t="n"/>
      <c r="P403" s="6" t="n"/>
    </row>
    <row r="404"/>
    <row r="405"/>
    <row r="406">
      <c r="A406" s="3" t="inlineStr">
        <is>
          <t>Why two Category columns: column A is the plain list of categories, used for the Category dropdown. Columns C and D are the PAIRS — which subcategory belongs to which category. To add a subcategory, add a row to C and D together.</t>
        </is>
      </c>
    </row>
    <row r="407">
      <c r="A407" s="3" t="inlineStr">
        <is>
          <t>PRODUCT MASTER lets you pick any subcategory, then tells you in its own column if the pair does not match. That is deliberate: a dropdown that filters itself needs one hidden helper column per row, which nobody can maintain by hand.</t>
        </is>
      </c>
    </row>
    <row r="408">
      <c r="A408" s="3" t="inlineStr">
        <is>
          <t>Blank rows below a list do not appear as empty options — Sheets ignores them.</t>
        </is>
      </c>
    </row>
  </sheetData>
  <pageMargins left="0.75" right="0.75" top="1" bottom="1" header="0.5" footer="0.5"/>
</worksheet>
</file>

<file path=xl/worksheets/sheet2.xml><?xml version="1.0" encoding="utf-8"?>
<worksheet xmlns="http://schemas.openxmlformats.org/spreadsheetml/2006/main">
  <sheetPr>
    <tabColor rgb="FFD97706"/>
    <outlinePr summaryBelow="1" summaryRight="1"/>
    <pageSetUpPr/>
  </sheetPr>
  <dimension ref="A1:V606"/>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00" customWidth="1" min="1" max="1"/>
    <col width="100" customWidth="1" min="2" max="2"/>
    <col width="150" customWidth="1" min="3" max="3"/>
    <col width="175" customWidth="1" min="4" max="4"/>
    <col width="140" customWidth="1" min="5" max="5"/>
    <col width="210" customWidth="1" min="6" max="6"/>
    <col width="130" customWidth="1" min="7" max="7"/>
    <col width="240" customWidth="1" min="8" max="8"/>
    <col width="90" customWidth="1" min="9" max="9"/>
    <col width="95" customWidth="1" min="10" max="10"/>
    <col width="145" customWidth="1" min="11" max="11"/>
    <col width="230" customWidth="1" min="12" max="12"/>
    <col width="100" customWidth="1" min="13" max="13"/>
    <col width="100" customWidth="1" min="14" max="14"/>
    <col width="100" customWidth="1" min="15" max="15"/>
    <col width="100" customWidth="1" min="16" max="16"/>
    <col width="100" customWidth="1" min="17" max="17"/>
    <col width="100" customWidth="1" min="18" max="18"/>
    <col width="105" customWidth="1" min="19" max="19"/>
    <col width="130" customWidth="1" min="20" max="20"/>
    <col width="130" customWidth="1" min="21" max="21"/>
    <col width="230" customWidth="1" min="22" max="22"/>
  </cols>
  <sheetData>
    <row r="1">
      <c r="A1" s="1" t="inlineStr">
        <is>
          <t>PRODUCT MASTER — one row per KIND of product</t>
        </is>
      </c>
    </row>
    <row r="2">
      <c r="A2" s="2" t="inlineStr">
        <is>
          <t>Everything that is true of every piece of this model: what it is, who made it, what it weighs, what it rents for. The individual pieces live on INVENTORY. Orange = you type. Grey = it works itself out.</t>
        </is>
      </c>
    </row>
    <row r="3" ht="34" customHeight="1">
      <c r="A3" s="7" t="inlineStr">
        <is>
          <t>Product ID</t>
        </is>
      </c>
      <c r="B3" s="7" t="inlineStr">
        <is>
          <t>Short code</t>
        </is>
      </c>
      <c r="C3" s="7" t="inlineStr">
        <is>
          <t>Category</t>
        </is>
      </c>
      <c r="D3" s="7" t="inlineStr">
        <is>
          <t>Subcategory</t>
        </is>
      </c>
      <c r="E3" s="7" t="inlineStr">
        <is>
          <t>Brand</t>
        </is>
      </c>
      <c r="F3" s="7" t="inlineStr">
        <is>
          <t>Model name</t>
        </is>
      </c>
      <c r="G3" s="7" t="inlineStr">
        <is>
          <t>Model number</t>
        </is>
      </c>
      <c r="H3" s="7" t="inlineStr">
        <is>
          <t>Description</t>
        </is>
      </c>
      <c r="I3" s="7" t="inlineStr">
        <is>
          <t>Power (W)</t>
        </is>
      </c>
      <c r="J3" s="7" t="inlineStr">
        <is>
          <t>Weight (kg)</t>
        </is>
      </c>
      <c r="K3" s="7" t="inlineStr">
        <is>
          <t>Dimensions</t>
        </is>
      </c>
      <c r="L3" s="7" t="inlineStr">
        <is>
          <t>What comes with it</t>
        </is>
      </c>
      <c r="M3" s="7" t="inlineStr">
        <is>
          <t>Deposit</t>
        </is>
      </c>
      <c r="N3" s="7" t="inlineStr">
        <is>
          <t>Rate 1 day</t>
        </is>
      </c>
      <c r="O3" s="7" t="inlineStr">
        <is>
          <t>Rate 2–3 d</t>
        </is>
      </c>
      <c r="P3" s="7" t="inlineStr">
        <is>
          <t>Rate 4–7 d</t>
        </is>
      </c>
      <c r="Q3" s="7" t="inlineStr">
        <is>
          <t>Rate 8+ d</t>
        </is>
      </c>
      <c r="R3" s="7" t="inlineStr">
        <is>
          <t>Pieces owned</t>
        </is>
      </c>
      <c r="S3" s="7" t="inlineStr">
        <is>
          <t>Available now</t>
        </is>
      </c>
      <c r="T3" s="7" t="inlineStr">
        <is>
          <t>Category ✓</t>
        </is>
      </c>
      <c r="U3" s="7" t="inlineStr">
        <is>
          <t>Duplicate?</t>
        </is>
      </c>
      <c r="V3" s="7" t="inlineStr">
        <is>
          <t>Notes</t>
        </is>
      </c>
    </row>
    <row r="4">
      <c r="A4" s="8">
        <f>IF($F4="","","PRD-"&amp;TEXT(ROW()-3,"0000"))</f>
        <v/>
      </c>
      <c r="B4" s="5" t="n"/>
      <c r="C4" s="5" t="n"/>
      <c r="D4" s="5" t="n"/>
      <c r="E4" s="5" t="n"/>
      <c r="F4" s="5" t="n"/>
      <c r="G4" s="5" t="n"/>
      <c r="H4" s="5" t="n"/>
      <c r="I4" s="5" t="n"/>
      <c r="J4" s="5" t="n"/>
      <c r="K4" s="5" t="n"/>
      <c r="L4" s="5" t="n"/>
      <c r="M4" s="9" t="n"/>
      <c r="N4" s="9" t="n"/>
      <c r="O4" s="9" t="n"/>
      <c r="P4" s="9" t="n"/>
      <c r="Q4" s="9" t="n"/>
      <c r="R4" s="8">
        <f>IF($A4="","",COUNTIF(INV_Product,$A4))</f>
        <v/>
      </c>
      <c r="S4" s="8">
        <f>IF($A4="","",COUNTIFS(INV_Product,$A4,INV_Status,"Available"))</f>
        <v/>
      </c>
      <c r="T4" s="8">
        <f>IF($D4="","",IF(COUNTIFS(DD_PairCategory,$C4,DD_Subcategory,$D4)&gt;0,"ok","✗ "&amp;$D4&amp;" is not under "&amp;$C4))</f>
        <v/>
      </c>
      <c r="U4" s="8">
        <f>IF($F4="","",IF(COUNTIFS(PM_Brand,$E4,PM_Model,$F4)&gt;1,"⚠ duplicate product",IF(AND($B4&lt;&gt;"",COUNTIF(PM_Short,$B4)&gt;1),"⚠ short code reused","")))</f>
        <v/>
      </c>
      <c r="V4" s="5" t="n"/>
    </row>
    <row r="5">
      <c r="A5" s="8">
        <f>IF($F5="","","PRD-"&amp;TEXT(ROW()-3,"0000"))</f>
        <v/>
      </c>
      <c r="B5" s="5" t="n"/>
      <c r="C5" s="5" t="n"/>
      <c r="D5" s="5" t="n"/>
      <c r="E5" s="5" t="n"/>
      <c r="F5" s="5" t="n"/>
      <c r="G5" s="5" t="n"/>
      <c r="H5" s="5" t="n"/>
      <c r="I5" s="5" t="n"/>
      <c r="J5" s="5" t="n"/>
      <c r="K5" s="5" t="n"/>
      <c r="L5" s="5" t="n"/>
      <c r="M5" s="9" t="n"/>
      <c r="N5" s="9" t="n"/>
      <c r="O5" s="9" t="n"/>
      <c r="P5" s="9" t="n"/>
      <c r="Q5" s="9" t="n"/>
      <c r="R5" s="8">
        <f>IF($A5="","",COUNTIF(INV_Product,$A5))</f>
        <v/>
      </c>
      <c r="S5" s="8">
        <f>IF($A5="","",COUNTIFS(INV_Product,$A5,INV_Status,"Available"))</f>
        <v/>
      </c>
      <c r="T5" s="8">
        <f>IF($D5="","",IF(COUNTIFS(DD_PairCategory,$C5,DD_Subcategory,$D5)&gt;0,"ok","✗ "&amp;$D5&amp;" is not under "&amp;$C5))</f>
        <v/>
      </c>
      <c r="U5" s="8">
        <f>IF($F5="","",IF(COUNTIFS(PM_Brand,$E5,PM_Model,$F5)&gt;1,"⚠ duplicate product",IF(AND($B5&lt;&gt;"",COUNTIF(PM_Short,$B5)&gt;1),"⚠ short code reused","")))</f>
        <v/>
      </c>
      <c r="V5" s="5" t="n"/>
    </row>
    <row r="6">
      <c r="A6" s="8">
        <f>IF($F6="","","PRD-"&amp;TEXT(ROW()-3,"0000"))</f>
        <v/>
      </c>
      <c r="B6" s="5" t="n"/>
      <c r="C6" s="5" t="n"/>
      <c r="D6" s="5" t="n"/>
      <c r="E6" s="5" t="n"/>
      <c r="F6" s="5" t="n"/>
      <c r="G6" s="5" t="n"/>
      <c r="H6" s="5" t="n"/>
      <c r="I6" s="5" t="n"/>
      <c r="J6" s="5" t="n"/>
      <c r="K6" s="5" t="n"/>
      <c r="L6" s="5" t="n"/>
      <c r="M6" s="9" t="n"/>
      <c r="N6" s="9" t="n"/>
      <c r="O6" s="9" t="n"/>
      <c r="P6" s="9" t="n"/>
      <c r="Q6" s="9" t="n"/>
      <c r="R6" s="8">
        <f>IF($A6="","",COUNTIF(INV_Product,$A6))</f>
        <v/>
      </c>
      <c r="S6" s="8">
        <f>IF($A6="","",COUNTIFS(INV_Product,$A6,INV_Status,"Available"))</f>
        <v/>
      </c>
      <c r="T6" s="8">
        <f>IF($D6="","",IF(COUNTIFS(DD_PairCategory,$C6,DD_Subcategory,$D6)&gt;0,"ok","✗ "&amp;$D6&amp;" is not under "&amp;$C6))</f>
        <v/>
      </c>
      <c r="U6" s="8">
        <f>IF($F6="","",IF(COUNTIFS(PM_Brand,$E6,PM_Model,$F6)&gt;1,"⚠ duplicate product",IF(AND($B6&lt;&gt;"",COUNTIF(PM_Short,$B6)&gt;1),"⚠ short code reused","")))</f>
        <v/>
      </c>
      <c r="V6" s="5" t="n"/>
    </row>
    <row r="7">
      <c r="A7" s="8">
        <f>IF($F7="","","PRD-"&amp;TEXT(ROW()-3,"0000"))</f>
        <v/>
      </c>
      <c r="B7" s="5" t="n"/>
      <c r="C7" s="5" t="n"/>
      <c r="D7" s="5" t="n"/>
      <c r="E7" s="5" t="n"/>
      <c r="F7" s="5" t="n"/>
      <c r="G7" s="5" t="n"/>
      <c r="H7" s="5" t="n"/>
      <c r="I7" s="5" t="n"/>
      <c r="J7" s="5" t="n"/>
      <c r="K7" s="5" t="n"/>
      <c r="L7" s="5" t="n"/>
      <c r="M7" s="9" t="n"/>
      <c r="N7" s="9" t="n"/>
      <c r="O7" s="9" t="n"/>
      <c r="P7" s="9" t="n"/>
      <c r="Q7" s="9" t="n"/>
      <c r="R7" s="8">
        <f>IF($A7="","",COUNTIF(INV_Product,$A7))</f>
        <v/>
      </c>
      <c r="S7" s="8">
        <f>IF($A7="","",COUNTIFS(INV_Product,$A7,INV_Status,"Available"))</f>
        <v/>
      </c>
      <c r="T7" s="8">
        <f>IF($D7="","",IF(COUNTIFS(DD_PairCategory,$C7,DD_Subcategory,$D7)&gt;0,"ok","✗ "&amp;$D7&amp;" is not under "&amp;$C7))</f>
        <v/>
      </c>
      <c r="U7" s="8">
        <f>IF($F7="","",IF(COUNTIFS(PM_Brand,$E7,PM_Model,$F7)&gt;1,"⚠ duplicate product",IF(AND($B7&lt;&gt;"",COUNTIF(PM_Short,$B7)&gt;1),"⚠ short code reused","")))</f>
        <v/>
      </c>
      <c r="V7" s="5" t="n"/>
    </row>
    <row r="8">
      <c r="A8" s="8">
        <f>IF($F8="","","PRD-"&amp;TEXT(ROW()-3,"0000"))</f>
        <v/>
      </c>
      <c r="B8" s="5" t="n"/>
      <c r="C8" s="5" t="n"/>
      <c r="D8" s="5" t="n"/>
      <c r="E8" s="5" t="n"/>
      <c r="F8" s="5" t="n"/>
      <c r="G8" s="5" t="n"/>
      <c r="H8" s="5" t="n"/>
      <c r="I8" s="5" t="n"/>
      <c r="J8" s="5" t="n"/>
      <c r="K8" s="5" t="n"/>
      <c r="L8" s="5" t="n"/>
      <c r="M8" s="9" t="n"/>
      <c r="N8" s="9" t="n"/>
      <c r="O8" s="9" t="n"/>
      <c r="P8" s="9" t="n"/>
      <c r="Q8" s="9" t="n"/>
      <c r="R8" s="8">
        <f>IF($A8="","",COUNTIF(INV_Product,$A8))</f>
        <v/>
      </c>
      <c r="S8" s="8">
        <f>IF($A8="","",COUNTIFS(INV_Product,$A8,INV_Status,"Available"))</f>
        <v/>
      </c>
      <c r="T8" s="8">
        <f>IF($D8="","",IF(COUNTIFS(DD_PairCategory,$C8,DD_Subcategory,$D8)&gt;0,"ok","✗ "&amp;$D8&amp;" is not under "&amp;$C8))</f>
        <v/>
      </c>
      <c r="U8" s="8">
        <f>IF($F8="","",IF(COUNTIFS(PM_Brand,$E8,PM_Model,$F8)&gt;1,"⚠ duplicate product",IF(AND($B8&lt;&gt;"",COUNTIF(PM_Short,$B8)&gt;1),"⚠ short code reused","")))</f>
        <v/>
      </c>
      <c r="V8" s="5" t="n"/>
    </row>
    <row r="9">
      <c r="A9" s="8">
        <f>IF($F9="","","PRD-"&amp;TEXT(ROW()-3,"0000"))</f>
        <v/>
      </c>
      <c r="B9" s="5" t="n"/>
      <c r="C9" s="5" t="n"/>
      <c r="D9" s="5" t="n"/>
      <c r="E9" s="5" t="n"/>
      <c r="F9" s="5" t="n"/>
      <c r="G9" s="5" t="n"/>
      <c r="H9" s="5" t="n"/>
      <c r="I9" s="5" t="n"/>
      <c r="J9" s="5" t="n"/>
      <c r="K9" s="5" t="n"/>
      <c r="L9" s="5" t="n"/>
      <c r="M9" s="9" t="n"/>
      <c r="N9" s="9" t="n"/>
      <c r="O9" s="9" t="n"/>
      <c r="P9" s="9" t="n"/>
      <c r="Q9" s="9" t="n"/>
      <c r="R9" s="8">
        <f>IF($A9="","",COUNTIF(INV_Product,$A9))</f>
        <v/>
      </c>
      <c r="S9" s="8">
        <f>IF($A9="","",COUNTIFS(INV_Product,$A9,INV_Status,"Available"))</f>
        <v/>
      </c>
      <c r="T9" s="8">
        <f>IF($D9="","",IF(COUNTIFS(DD_PairCategory,$C9,DD_Subcategory,$D9)&gt;0,"ok","✗ "&amp;$D9&amp;" is not under "&amp;$C9))</f>
        <v/>
      </c>
      <c r="U9" s="8">
        <f>IF($F9="","",IF(COUNTIFS(PM_Brand,$E9,PM_Model,$F9)&gt;1,"⚠ duplicate product",IF(AND($B9&lt;&gt;"",COUNTIF(PM_Short,$B9)&gt;1),"⚠ short code reused","")))</f>
        <v/>
      </c>
      <c r="V9" s="5" t="n"/>
    </row>
    <row r="10">
      <c r="A10" s="8">
        <f>IF($F10="","","PRD-"&amp;TEXT(ROW()-3,"0000"))</f>
        <v/>
      </c>
      <c r="B10" s="5" t="n"/>
      <c r="C10" s="5" t="n"/>
      <c r="D10" s="5" t="n"/>
      <c r="E10" s="5" t="n"/>
      <c r="F10" s="5" t="n"/>
      <c r="G10" s="5" t="n"/>
      <c r="H10" s="5" t="n"/>
      <c r="I10" s="5" t="n"/>
      <c r="J10" s="5" t="n"/>
      <c r="K10" s="5" t="n"/>
      <c r="L10" s="5" t="n"/>
      <c r="M10" s="9" t="n"/>
      <c r="N10" s="9" t="n"/>
      <c r="O10" s="9" t="n"/>
      <c r="P10" s="9" t="n"/>
      <c r="Q10" s="9" t="n"/>
      <c r="R10" s="8">
        <f>IF($A10="","",COUNTIF(INV_Product,$A10))</f>
        <v/>
      </c>
      <c r="S10" s="8">
        <f>IF($A10="","",COUNTIFS(INV_Product,$A10,INV_Status,"Available"))</f>
        <v/>
      </c>
      <c r="T10" s="8">
        <f>IF($D10="","",IF(COUNTIFS(DD_PairCategory,$C10,DD_Subcategory,$D10)&gt;0,"ok","✗ "&amp;$D10&amp;" is not under "&amp;$C10))</f>
        <v/>
      </c>
      <c r="U10" s="8">
        <f>IF($F10="","",IF(COUNTIFS(PM_Brand,$E10,PM_Model,$F10)&gt;1,"⚠ duplicate product",IF(AND($B10&lt;&gt;"",COUNTIF(PM_Short,$B10)&gt;1),"⚠ short code reused","")))</f>
        <v/>
      </c>
      <c r="V10" s="5" t="n"/>
    </row>
    <row r="11">
      <c r="A11" s="8">
        <f>IF($F11="","","PRD-"&amp;TEXT(ROW()-3,"0000"))</f>
        <v/>
      </c>
      <c r="B11" s="5" t="n"/>
      <c r="C11" s="5" t="n"/>
      <c r="D11" s="5" t="n"/>
      <c r="E11" s="5" t="n"/>
      <c r="F11" s="5" t="n"/>
      <c r="G11" s="5" t="n"/>
      <c r="H11" s="5" t="n"/>
      <c r="I11" s="5" t="n"/>
      <c r="J11" s="5" t="n"/>
      <c r="K11" s="5" t="n"/>
      <c r="L11" s="5" t="n"/>
      <c r="M11" s="9" t="n"/>
      <c r="N11" s="9" t="n"/>
      <c r="O11" s="9" t="n"/>
      <c r="P11" s="9" t="n"/>
      <c r="Q11" s="9" t="n"/>
      <c r="R11" s="8">
        <f>IF($A11="","",COUNTIF(INV_Product,$A11))</f>
        <v/>
      </c>
      <c r="S11" s="8">
        <f>IF($A11="","",COUNTIFS(INV_Product,$A11,INV_Status,"Available"))</f>
        <v/>
      </c>
      <c r="T11" s="8">
        <f>IF($D11="","",IF(COUNTIFS(DD_PairCategory,$C11,DD_Subcategory,$D11)&gt;0,"ok","✗ "&amp;$D11&amp;" is not under "&amp;$C11))</f>
        <v/>
      </c>
      <c r="U11" s="8">
        <f>IF($F11="","",IF(COUNTIFS(PM_Brand,$E11,PM_Model,$F11)&gt;1,"⚠ duplicate product",IF(AND($B11&lt;&gt;"",COUNTIF(PM_Short,$B11)&gt;1),"⚠ short code reused","")))</f>
        <v/>
      </c>
      <c r="V11" s="5" t="n"/>
    </row>
    <row r="12">
      <c r="A12" s="8">
        <f>IF($F12="","","PRD-"&amp;TEXT(ROW()-3,"0000"))</f>
        <v/>
      </c>
      <c r="B12" s="5" t="n"/>
      <c r="C12" s="5" t="n"/>
      <c r="D12" s="5" t="n"/>
      <c r="E12" s="5" t="n"/>
      <c r="F12" s="5" t="n"/>
      <c r="G12" s="5" t="n"/>
      <c r="H12" s="5" t="n"/>
      <c r="I12" s="5" t="n"/>
      <c r="J12" s="5" t="n"/>
      <c r="K12" s="5" t="n"/>
      <c r="L12" s="5" t="n"/>
      <c r="M12" s="9" t="n"/>
      <c r="N12" s="9" t="n"/>
      <c r="O12" s="9" t="n"/>
      <c r="P12" s="9" t="n"/>
      <c r="Q12" s="9" t="n"/>
      <c r="R12" s="8">
        <f>IF($A12="","",COUNTIF(INV_Product,$A12))</f>
        <v/>
      </c>
      <c r="S12" s="8">
        <f>IF($A12="","",COUNTIFS(INV_Product,$A12,INV_Status,"Available"))</f>
        <v/>
      </c>
      <c r="T12" s="8">
        <f>IF($D12="","",IF(COUNTIFS(DD_PairCategory,$C12,DD_Subcategory,$D12)&gt;0,"ok","✗ "&amp;$D12&amp;" is not under "&amp;$C12))</f>
        <v/>
      </c>
      <c r="U12" s="8">
        <f>IF($F12="","",IF(COUNTIFS(PM_Brand,$E12,PM_Model,$F12)&gt;1,"⚠ duplicate product",IF(AND($B12&lt;&gt;"",COUNTIF(PM_Short,$B12)&gt;1),"⚠ short code reused","")))</f>
        <v/>
      </c>
      <c r="V12" s="5" t="n"/>
    </row>
    <row r="13">
      <c r="A13" s="8">
        <f>IF($F13="","","PRD-"&amp;TEXT(ROW()-3,"0000"))</f>
        <v/>
      </c>
      <c r="B13" s="5" t="n"/>
      <c r="C13" s="5" t="n"/>
      <c r="D13" s="5" t="n"/>
      <c r="E13" s="5" t="n"/>
      <c r="F13" s="5" t="n"/>
      <c r="G13" s="5" t="n"/>
      <c r="H13" s="5" t="n"/>
      <c r="I13" s="5" t="n"/>
      <c r="J13" s="5" t="n"/>
      <c r="K13" s="5" t="n"/>
      <c r="L13" s="5" t="n"/>
      <c r="M13" s="9" t="n"/>
      <c r="N13" s="9" t="n"/>
      <c r="O13" s="9" t="n"/>
      <c r="P13" s="9" t="n"/>
      <c r="Q13" s="9" t="n"/>
      <c r="R13" s="8">
        <f>IF($A13="","",COUNTIF(INV_Product,$A13))</f>
        <v/>
      </c>
      <c r="S13" s="8">
        <f>IF($A13="","",COUNTIFS(INV_Product,$A13,INV_Status,"Available"))</f>
        <v/>
      </c>
      <c r="T13" s="8">
        <f>IF($D13="","",IF(COUNTIFS(DD_PairCategory,$C13,DD_Subcategory,$D13)&gt;0,"ok","✗ "&amp;$D13&amp;" is not under "&amp;$C13))</f>
        <v/>
      </c>
      <c r="U13" s="8">
        <f>IF($F13="","",IF(COUNTIFS(PM_Brand,$E13,PM_Model,$F13)&gt;1,"⚠ duplicate product",IF(AND($B13&lt;&gt;"",COUNTIF(PM_Short,$B13)&gt;1),"⚠ short code reused","")))</f>
        <v/>
      </c>
      <c r="V13" s="5" t="n"/>
    </row>
    <row r="14">
      <c r="A14" s="8">
        <f>IF($F14="","","PRD-"&amp;TEXT(ROW()-3,"0000"))</f>
        <v/>
      </c>
      <c r="B14" s="5" t="n"/>
      <c r="C14" s="5" t="n"/>
      <c r="D14" s="5" t="n"/>
      <c r="E14" s="5" t="n"/>
      <c r="F14" s="5" t="n"/>
      <c r="G14" s="5" t="n"/>
      <c r="H14" s="5" t="n"/>
      <c r="I14" s="5" t="n"/>
      <c r="J14" s="5" t="n"/>
      <c r="K14" s="5" t="n"/>
      <c r="L14" s="5" t="n"/>
      <c r="M14" s="9" t="n"/>
      <c r="N14" s="9" t="n"/>
      <c r="O14" s="9" t="n"/>
      <c r="P14" s="9" t="n"/>
      <c r="Q14" s="9" t="n"/>
      <c r="R14" s="8">
        <f>IF($A14="","",COUNTIF(INV_Product,$A14))</f>
        <v/>
      </c>
      <c r="S14" s="8">
        <f>IF($A14="","",COUNTIFS(INV_Product,$A14,INV_Status,"Available"))</f>
        <v/>
      </c>
      <c r="T14" s="8">
        <f>IF($D14="","",IF(COUNTIFS(DD_PairCategory,$C14,DD_Subcategory,$D14)&gt;0,"ok","✗ "&amp;$D14&amp;" is not under "&amp;$C14))</f>
        <v/>
      </c>
      <c r="U14" s="8">
        <f>IF($F14="","",IF(COUNTIFS(PM_Brand,$E14,PM_Model,$F14)&gt;1,"⚠ duplicate product",IF(AND($B14&lt;&gt;"",COUNTIF(PM_Short,$B14)&gt;1),"⚠ short code reused","")))</f>
        <v/>
      </c>
      <c r="V14" s="5" t="n"/>
    </row>
    <row r="15">
      <c r="A15" s="8">
        <f>IF($F15="","","PRD-"&amp;TEXT(ROW()-3,"0000"))</f>
        <v/>
      </c>
      <c r="B15" s="5" t="n"/>
      <c r="C15" s="5" t="n"/>
      <c r="D15" s="5" t="n"/>
      <c r="E15" s="5" t="n"/>
      <c r="F15" s="5" t="n"/>
      <c r="G15" s="5" t="n"/>
      <c r="H15" s="5" t="n"/>
      <c r="I15" s="5" t="n"/>
      <c r="J15" s="5" t="n"/>
      <c r="K15" s="5" t="n"/>
      <c r="L15" s="5" t="n"/>
      <c r="M15" s="9" t="n"/>
      <c r="N15" s="9" t="n"/>
      <c r="O15" s="9" t="n"/>
      <c r="P15" s="9" t="n"/>
      <c r="Q15" s="9" t="n"/>
      <c r="R15" s="8">
        <f>IF($A15="","",COUNTIF(INV_Product,$A15))</f>
        <v/>
      </c>
      <c r="S15" s="8">
        <f>IF($A15="","",COUNTIFS(INV_Product,$A15,INV_Status,"Available"))</f>
        <v/>
      </c>
      <c r="T15" s="8">
        <f>IF($D15="","",IF(COUNTIFS(DD_PairCategory,$C15,DD_Subcategory,$D15)&gt;0,"ok","✗ "&amp;$D15&amp;" is not under "&amp;$C15))</f>
        <v/>
      </c>
      <c r="U15" s="8">
        <f>IF($F15="","",IF(COUNTIFS(PM_Brand,$E15,PM_Model,$F15)&gt;1,"⚠ duplicate product",IF(AND($B15&lt;&gt;"",COUNTIF(PM_Short,$B15)&gt;1),"⚠ short code reused","")))</f>
        <v/>
      </c>
      <c r="V15" s="5" t="n"/>
    </row>
    <row r="16">
      <c r="A16" s="8">
        <f>IF($F16="","","PRD-"&amp;TEXT(ROW()-3,"0000"))</f>
        <v/>
      </c>
      <c r="B16" s="5" t="n"/>
      <c r="C16" s="5" t="n"/>
      <c r="D16" s="5" t="n"/>
      <c r="E16" s="5" t="n"/>
      <c r="F16" s="5" t="n"/>
      <c r="G16" s="5" t="n"/>
      <c r="H16" s="5" t="n"/>
      <c r="I16" s="5" t="n"/>
      <c r="J16" s="5" t="n"/>
      <c r="K16" s="5" t="n"/>
      <c r="L16" s="5" t="n"/>
      <c r="M16" s="9" t="n"/>
      <c r="N16" s="9" t="n"/>
      <c r="O16" s="9" t="n"/>
      <c r="P16" s="9" t="n"/>
      <c r="Q16" s="9" t="n"/>
      <c r="R16" s="8">
        <f>IF($A16="","",COUNTIF(INV_Product,$A16))</f>
        <v/>
      </c>
      <c r="S16" s="8">
        <f>IF($A16="","",COUNTIFS(INV_Product,$A16,INV_Status,"Available"))</f>
        <v/>
      </c>
      <c r="T16" s="8">
        <f>IF($D16="","",IF(COUNTIFS(DD_PairCategory,$C16,DD_Subcategory,$D16)&gt;0,"ok","✗ "&amp;$D16&amp;" is not under "&amp;$C16))</f>
        <v/>
      </c>
      <c r="U16" s="8">
        <f>IF($F16="","",IF(COUNTIFS(PM_Brand,$E16,PM_Model,$F16)&gt;1,"⚠ duplicate product",IF(AND($B16&lt;&gt;"",COUNTIF(PM_Short,$B16)&gt;1),"⚠ short code reused","")))</f>
        <v/>
      </c>
      <c r="V16" s="5" t="n"/>
    </row>
    <row r="17">
      <c r="A17" s="8">
        <f>IF($F17="","","PRD-"&amp;TEXT(ROW()-3,"0000"))</f>
        <v/>
      </c>
      <c r="B17" s="5" t="n"/>
      <c r="C17" s="5" t="n"/>
      <c r="D17" s="5" t="n"/>
      <c r="E17" s="5" t="n"/>
      <c r="F17" s="5" t="n"/>
      <c r="G17" s="5" t="n"/>
      <c r="H17" s="5" t="n"/>
      <c r="I17" s="5" t="n"/>
      <c r="J17" s="5" t="n"/>
      <c r="K17" s="5" t="n"/>
      <c r="L17" s="5" t="n"/>
      <c r="M17" s="9" t="n"/>
      <c r="N17" s="9" t="n"/>
      <c r="O17" s="9" t="n"/>
      <c r="P17" s="9" t="n"/>
      <c r="Q17" s="9" t="n"/>
      <c r="R17" s="8">
        <f>IF($A17="","",COUNTIF(INV_Product,$A17))</f>
        <v/>
      </c>
      <c r="S17" s="8">
        <f>IF($A17="","",COUNTIFS(INV_Product,$A17,INV_Status,"Available"))</f>
        <v/>
      </c>
      <c r="T17" s="8">
        <f>IF($D17="","",IF(COUNTIFS(DD_PairCategory,$C17,DD_Subcategory,$D17)&gt;0,"ok","✗ "&amp;$D17&amp;" is not under "&amp;$C17))</f>
        <v/>
      </c>
      <c r="U17" s="8">
        <f>IF($F17="","",IF(COUNTIFS(PM_Brand,$E17,PM_Model,$F17)&gt;1,"⚠ duplicate product",IF(AND($B17&lt;&gt;"",COUNTIF(PM_Short,$B17)&gt;1),"⚠ short code reused","")))</f>
        <v/>
      </c>
      <c r="V17" s="5" t="n"/>
    </row>
    <row r="18">
      <c r="A18" s="8">
        <f>IF($F18="","","PRD-"&amp;TEXT(ROW()-3,"0000"))</f>
        <v/>
      </c>
      <c r="B18" s="5" t="n"/>
      <c r="C18" s="5" t="n"/>
      <c r="D18" s="5" t="n"/>
      <c r="E18" s="5" t="n"/>
      <c r="F18" s="5" t="n"/>
      <c r="G18" s="5" t="n"/>
      <c r="H18" s="5" t="n"/>
      <c r="I18" s="5" t="n"/>
      <c r="J18" s="5" t="n"/>
      <c r="K18" s="5" t="n"/>
      <c r="L18" s="5" t="n"/>
      <c r="M18" s="9" t="n"/>
      <c r="N18" s="9" t="n"/>
      <c r="O18" s="9" t="n"/>
      <c r="P18" s="9" t="n"/>
      <c r="Q18" s="9" t="n"/>
      <c r="R18" s="8">
        <f>IF($A18="","",COUNTIF(INV_Product,$A18))</f>
        <v/>
      </c>
      <c r="S18" s="8">
        <f>IF($A18="","",COUNTIFS(INV_Product,$A18,INV_Status,"Available"))</f>
        <v/>
      </c>
      <c r="T18" s="8">
        <f>IF($D18="","",IF(COUNTIFS(DD_PairCategory,$C18,DD_Subcategory,$D18)&gt;0,"ok","✗ "&amp;$D18&amp;" is not under "&amp;$C18))</f>
        <v/>
      </c>
      <c r="U18" s="8">
        <f>IF($F18="","",IF(COUNTIFS(PM_Brand,$E18,PM_Model,$F18)&gt;1,"⚠ duplicate product",IF(AND($B18&lt;&gt;"",COUNTIF(PM_Short,$B18)&gt;1),"⚠ short code reused","")))</f>
        <v/>
      </c>
      <c r="V18" s="5" t="n"/>
    </row>
    <row r="19">
      <c r="A19" s="8">
        <f>IF($F19="","","PRD-"&amp;TEXT(ROW()-3,"0000"))</f>
        <v/>
      </c>
      <c r="B19" s="5" t="n"/>
      <c r="C19" s="5" t="n"/>
      <c r="D19" s="5" t="n"/>
      <c r="E19" s="5" t="n"/>
      <c r="F19" s="5" t="n"/>
      <c r="G19" s="5" t="n"/>
      <c r="H19" s="5" t="n"/>
      <c r="I19" s="5" t="n"/>
      <c r="J19" s="5" t="n"/>
      <c r="K19" s="5" t="n"/>
      <c r="L19" s="5" t="n"/>
      <c r="M19" s="9" t="n"/>
      <c r="N19" s="9" t="n"/>
      <c r="O19" s="9" t="n"/>
      <c r="P19" s="9" t="n"/>
      <c r="Q19" s="9" t="n"/>
      <c r="R19" s="8">
        <f>IF($A19="","",COUNTIF(INV_Product,$A19))</f>
        <v/>
      </c>
      <c r="S19" s="8">
        <f>IF($A19="","",COUNTIFS(INV_Product,$A19,INV_Status,"Available"))</f>
        <v/>
      </c>
      <c r="T19" s="8">
        <f>IF($D19="","",IF(COUNTIFS(DD_PairCategory,$C19,DD_Subcategory,$D19)&gt;0,"ok","✗ "&amp;$D19&amp;" is not under "&amp;$C19))</f>
        <v/>
      </c>
      <c r="U19" s="8">
        <f>IF($F19="","",IF(COUNTIFS(PM_Brand,$E19,PM_Model,$F19)&gt;1,"⚠ duplicate product",IF(AND($B19&lt;&gt;"",COUNTIF(PM_Short,$B19)&gt;1),"⚠ short code reused","")))</f>
        <v/>
      </c>
      <c r="V19" s="5" t="n"/>
    </row>
    <row r="20">
      <c r="A20" s="8">
        <f>IF($F20="","","PRD-"&amp;TEXT(ROW()-3,"0000"))</f>
        <v/>
      </c>
      <c r="B20" s="5" t="n"/>
      <c r="C20" s="5" t="n"/>
      <c r="D20" s="5" t="n"/>
      <c r="E20" s="5" t="n"/>
      <c r="F20" s="5" t="n"/>
      <c r="G20" s="5" t="n"/>
      <c r="H20" s="5" t="n"/>
      <c r="I20" s="5" t="n"/>
      <c r="J20" s="5" t="n"/>
      <c r="K20" s="5" t="n"/>
      <c r="L20" s="5" t="n"/>
      <c r="M20" s="9" t="n"/>
      <c r="N20" s="9" t="n"/>
      <c r="O20" s="9" t="n"/>
      <c r="P20" s="9" t="n"/>
      <c r="Q20" s="9" t="n"/>
      <c r="R20" s="8">
        <f>IF($A20="","",COUNTIF(INV_Product,$A20))</f>
        <v/>
      </c>
      <c r="S20" s="8">
        <f>IF($A20="","",COUNTIFS(INV_Product,$A20,INV_Status,"Available"))</f>
        <v/>
      </c>
      <c r="T20" s="8">
        <f>IF($D20="","",IF(COUNTIFS(DD_PairCategory,$C20,DD_Subcategory,$D20)&gt;0,"ok","✗ "&amp;$D20&amp;" is not under "&amp;$C20))</f>
        <v/>
      </c>
      <c r="U20" s="8">
        <f>IF($F20="","",IF(COUNTIFS(PM_Brand,$E20,PM_Model,$F20)&gt;1,"⚠ duplicate product",IF(AND($B20&lt;&gt;"",COUNTIF(PM_Short,$B20)&gt;1),"⚠ short code reused","")))</f>
        <v/>
      </c>
      <c r="V20" s="5" t="n"/>
    </row>
    <row r="21">
      <c r="A21" s="8">
        <f>IF($F21="","","PRD-"&amp;TEXT(ROW()-3,"0000"))</f>
        <v/>
      </c>
      <c r="B21" s="5" t="n"/>
      <c r="C21" s="5" t="n"/>
      <c r="D21" s="5" t="n"/>
      <c r="E21" s="5" t="n"/>
      <c r="F21" s="5" t="n"/>
      <c r="G21" s="5" t="n"/>
      <c r="H21" s="5" t="n"/>
      <c r="I21" s="5" t="n"/>
      <c r="J21" s="5" t="n"/>
      <c r="K21" s="5" t="n"/>
      <c r="L21" s="5" t="n"/>
      <c r="M21" s="9" t="n"/>
      <c r="N21" s="9" t="n"/>
      <c r="O21" s="9" t="n"/>
      <c r="P21" s="9" t="n"/>
      <c r="Q21" s="9" t="n"/>
      <c r="R21" s="8">
        <f>IF($A21="","",COUNTIF(INV_Product,$A21))</f>
        <v/>
      </c>
      <c r="S21" s="8">
        <f>IF($A21="","",COUNTIFS(INV_Product,$A21,INV_Status,"Available"))</f>
        <v/>
      </c>
      <c r="T21" s="8">
        <f>IF($D21="","",IF(COUNTIFS(DD_PairCategory,$C21,DD_Subcategory,$D21)&gt;0,"ok","✗ "&amp;$D21&amp;" is not under "&amp;$C21))</f>
        <v/>
      </c>
      <c r="U21" s="8">
        <f>IF($F21="","",IF(COUNTIFS(PM_Brand,$E21,PM_Model,$F21)&gt;1,"⚠ duplicate product",IF(AND($B21&lt;&gt;"",COUNTIF(PM_Short,$B21)&gt;1),"⚠ short code reused","")))</f>
        <v/>
      </c>
      <c r="V21" s="5" t="n"/>
    </row>
    <row r="22">
      <c r="A22" s="8">
        <f>IF($F22="","","PRD-"&amp;TEXT(ROW()-3,"0000"))</f>
        <v/>
      </c>
      <c r="B22" s="5" t="n"/>
      <c r="C22" s="5" t="n"/>
      <c r="D22" s="5" t="n"/>
      <c r="E22" s="5" t="n"/>
      <c r="F22" s="5" t="n"/>
      <c r="G22" s="5" t="n"/>
      <c r="H22" s="5" t="n"/>
      <c r="I22" s="5" t="n"/>
      <c r="J22" s="5" t="n"/>
      <c r="K22" s="5" t="n"/>
      <c r="L22" s="5" t="n"/>
      <c r="M22" s="9" t="n"/>
      <c r="N22" s="9" t="n"/>
      <c r="O22" s="9" t="n"/>
      <c r="P22" s="9" t="n"/>
      <c r="Q22" s="9" t="n"/>
      <c r="R22" s="8">
        <f>IF($A22="","",COUNTIF(INV_Product,$A22))</f>
        <v/>
      </c>
      <c r="S22" s="8">
        <f>IF($A22="","",COUNTIFS(INV_Product,$A22,INV_Status,"Available"))</f>
        <v/>
      </c>
      <c r="T22" s="8">
        <f>IF($D22="","",IF(COUNTIFS(DD_PairCategory,$C22,DD_Subcategory,$D22)&gt;0,"ok","✗ "&amp;$D22&amp;" is not under "&amp;$C22))</f>
        <v/>
      </c>
      <c r="U22" s="8">
        <f>IF($F22="","",IF(COUNTIFS(PM_Brand,$E22,PM_Model,$F22)&gt;1,"⚠ duplicate product",IF(AND($B22&lt;&gt;"",COUNTIF(PM_Short,$B22)&gt;1),"⚠ short code reused","")))</f>
        <v/>
      </c>
      <c r="V22" s="5" t="n"/>
    </row>
    <row r="23">
      <c r="A23" s="8">
        <f>IF($F23="","","PRD-"&amp;TEXT(ROW()-3,"0000"))</f>
        <v/>
      </c>
      <c r="B23" s="5" t="n"/>
      <c r="C23" s="5" t="n"/>
      <c r="D23" s="5" t="n"/>
      <c r="E23" s="5" t="n"/>
      <c r="F23" s="5" t="n"/>
      <c r="G23" s="5" t="n"/>
      <c r="H23" s="5" t="n"/>
      <c r="I23" s="5" t="n"/>
      <c r="J23" s="5" t="n"/>
      <c r="K23" s="5" t="n"/>
      <c r="L23" s="5" t="n"/>
      <c r="M23" s="9" t="n"/>
      <c r="N23" s="9" t="n"/>
      <c r="O23" s="9" t="n"/>
      <c r="P23" s="9" t="n"/>
      <c r="Q23" s="9" t="n"/>
      <c r="R23" s="8">
        <f>IF($A23="","",COUNTIF(INV_Product,$A23))</f>
        <v/>
      </c>
      <c r="S23" s="8">
        <f>IF($A23="","",COUNTIFS(INV_Product,$A23,INV_Status,"Available"))</f>
        <v/>
      </c>
      <c r="T23" s="8">
        <f>IF($D23="","",IF(COUNTIFS(DD_PairCategory,$C23,DD_Subcategory,$D23)&gt;0,"ok","✗ "&amp;$D23&amp;" is not under "&amp;$C23))</f>
        <v/>
      </c>
      <c r="U23" s="8">
        <f>IF($F23="","",IF(COUNTIFS(PM_Brand,$E23,PM_Model,$F23)&gt;1,"⚠ duplicate product",IF(AND($B23&lt;&gt;"",COUNTIF(PM_Short,$B23)&gt;1),"⚠ short code reused","")))</f>
        <v/>
      </c>
      <c r="V23" s="5" t="n"/>
    </row>
    <row r="24">
      <c r="A24" s="8">
        <f>IF($F24="","","PRD-"&amp;TEXT(ROW()-3,"0000"))</f>
        <v/>
      </c>
      <c r="B24" s="5" t="n"/>
      <c r="C24" s="5" t="n"/>
      <c r="D24" s="5" t="n"/>
      <c r="E24" s="5" t="n"/>
      <c r="F24" s="5" t="n"/>
      <c r="G24" s="5" t="n"/>
      <c r="H24" s="5" t="n"/>
      <c r="I24" s="5" t="n"/>
      <c r="J24" s="5" t="n"/>
      <c r="K24" s="5" t="n"/>
      <c r="L24" s="5" t="n"/>
      <c r="M24" s="9" t="n"/>
      <c r="N24" s="9" t="n"/>
      <c r="O24" s="9" t="n"/>
      <c r="P24" s="9" t="n"/>
      <c r="Q24" s="9" t="n"/>
      <c r="R24" s="8">
        <f>IF($A24="","",COUNTIF(INV_Product,$A24))</f>
        <v/>
      </c>
      <c r="S24" s="8">
        <f>IF($A24="","",COUNTIFS(INV_Product,$A24,INV_Status,"Available"))</f>
        <v/>
      </c>
      <c r="T24" s="8">
        <f>IF($D24="","",IF(COUNTIFS(DD_PairCategory,$C24,DD_Subcategory,$D24)&gt;0,"ok","✗ "&amp;$D24&amp;" is not under "&amp;$C24))</f>
        <v/>
      </c>
      <c r="U24" s="8">
        <f>IF($F24="","",IF(COUNTIFS(PM_Brand,$E24,PM_Model,$F24)&gt;1,"⚠ duplicate product",IF(AND($B24&lt;&gt;"",COUNTIF(PM_Short,$B24)&gt;1),"⚠ short code reused","")))</f>
        <v/>
      </c>
      <c r="V24" s="5" t="n"/>
    </row>
    <row r="25">
      <c r="A25" s="8">
        <f>IF($F25="","","PRD-"&amp;TEXT(ROW()-3,"0000"))</f>
        <v/>
      </c>
      <c r="B25" s="5" t="n"/>
      <c r="C25" s="5" t="n"/>
      <c r="D25" s="5" t="n"/>
      <c r="E25" s="5" t="n"/>
      <c r="F25" s="5" t="n"/>
      <c r="G25" s="5" t="n"/>
      <c r="H25" s="5" t="n"/>
      <c r="I25" s="5" t="n"/>
      <c r="J25" s="5" t="n"/>
      <c r="K25" s="5" t="n"/>
      <c r="L25" s="5" t="n"/>
      <c r="M25" s="9" t="n"/>
      <c r="N25" s="9" t="n"/>
      <c r="O25" s="9" t="n"/>
      <c r="P25" s="9" t="n"/>
      <c r="Q25" s="9" t="n"/>
      <c r="R25" s="8">
        <f>IF($A25="","",COUNTIF(INV_Product,$A25))</f>
        <v/>
      </c>
      <c r="S25" s="8">
        <f>IF($A25="","",COUNTIFS(INV_Product,$A25,INV_Status,"Available"))</f>
        <v/>
      </c>
      <c r="T25" s="8">
        <f>IF($D25="","",IF(COUNTIFS(DD_PairCategory,$C25,DD_Subcategory,$D25)&gt;0,"ok","✗ "&amp;$D25&amp;" is not under "&amp;$C25))</f>
        <v/>
      </c>
      <c r="U25" s="8">
        <f>IF($F25="","",IF(COUNTIFS(PM_Brand,$E25,PM_Model,$F25)&gt;1,"⚠ duplicate product",IF(AND($B25&lt;&gt;"",COUNTIF(PM_Short,$B25)&gt;1),"⚠ short code reused","")))</f>
        <v/>
      </c>
      <c r="V25" s="5" t="n"/>
    </row>
    <row r="26">
      <c r="A26" s="8">
        <f>IF($F26="","","PRD-"&amp;TEXT(ROW()-3,"0000"))</f>
        <v/>
      </c>
      <c r="B26" s="5" t="n"/>
      <c r="C26" s="5" t="n"/>
      <c r="D26" s="5" t="n"/>
      <c r="E26" s="5" t="n"/>
      <c r="F26" s="5" t="n"/>
      <c r="G26" s="5" t="n"/>
      <c r="H26" s="5" t="n"/>
      <c r="I26" s="5" t="n"/>
      <c r="J26" s="5" t="n"/>
      <c r="K26" s="5" t="n"/>
      <c r="L26" s="5" t="n"/>
      <c r="M26" s="9" t="n"/>
      <c r="N26" s="9" t="n"/>
      <c r="O26" s="9" t="n"/>
      <c r="P26" s="9" t="n"/>
      <c r="Q26" s="9" t="n"/>
      <c r="R26" s="8">
        <f>IF($A26="","",COUNTIF(INV_Product,$A26))</f>
        <v/>
      </c>
      <c r="S26" s="8">
        <f>IF($A26="","",COUNTIFS(INV_Product,$A26,INV_Status,"Available"))</f>
        <v/>
      </c>
      <c r="T26" s="8">
        <f>IF($D26="","",IF(COUNTIFS(DD_PairCategory,$C26,DD_Subcategory,$D26)&gt;0,"ok","✗ "&amp;$D26&amp;" is not under "&amp;$C26))</f>
        <v/>
      </c>
      <c r="U26" s="8">
        <f>IF($F26="","",IF(COUNTIFS(PM_Brand,$E26,PM_Model,$F26)&gt;1,"⚠ duplicate product",IF(AND($B26&lt;&gt;"",COUNTIF(PM_Short,$B26)&gt;1),"⚠ short code reused","")))</f>
        <v/>
      </c>
      <c r="V26" s="5" t="n"/>
    </row>
    <row r="27">
      <c r="A27" s="8">
        <f>IF($F27="","","PRD-"&amp;TEXT(ROW()-3,"0000"))</f>
        <v/>
      </c>
      <c r="B27" s="5" t="n"/>
      <c r="C27" s="5" t="n"/>
      <c r="D27" s="5" t="n"/>
      <c r="E27" s="5" t="n"/>
      <c r="F27" s="5" t="n"/>
      <c r="G27" s="5" t="n"/>
      <c r="H27" s="5" t="n"/>
      <c r="I27" s="5" t="n"/>
      <c r="J27" s="5" t="n"/>
      <c r="K27" s="5" t="n"/>
      <c r="L27" s="5" t="n"/>
      <c r="M27" s="9" t="n"/>
      <c r="N27" s="9" t="n"/>
      <c r="O27" s="9" t="n"/>
      <c r="P27" s="9" t="n"/>
      <c r="Q27" s="9" t="n"/>
      <c r="R27" s="8">
        <f>IF($A27="","",COUNTIF(INV_Product,$A27))</f>
        <v/>
      </c>
      <c r="S27" s="8">
        <f>IF($A27="","",COUNTIFS(INV_Product,$A27,INV_Status,"Available"))</f>
        <v/>
      </c>
      <c r="T27" s="8">
        <f>IF($D27="","",IF(COUNTIFS(DD_PairCategory,$C27,DD_Subcategory,$D27)&gt;0,"ok","✗ "&amp;$D27&amp;" is not under "&amp;$C27))</f>
        <v/>
      </c>
      <c r="U27" s="8">
        <f>IF($F27="","",IF(COUNTIFS(PM_Brand,$E27,PM_Model,$F27)&gt;1,"⚠ duplicate product",IF(AND($B27&lt;&gt;"",COUNTIF(PM_Short,$B27)&gt;1),"⚠ short code reused","")))</f>
        <v/>
      </c>
      <c r="V27" s="5" t="n"/>
    </row>
    <row r="28">
      <c r="A28" s="8">
        <f>IF($F28="","","PRD-"&amp;TEXT(ROW()-3,"0000"))</f>
        <v/>
      </c>
      <c r="B28" s="5" t="n"/>
      <c r="C28" s="5" t="n"/>
      <c r="D28" s="5" t="n"/>
      <c r="E28" s="5" t="n"/>
      <c r="F28" s="5" t="n"/>
      <c r="G28" s="5" t="n"/>
      <c r="H28" s="5" t="n"/>
      <c r="I28" s="5" t="n"/>
      <c r="J28" s="5" t="n"/>
      <c r="K28" s="5" t="n"/>
      <c r="L28" s="5" t="n"/>
      <c r="M28" s="9" t="n"/>
      <c r="N28" s="9" t="n"/>
      <c r="O28" s="9" t="n"/>
      <c r="P28" s="9" t="n"/>
      <c r="Q28" s="9" t="n"/>
      <c r="R28" s="8">
        <f>IF($A28="","",COUNTIF(INV_Product,$A28))</f>
        <v/>
      </c>
      <c r="S28" s="8">
        <f>IF($A28="","",COUNTIFS(INV_Product,$A28,INV_Status,"Available"))</f>
        <v/>
      </c>
      <c r="T28" s="8">
        <f>IF($D28="","",IF(COUNTIFS(DD_PairCategory,$C28,DD_Subcategory,$D28)&gt;0,"ok","✗ "&amp;$D28&amp;" is not under "&amp;$C28))</f>
        <v/>
      </c>
      <c r="U28" s="8">
        <f>IF($F28="","",IF(COUNTIFS(PM_Brand,$E28,PM_Model,$F28)&gt;1,"⚠ duplicate product",IF(AND($B28&lt;&gt;"",COUNTIF(PM_Short,$B28)&gt;1),"⚠ short code reused","")))</f>
        <v/>
      </c>
      <c r="V28" s="5" t="n"/>
    </row>
    <row r="29">
      <c r="A29" s="8">
        <f>IF($F29="","","PRD-"&amp;TEXT(ROW()-3,"0000"))</f>
        <v/>
      </c>
      <c r="B29" s="5" t="n"/>
      <c r="C29" s="5" t="n"/>
      <c r="D29" s="5" t="n"/>
      <c r="E29" s="5" t="n"/>
      <c r="F29" s="5" t="n"/>
      <c r="G29" s="5" t="n"/>
      <c r="H29" s="5" t="n"/>
      <c r="I29" s="5" t="n"/>
      <c r="J29" s="5" t="n"/>
      <c r="K29" s="5" t="n"/>
      <c r="L29" s="5" t="n"/>
      <c r="M29" s="9" t="n"/>
      <c r="N29" s="9" t="n"/>
      <c r="O29" s="9" t="n"/>
      <c r="P29" s="9" t="n"/>
      <c r="Q29" s="9" t="n"/>
      <c r="R29" s="8">
        <f>IF($A29="","",COUNTIF(INV_Product,$A29))</f>
        <v/>
      </c>
      <c r="S29" s="8">
        <f>IF($A29="","",COUNTIFS(INV_Product,$A29,INV_Status,"Available"))</f>
        <v/>
      </c>
      <c r="T29" s="8">
        <f>IF($D29="","",IF(COUNTIFS(DD_PairCategory,$C29,DD_Subcategory,$D29)&gt;0,"ok","✗ "&amp;$D29&amp;" is not under "&amp;$C29))</f>
        <v/>
      </c>
      <c r="U29" s="8">
        <f>IF($F29="","",IF(COUNTIFS(PM_Brand,$E29,PM_Model,$F29)&gt;1,"⚠ duplicate product",IF(AND($B29&lt;&gt;"",COUNTIF(PM_Short,$B29)&gt;1),"⚠ short code reused","")))</f>
        <v/>
      </c>
      <c r="V29" s="5" t="n"/>
    </row>
    <row r="30">
      <c r="A30" s="8">
        <f>IF($F30="","","PRD-"&amp;TEXT(ROW()-3,"0000"))</f>
        <v/>
      </c>
      <c r="B30" s="5" t="n"/>
      <c r="C30" s="5" t="n"/>
      <c r="D30" s="5" t="n"/>
      <c r="E30" s="5" t="n"/>
      <c r="F30" s="5" t="n"/>
      <c r="G30" s="5" t="n"/>
      <c r="H30" s="5" t="n"/>
      <c r="I30" s="5" t="n"/>
      <c r="J30" s="5" t="n"/>
      <c r="K30" s="5" t="n"/>
      <c r="L30" s="5" t="n"/>
      <c r="M30" s="9" t="n"/>
      <c r="N30" s="9" t="n"/>
      <c r="O30" s="9" t="n"/>
      <c r="P30" s="9" t="n"/>
      <c r="Q30" s="9" t="n"/>
      <c r="R30" s="8">
        <f>IF($A30="","",COUNTIF(INV_Product,$A30))</f>
        <v/>
      </c>
      <c r="S30" s="8">
        <f>IF($A30="","",COUNTIFS(INV_Product,$A30,INV_Status,"Available"))</f>
        <v/>
      </c>
      <c r="T30" s="8">
        <f>IF($D30="","",IF(COUNTIFS(DD_PairCategory,$C30,DD_Subcategory,$D30)&gt;0,"ok","✗ "&amp;$D30&amp;" is not under "&amp;$C30))</f>
        <v/>
      </c>
      <c r="U30" s="8">
        <f>IF($F30="","",IF(COUNTIFS(PM_Brand,$E30,PM_Model,$F30)&gt;1,"⚠ duplicate product",IF(AND($B30&lt;&gt;"",COUNTIF(PM_Short,$B30)&gt;1),"⚠ short code reused","")))</f>
        <v/>
      </c>
      <c r="V30" s="5" t="n"/>
    </row>
    <row r="31">
      <c r="A31" s="8">
        <f>IF($F31="","","PRD-"&amp;TEXT(ROW()-3,"0000"))</f>
        <v/>
      </c>
      <c r="B31" s="5" t="n"/>
      <c r="C31" s="5" t="n"/>
      <c r="D31" s="5" t="n"/>
      <c r="E31" s="5" t="n"/>
      <c r="F31" s="5" t="n"/>
      <c r="G31" s="5" t="n"/>
      <c r="H31" s="5" t="n"/>
      <c r="I31" s="5" t="n"/>
      <c r="J31" s="5" t="n"/>
      <c r="K31" s="5" t="n"/>
      <c r="L31" s="5" t="n"/>
      <c r="M31" s="9" t="n"/>
      <c r="N31" s="9" t="n"/>
      <c r="O31" s="9" t="n"/>
      <c r="P31" s="9" t="n"/>
      <c r="Q31" s="9" t="n"/>
      <c r="R31" s="8">
        <f>IF($A31="","",COUNTIF(INV_Product,$A31))</f>
        <v/>
      </c>
      <c r="S31" s="8">
        <f>IF($A31="","",COUNTIFS(INV_Product,$A31,INV_Status,"Available"))</f>
        <v/>
      </c>
      <c r="T31" s="8">
        <f>IF($D31="","",IF(COUNTIFS(DD_PairCategory,$C31,DD_Subcategory,$D31)&gt;0,"ok","✗ "&amp;$D31&amp;" is not under "&amp;$C31))</f>
        <v/>
      </c>
      <c r="U31" s="8">
        <f>IF($F31="","",IF(COUNTIFS(PM_Brand,$E31,PM_Model,$F31)&gt;1,"⚠ duplicate product",IF(AND($B31&lt;&gt;"",COUNTIF(PM_Short,$B31)&gt;1),"⚠ short code reused","")))</f>
        <v/>
      </c>
      <c r="V31" s="5" t="n"/>
    </row>
    <row r="32">
      <c r="A32" s="8">
        <f>IF($F32="","","PRD-"&amp;TEXT(ROW()-3,"0000"))</f>
        <v/>
      </c>
      <c r="B32" s="5" t="n"/>
      <c r="C32" s="5" t="n"/>
      <c r="D32" s="5" t="n"/>
      <c r="E32" s="5" t="n"/>
      <c r="F32" s="5" t="n"/>
      <c r="G32" s="5" t="n"/>
      <c r="H32" s="5" t="n"/>
      <c r="I32" s="5" t="n"/>
      <c r="J32" s="5" t="n"/>
      <c r="K32" s="5" t="n"/>
      <c r="L32" s="5" t="n"/>
      <c r="M32" s="9" t="n"/>
      <c r="N32" s="9" t="n"/>
      <c r="O32" s="9" t="n"/>
      <c r="P32" s="9" t="n"/>
      <c r="Q32" s="9" t="n"/>
      <c r="R32" s="8">
        <f>IF($A32="","",COUNTIF(INV_Product,$A32))</f>
        <v/>
      </c>
      <c r="S32" s="8">
        <f>IF($A32="","",COUNTIFS(INV_Product,$A32,INV_Status,"Available"))</f>
        <v/>
      </c>
      <c r="T32" s="8">
        <f>IF($D32="","",IF(COUNTIFS(DD_PairCategory,$C32,DD_Subcategory,$D32)&gt;0,"ok","✗ "&amp;$D32&amp;" is not under "&amp;$C32))</f>
        <v/>
      </c>
      <c r="U32" s="8">
        <f>IF($F32="","",IF(COUNTIFS(PM_Brand,$E32,PM_Model,$F32)&gt;1,"⚠ duplicate product",IF(AND($B32&lt;&gt;"",COUNTIF(PM_Short,$B32)&gt;1),"⚠ short code reused","")))</f>
        <v/>
      </c>
      <c r="V32" s="5" t="n"/>
    </row>
    <row r="33">
      <c r="A33" s="8">
        <f>IF($F33="","","PRD-"&amp;TEXT(ROW()-3,"0000"))</f>
        <v/>
      </c>
      <c r="B33" s="5" t="n"/>
      <c r="C33" s="5" t="n"/>
      <c r="D33" s="5" t="n"/>
      <c r="E33" s="5" t="n"/>
      <c r="F33" s="5" t="n"/>
      <c r="G33" s="5" t="n"/>
      <c r="H33" s="5" t="n"/>
      <c r="I33" s="5" t="n"/>
      <c r="J33" s="5" t="n"/>
      <c r="K33" s="5" t="n"/>
      <c r="L33" s="5" t="n"/>
      <c r="M33" s="9" t="n"/>
      <c r="N33" s="9" t="n"/>
      <c r="O33" s="9" t="n"/>
      <c r="P33" s="9" t="n"/>
      <c r="Q33" s="9" t="n"/>
      <c r="R33" s="8">
        <f>IF($A33="","",COUNTIF(INV_Product,$A33))</f>
        <v/>
      </c>
      <c r="S33" s="8">
        <f>IF($A33="","",COUNTIFS(INV_Product,$A33,INV_Status,"Available"))</f>
        <v/>
      </c>
      <c r="T33" s="8">
        <f>IF($D33="","",IF(COUNTIFS(DD_PairCategory,$C33,DD_Subcategory,$D33)&gt;0,"ok","✗ "&amp;$D33&amp;" is not under "&amp;$C33))</f>
        <v/>
      </c>
      <c r="U33" s="8">
        <f>IF($F33="","",IF(COUNTIFS(PM_Brand,$E33,PM_Model,$F33)&gt;1,"⚠ duplicate product",IF(AND($B33&lt;&gt;"",COUNTIF(PM_Short,$B33)&gt;1),"⚠ short code reused","")))</f>
        <v/>
      </c>
      <c r="V33" s="5" t="n"/>
    </row>
    <row r="34">
      <c r="A34" s="8">
        <f>IF($F34="","","PRD-"&amp;TEXT(ROW()-3,"0000"))</f>
        <v/>
      </c>
      <c r="B34" s="5" t="n"/>
      <c r="C34" s="5" t="n"/>
      <c r="D34" s="5" t="n"/>
      <c r="E34" s="5" t="n"/>
      <c r="F34" s="5" t="n"/>
      <c r="G34" s="5" t="n"/>
      <c r="H34" s="5" t="n"/>
      <c r="I34" s="5" t="n"/>
      <c r="J34" s="5" t="n"/>
      <c r="K34" s="5" t="n"/>
      <c r="L34" s="5" t="n"/>
      <c r="M34" s="9" t="n"/>
      <c r="N34" s="9" t="n"/>
      <c r="O34" s="9" t="n"/>
      <c r="P34" s="9" t="n"/>
      <c r="Q34" s="9" t="n"/>
      <c r="R34" s="8">
        <f>IF($A34="","",COUNTIF(INV_Product,$A34))</f>
        <v/>
      </c>
      <c r="S34" s="8">
        <f>IF($A34="","",COUNTIFS(INV_Product,$A34,INV_Status,"Available"))</f>
        <v/>
      </c>
      <c r="T34" s="8">
        <f>IF($D34="","",IF(COUNTIFS(DD_PairCategory,$C34,DD_Subcategory,$D34)&gt;0,"ok","✗ "&amp;$D34&amp;" is not under "&amp;$C34))</f>
        <v/>
      </c>
      <c r="U34" s="8">
        <f>IF($F34="","",IF(COUNTIFS(PM_Brand,$E34,PM_Model,$F34)&gt;1,"⚠ duplicate product",IF(AND($B34&lt;&gt;"",COUNTIF(PM_Short,$B34)&gt;1),"⚠ short code reused","")))</f>
        <v/>
      </c>
      <c r="V34" s="5" t="n"/>
    </row>
    <row r="35">
      <c r="A35" s="8">
        <f>IF($F35="","","PRD-"&amp;TEXT(ROW()-3,"0000"))</f>
        <v/>
      </c>
      <c r="B35" s="5" t="n"/>
      <c r="C35" s="5" t="n"/>
      <c r="D35" s="5" t="n"/>
      <c r="E35" s="5" t="n"/>
      <c r="F35" s="5" t="n"/>
      <c r="G35" s="5" t="n"/>
      <c r="H35" s="5" t="n"/>
      <c r="I35" s="5" t="n"/>
      <c r="J35" s="5" t="n"/>
      <c r="K35" s="5" t="n"/>
      <c r="L35" s="5" t="n"/>
      <c r="M35" s="9" t="n"/>
      <c r="N35" s="9" t="n"/>
      <c r="O35" s="9" t="n"/>
      <c r="P35" s="9" t="n"/>
      <c r="Q35" s="9" t="n"/>
      <c r="R35" s="8">
        <f>IF($A35="","",COUNTIF(INV_Product,$A35))</f>
        <v/>
      </c>
      <c r="S35" s="8">
        <f>IF($A35="","",COUNTIFS(INV_Product,$A35,INV_Status,"Available"))</f>
        <v/>
      </c>
      <c r="T35" s="8">
        <f>IF($D35="","",IF(COUNTIFS(DD_PairCategory,$C35,DD_Subcategory,$D35)&gt;0,"ok","✗ "&amp;$D35&amp;" is not under "&amp;$C35))</f>
        <v/>
      </c>
      <c r="U35" s="8">
        <f>IF($F35="","",IF(COUNTIFS(PM_Brand,$E35,PM_Model,$F35)&gt;1,"⚠ duplicate product",IF(AND($B35&lt;&gt;"",COUNTIF(PM_Short,$B35)&gt;1),"⚠ short code reused","")))</f>
        <v/>
      </c>
      <c r="V35" s="5" t="n"/>
    </row>
    <row r="36">
      <c r="A36" s="8">
        <f>IF($F36="","","PRD-"&amp;TEXT(ROW()-3,"0000"))</f>
        <v/>
      </c>
      <c r="B36" s="5" t="n"/>
      <c r="C36" s="5" t="n"/>
      <c r="D36" s="5" t="n"/>
      <c r="E36" s="5" t="n"/>
      <c r="F36" s="5" t="n"/>
      <c r="G36" s="5" t="n"/>
      <c r="H36" s="5" t="n"/>
      <c r="I36" s="5" t="n"/>
      <c r="J36" s="5" t="n"/>
      <c r="K36" s="5" t="n"/>
      <c r="L36" s="5" t="n"/>
      <c r="M36" s="9" t="n"/>
      <c r="N36" s="9" t="n"/>
      <c r="O36" s="9" t="n"/>
      <c r="P36" s="9" t="n"/>
      <c r="Q36" s="9" t="n"/>
      <c r="R36" s="8">
        <f>IF($A36="","",COUNTIF(INV_Product,$A36))</f>
        <v/>
      </c>
      <c r="S36" s="8">
        <f>IF($A36="","",COUNTIFS(INV_Product,$A36,INV_Status,"Available"))</f>
        <v/>
      </c>
      <c r="T36" s="8">
        <f>IF($D36="","",IF(COUNTIFS(DD_PairCategory,$C36,DD_Subcategory,$D36)&gt;0,"ok","✗ "&amp;$D36&amp;" is not under "&amp;$C36))</f>
        <v/>
      </c>
      <c r="U36" s="8">
        <f>IF($F36="","",IF(COUNTIFS(PM_Brand,$E36,PM_Model,$F36)&gt;1,"⚠ duplicate product",IF(AND($B36&lt;&gt;"",COUNTIF(PM_Short,$B36)&gt;1),"⚠ short code reused","")))</f>
        <v/>
      </c>
      <c r="V36" s="5" t="n"/>
    </row>
    <row r="37">
      <c r="A37" s="8">
        <f>IF($F37="","","PRD-"&amp;TEXT(ROW()-3,"0000"))</f>
        <v/>
      </c>
      <c r="B37" s="5" t="n"/>
      <c r="C37" s="5" t="n"/>
      <c r="D37" s="5" t="n"/>
      <c r="E37" s="5" t="n"/>
      <c r="F37" s="5" t="n"/>
      <c r="G37" s="5" t="n"/>
      <c r="H37" s="5" t="n"/>
      <c r="I37" s="5" t="n"/>
      <c r="J37" s="5" t="n"/>
      <c r="K37" s="5" t="n"/>
      <c r="L37" s="5" t="n"/>
      <c r="M37" s="9" t="n"/>
      <c r="N37" s="9" t="n"/>
      <c r="O37" s="9" t="n"/>
      <c r="P37" s="9" t="n"/>
      <c r="Q37" s="9" t="n"/>
      <c r="R37" s="8">
        <f>IF($A37="","",COUNTIF(INV_Product,$A37))</f>
        <v/>
      </c>
      <c r="S37" s="8">
        <f>IF($A37="","",COUNTIFS(INV_Product,$A37,INV_Status,"Available"))</f>
        <v/>
      </c>
      <c r="T37" s="8">
        <f>IF($D37="","",IF(COUNTIFS(DD_PairCategory,$C37,DD_Subcategory,$D37)&gt;0,"ok","✗ "&amp;$D37&amp;" is not under "&amp;$C37))</f>
        <v/>
      </c>
      <c r="U37" s="8">
        <f>IF($F37="","",IF(COUNTIFS(PM_Brand,$E37,PM_Model,$F37)&gt;1,"⚠ duplicate product",IF(AND($B37&lt;&gt;"",COUNTIF(PM_Short,$B37)&gt;1),"⚠ short code reused","")))</f>
        <v/>
      </c>
      <c r="V37" s="5" t="n"/>
    </row>
    <row r="38">
      <c r="A38" s="8">
        <f>IF($F38="","","PRD-"&amp;TEXT(ROW()-3,"0000"))</f>
        <v/>
      </c>
      <c r="B38" s="5" t="n"/>
      <c r="C38" s="5" t="n"/>
      <c r="D38" s="5" t="n"/>
      <c r="E38" s="5" t="n"/>
      <c r="F38" s="5" t="n"/>
      <c r="G38" s="5" t="n"/>
      <c r="H38" s="5" t="n"/>
      <c r="I38" s="5" t="n"/>
      <c r="J38" s="5" t="n"/>
      <c r="K38" s="5" t="n"/>
      <c r="L38" s="5" t="n"/>
      <c r="M38" s="9" t="n"/>
      <c r="N38" s="9" t="n"/>
      <c r="O38" s="9" t="n"/>
      <c r="P38" s="9" t="n"/>
      <c r="Q38" s="9" t="n"/>
      <c r="R38" s="8">
        <f>IF($A38="","",COUNTIF(INV_Product,$A38))</f>
        <v/>
      </c>
      <c r="S38" s="8">
        <f>IF($A38="","",COUNTIFS(INV_Product,$A38,INV_Status,"Available"))</f>
        <v/>
      </c>
      <c r="T38" s="8">
        <f>IF($D38="","",IF(COUNTIFS(DD_PairCategory,$C38,DD_Subcategory,$D38)&gt;0,"ok","✗ "&amp;$D38&amp;" is not under "&amp;$C38))</f>
        <v/>
      </c>
      <c r="U38" s="8">
        <f>IF($F38="","",IF(COUNTIFS(PM_Brand,$E38,PM_Model,$F38)&gt;1,"⚠ duplicate product",IF(AND($B38&lt;&gt;"",COUNTIF(PM_Short,$B38)&gt;1),"⚠ short code reused","")))</f>
        <v/>
      </c>
      <c r="V38" s="5" t="n"/>
    </row>
    <row r="39">
      <c r="A39" s="8">
        <f>IF($F39="","","PRD-"&amp;TEXT(ROW()-3,"0000"))</f>
        <v/>
      </c>
      <c r="B39" s="5" t="n"/>
      <c r="C39" s="5" t="n"/>
      <c r="D39" s="5" t="n"/>
      <c r="E39" s="5" t="n"/>
      <c r="F39" s="5" t="n"/>
      <c r="G39" s="5" t="n"/>
      <c r="H39" s="5" t="n"/>
      <c r="I39" s="5" t="n"/>
      <c r="J39" s="5" t="n"/>
      <c r="K39" s="5" t="n"/>
      <c r="L39" s="5" t="n"/>
      <c r="M39" s="9" t="n"/>
      <c r="N39" s="9" t="n"/>
      <c r="O39" s="9" t="n"/>
      <c r="P39" s="9" t="n"/>
      <c r="Q39" s="9" t="n"/>
      <c r="R39" s="8">
        <f>IF($A39="","",COUNTIF(INV_Product,$A39))</f>
        <v/>
      </c>
      <c r="S39" s="8">
        <f>IF($A39="","",COUNTIFS(INV_Product,$A39,INV_Status,"Available"))</f>
        <v/>
      </c>
      <c r="T39" s="8">
        <f>IF($D39="","",IF(COUNTIFS(DD_PairCategory,$C39,DD_Subcategory,$D39)&gt;0,"ok","✗ "&amp;$D39&amp;" is not under "&amp;$C39))</f>
        <v/>
      </c>
      <c r="U39" s="8">
        <f>IF($F39="","",IF(COUNTIFS(PM_Brand,$E39,PM_Model,$F39)&gt;1,"⚠ duplicate product",IF(AND($B39&lt;&gt;"",COUNTIF(PM_Short,$B39)&gt;1),"⚠ short code reused","")))</f>
        <v/>
      </c>
      <c r="V39" s="5" t="n"/>
    </row>
    <row r="40">
      <c r="A40" s="8">
        <f>IF($F40="","","PRD-"&amp;TEXT(ROW()-3,"0000"))</f>
        <v/>
      </c>
      <c r="B40" s="5" t="n"/>
      <c r="C40" s="5" t="n"/>
      <c r="D40" s="5" t="n"/>
      <c r="E40" s="5" t="n"/>
      <c r="F40" s="5" t="n"/>
      <c r="G40" s="5" t="n"/>
      <c r="H40" s="5" t="n"/>
      <c r="I40" s="5" t="n"/>
      <c r="J40" s="5" t="n"/>
      <c r="K40" s="5" t="n"/>
      <c r="L40" s="5" t="n"/>
      <c r="M40" s="9" t="n"/>
      <c r="N40" s="9" t="n"/>
      <c r="O40" s="9" t="n"/>
      <c r="P40" s="9" t="n"/>
      <c r="Q40" s="9" t="n"/>
      <c r="R40" s="8">
        <f>IF($A40="","",COUNTIF(INV_Product,$A40))</f>
        <v/>
      </c>
      <c r="S40" s="8">
        <f>IF($A40="","",COUNTIFS(INV_Product,$A40,INV_Status,"Available"))</f>
        <v/>
      </c>
      <c r="T40" s="8">
        <f>IF($D40="","",IF(COUNTIFS(DD_PairCategory,$C40,DD_Subcategory,$D40)&gt;0,"ok","✗ "&amp;$D40&amp;" is not under "&amp;$C40))</f>
        <v/>
      </c>
      <c r="U40" s="8">
        <f>IF($F40="","",IF(COUNTIFS(PM_Brand,$E40,PM_Model,$F40)&gt;1,"⚠ duplicate product",IF(AND($B40&lt;&gt;"",COUNTIF(PM_Short,$B40)&gt;1),"⚠ short code reused","")))</f>
        <v/>
      </c>
      <c r="V40" s="5" t="n"/>
    </row>
    <row r="41">
      <c r="A41" s="8">
        <f>IF($F41="","","PRD-"&amp;TEXT(ROW()-3,"0000"))</f>
        <v/>
      </c>
      <c r="B41" s="5" t="n"/>
      <c r="C41" s="5" t="n"/>
      <c r="D41" s="5" t="n"/>
      <c r="E41" s="5" t="n"/>
      <c r="F41" s="5" t="n"/>
      <c r="G41" s="5" t="n"/>
      <c r="H41" s="5" t="n"/>
      <c r="I41" s="5" t="n"/>
      <c r="J41" s="5" t="n"/>
      <c r="K41" s="5" t="n"/>
      <c r="L41" s="5" t="n"/>
      <c r="M41" s="9" t="n"/>
      <c r="N41" s="9" t="n"/>
      <c r="O41" s="9" t="n"/>
      <c r="P41" s="9" t="n"/>
      <c r="Q41" s="9" t="n"/>
      <c r="R41" s="8">
        <f>IF($A41="","",COUNTIF(INV_Product,$A41))</f>
        <v/>
      </c>
      <c r="S41" s="8">
        <f>IF($A41="","",COUNTIFS(INV_Product,$A41,INV_Status,"Available"))</f>
        <v/>
      </c>
      <c r="T41" s="8">
        <f>IF($D41="","",IF(COUNTIFS(DD_PairCategory,$C41,DD_Subcategory,$D41)&gt;0,"ok","✗ "&amp;$D41&amp;" is not under "&amp;$C41))</f>
        <v/>
      </c>
      <c r="U41" s="8">
        <f>IF($F41="","",IF(COUNTIFS(PM_Brand,$E41,PM_Model,$F41)&gt;1,"⚠ duplicate product",IF(AND($B41&lt;&gt;"",COUNTIF(PM_Short,$B41)&gt;1),"⚠ short code reused","")))</f>
        <v/>
      </c>
      <c r="V41" s="5" t="n"/>
    </row>
    <row r="42">
      <c r="A42" s="8">
        <f>IF($F42="","","PRD-"&amp;TEXT(ROW()-3,"0000"))</f>
        <v/>
      </c>
      <c r="B42" s="5" t="n"/>
      <c r="C42" s="5" t="n"/>
      <c r="D42" s="5" t="n"/>
      <c r="E42" s="5" t="n"/>
      <c r="F42" s="5" t="n"/>
      <c r="G42" s="5" t="n"/>
      <c r="H42" s="5" t="n"/>
      <c r="I42" s="5" t="n"/>
      <c r="J42" s="5" t="n"/>
      <c r="K42" s="5" t="n"/>
      <c r="L42" s="5" t="n"/>
      <c r="M42" s="9" t="n"/>
      <c r="N42" s="9" t="n"/>
      <c r="O42" s="9" t="n"/>
      <c r="P42" s="9" t="n"/>
      <c r="Q42" s="9" t="n"/>
      <c r="R42" s="8">
        <f>IF($A42="","",COUNTIF(INV_Product,$A42))</f>
        <v/>
      </c>
      <c r="S42" s="8">
        <f>IF($A42="","",COUNTIFS(INV_Product,$A42,INV_Status,"Available"))</f>
        <v/>
      </c>
      <c r="T42" s="8">
        <f>IF($D42="","",IF(COUNTIFS(DD_PairCategory,$C42,DD_Subcategory,$D42)&gt;0,"ok","✗ "&amp;$D42&amp;" is not under "&amp;$C42))</f>
        <v/>
      </c>
      <c r="U42" s="8">
        <f>IF($F42="","",IF(COUNTIFS(PM_Brand,$E42,PM_Model,$F42)&gt;1,"⚠ duplicate product",IF(AND($B42&lt;&gt;"",COUNTIF(PM_Short,$B42)&gt;1),"⚠ short code reused","")))</f>
        <v/>
      </c>
      <c r="V42" s="5" t="n"/>
    </row>
    <row r="43">
      <c r="A43" s="8">
        <f>IF($F43="","","PRD-"&amp;TEXT(ROW()-3,"0000"))</f>
        <v/>
      </c>
      <c r="B43" s="5" t="n"/>
      <c r="C43" s="5" t="n"/>
      <c r="D43" s="5" t="n"/>
      <c r="E43" s="5" t="n"/>
      <c r="F43" s="5" t="n"/>
      <c r="G43" s="5" t="n"/>
      <c r="H43" s="5" t="n"/>
      <c r="I43" s="5" t="n"/>
      <c r="J43" s="5" t="n"/>
      <c r="K43" s="5" t="n"/>
      <c r="L43" s="5" t="n"/>
      <c r="M43" s="9" t="n"/>
      <c r="N43" s="9" t="n"/>
      <c r="O43" s="9" t="n"/>
      <c r="P43" s="9" t="n"/>
      <c r="Q43" s="9" t="n"/>
      <c r="R43" s="8">
        <f>IF($A43="","",COUNTIF(INV_Product,$A43))</f>
        <v/>
      </c>
      <c r="S43" s="8">
        <f>IF($A43="","",COUNTIFS(INV_Product,$A43,INV_Status,"Available"))</f>
        <v/>
      </c>
      <c r="T43" s="8">
        <f>IF($D43="","",IF(COUNTIFS(DD_PairCategory,$C43,DD_Subcategory,$D43)&gt;0,"ok","✗ "&amp;$D43&amp;" is not under "&amp;$C43))</f>
        <v/>
      </c>
      <c r="U43" s="8">
        <f>IF($F43="","",IF(COUNTIFS(PM_Brand,$E43,PM_Model,$F43)&gt;1,"⚠ duplicate product",IF(AND($B43&lt;&gt;"",COUNTIF(PM_Short,$B43)&gt;1),"⚠ short code reused","")))</f>
        <v/>
      </c>
      <c r="V43" s="5" t="n"/>
    </row>
    <row r="44">
      <c r="A44" s="8">
        <f>IF($F44="","","PRD-"&amp;TEXT(ROW()-3,"0000"))</f>
        <v/>
      </c>
      <c r="B44" s="5" t="n"/>
      <c r="C44" s="5" t="n"/>
      <c r="D44" s="5" t="n"/>
      <c r="E44" s="5" t="n"/>
      <c r="F44" s="5" t="n"/>
      <c r="G44" s="5" t="n"/>
      <c r="H44" s="5" t="n"/>
      <c r="I44" s="5" t="n"/>
      <c r="J44" s="5" t="n"/>
      <c r="K44" s="5" t="n"/>
      <c r="L44" s="5" t="n"/>
      <c r="M44" s="9" t="n"/>
      <c r="N44" s="9" t="n"/>
      <c r="O44" s="9" t="n"/>
      <c r="P44" s="9" t="n"/>
      <c r="Q44" s="9" t="n"/>
      <c r="R44" s="8">
        <f>IF($A44="","",COUNTIF(INV_Product,$A44))</f>
        <v/>
      </c>
      <c r="S44" s="8">
        <f>IF($A44="","",COUNTIFS(INV_Product,$A44,INV_Status,"Available"))</f>
        <v/>
      </c>
      <c r="T44" s="8">
        <f>IF($D44="","",IF(COUNTIFS(DD_PairCategory,$C44,DD_Subcategory,$D44)&gt;0,"ok","✗ "&amp;$D44&amp;" is not under "&amp;$C44))</f>
        <v/>
      </c>
      <c r="U44" s="8">
        <f>IF($F44="","",IF(COUNTIFS(PM_Brand,$E44,PM_Model,$F44)&gt;1,"⚠ duplicate product",IF(AND($B44&lt;&gt;"",COUNTIF(PM_Short,$B44)&gt;1),"⚠ short code reused","")))</f>
        <v/>
      </c>
      <c r="V44" s="5" t="n"/>
    </row>
    <row r="45">
      <c r="A45" s="8">
        <f>IF($F45="","","PRD-"&amp;TEXT(ROW()-3,"0000"))</f>
        <v/>
      </c>
      <c r="B45" s="5" t="n"/>
      <c r="C45" s="5" t="n"/>
      <c r="D45" s="5" t="n"/>
      <c r="E45" s="5" t="n"/>
      <c r="F45" s="5" t="n"/>
      <c r="G45" s="5" t="n"/>
      <c r="H45" s="5" t="n"/>
      <c r="I45" s="5" t="n"/>
      <c r="J45" s="5" t="n"/>
      <c r="K45" s="5" t="n"/>
      <c r="L45" s="5" t="n"/>
      <c r="M45" s="9" t="n"/>
      <c r="N45" s="9" t="n"/>
      <c r="O45" s="9" t="n"/>
      <c r="P45" s="9" t="n"/>
      <c r="Q45" s="9" t="n"/>
      <c r="R45" s="8">
        <f>IF($A45="","",COUNTIF(INV_Product,$A45))</f>
        <v/>
      </c>
      <c r="S45" s="8">
        <f>IF($A45="","",COUNTIFS(INV_Product,$A45,INV_Status,"Available"))</f>
        <v/>
      </c>
      <c r="T45" s="8">
        <f>IF($D45="","",IF(COUNTIFS(DD_PairCategory,$C45,DD_Subcategory,$D45)&gt;0,"ok","✗ "&amp;$D45&amp;" is not under "&amp;$C45))</f>
        <v/>
      </c>
      <c r="U45" s="8">
        <f>IF($F45="","",IF(COUNTIFS(PM_Brand,$E45,PM_Model,$F45)&gt;1,"⚠ duplicate product",IF(AND($B45&lt;&gt;"",COUNTIF(PM_Short,$B45)&gt;1),"⚠ short code reused","")))</f>
        <v/>
      </c>
      <c r="V45" s="5" t="n"/>
    </row>
    <row r="46">
      <c r="A46" s="8">
        <f>IF($F46="","","PRD-"&amp;TEXT(ROW()-3,"0000"))</f>
        <v/>
      </c>
      <c r="B46" s="5" t="n"/>
      <c r="C46" s="5" t="n"/>
      <c r="D46" s="5" t="n"/>
      <c r="E46" s="5" t="n"/>
      <c r="F46" s="5" t="n"/>
      <c r="G46" s="5" t="n"/>
      <c r="H46" s="5" t="n"/>
      <c r="I46" s="5" t="n"/>
      <c r="J46" s="5" t="n"/>
      <c r="K46" s="5" t="n"/>
      <c r="L46" s="5" t="n"/>
      <c r="M46" s="9" t="n"/>
      <c r="N46" s="9" t="n"/>
      <c r="O46" s="9" t="n"/>
      <c r="P46" s="9" t="n"/>
      <c r="Q46" s="9" t="n"/>
      <c r="R46" s="8">
        <f>IF($A46="","",COUNTIF(INV_Product,$A46))</f>
        <v/>
      </c>
      <c r="S46" s="8">
        <f>IF($A46="","",COUNTIFS(INV_Product,$A46,INV_Status,"Available"))</f>
        <v/>
      </c>
      <c r="T46" s="8">
        <f>IF($D46="","",IF(COUNTIFS(DD_PairCategory,$C46,DD_Subcategory,$D46)&gt;0,"ok","✗ "&amp;$D46&amp;" is not under "&amp;$C46))</f>
        <v/>
      </c>
      <c r="U46" s="8">
        <f>IF($F46="","",IF(COUNTIFS(PM_Brand,$E46,PM_Model,$F46)&gt;1,"⚠ duplicate product",IF(AND($B46&lt;&gt;"",COUNTIF(PM_Short,$B46)&gt;1),"⚠ short code reused","")))</f>
        <v/>
      </c>
      <c r="V46" s="5" t="n"/>
    </row>
    <row r="47">
      <c r="A47" s="8">
        <f>IF($F47="","","PRD-"&amp;TEXT(ROW()-3,"0000"))</f>
        <v/>
      </c>
      <c r="B47" s="5" t="n"/>
      <c r="C47" s="5" t="n"/>
      <c r="D47" s="5" t="n"/>
      <c r="E47" s="5" t="n"/>
      <c r="F47" s="5" t="n"/>
      <c r="G47" s="5" t="n"/>
      <c r="H47" s="5" t="n"/>
      <c r="I47" s="5" t="n"/>
      <c r="J47" s="5" t="n"/>
      <c r="K47" s="5" t="n"/>
      <c r="L47" s="5" t="n"/>
      <c r="M47" s="9" t="n"/>
      <c r="N47" s="9" t="n"/>
      <c r="O47" s="9" t="n"/>
      <c r="P47" s="9" t="n"/>
      <c r="Q47" s="9" t="n"/>
      <c r="R47" s="8">
        <f>IF($A47="","",COUNTIF(INV_Product,$A47))</f>
        <v/>
      </c>
      <c r="S47" s="8">
        <f>IF($A47="","",COUNTIFS(INV_Product,$A47,INV_Status,"Available"))</f>
        <v/>
      </c>
      <c r="T47" s="8">
        <f>IF($D47="","",IF(COUNTIFS(DD_PairCategory,$C47,DD_Subcategory,$D47)&gt;0,"ok","✗ "&amp;$D47&amp;" is not under "&amp;$C47))</f>
        <v/>
      </c>
      <c r="U47" s="8">
        <f>IF($F47="","",IF(COUNTIFS(PM_Brand,$E47,PM_Model,$F47)&gt;1,"⚠ duplicate product",IF(AND($B47&lt;&gt;"",COUNTIF(PM_Short,$B47)&gt;1),"⚠ short code reused","")))</f>
        <v/>
      </c>
      <c r="V47" s="5" t="n"/>
    </row>
    <row r="48">
      <c r="A48" s="8">
        <f>IF($F48="","","PRD-"&amp;TEXT(ROW()-3,"0000"))</f>
        <v/>
      </c>
      <c r="B48" s="5" t="n"/>
      <c r="C48" s="5" t="n"/>
      <c r="D48" s="5" t="n"/>
      <c r="E48" s="5" t="n"/>
      <c r="F48" s="5" t="n"/>
      <c r="G48" s="5" t="n"/>
      <c r="H48" s="5" t="n"/>
      <c r="I48" s="5" t="n"/>
      <c r="J48" s="5" t="n"/>
      <c r="K48" s="5" t="n"/>
      <c r="L48" s="5" t="n"/>
      <c r="M48" s="9" t="n"/>
      <c r="N48" s="9" t="n"/>
      <c r="O48" s="9" t="n"/>
      <c r="P48" s="9" t="n"/>
      <c r="Q48" s="9" t="n"/>
      <c r="R48" s="8">
        <f>IF($A48="","",COUNTIF(INV_Product,$A48))</f>
        <v/>
      </c>
      <c r="S48" s="8">
        <f>IF($A48="","",COUNTIFS(INV_Product,$A48,INV_Status,"Available"))</f>
        <v/>
      </c>
      <c r="T48" s="8">
        <f>IF($D48="","",IF(COUNTIFS(DD_PairCategory,$C48,DD_Subcategory,$D48)&gt;0,"ok","✗ "&amp;$D48&amp;" is not under "&amp;$C48))</f>
        <v/>
      </c>
      <c r="U48" s="8">
        <f>IF($F48="","",IF(COUNTIFS(PM_Brand,$E48,PM_Model,$F48)&gt;1,"⚠ duplicate product",IF(AND($B48&lt;&gt;"",COUNTIF(PM_Short,$B48)&gt;1),"⚠ short code reused","")))</f>
        <v/>
      </c>
      <c r="V48" s="5" t="n"/>
    </row>
    <row r="49">
      <c r="A49" s="8">
        <f>IF($F49="","","PRD-"&amp;TEXT(ROW()-3,"0000"))</f>
        <v/>
      </c>
      <c r="B49" s="5" t="n"/>
      <c r="C49" s="5" t="n"/>
      <c r="D49" s="5" t="n"/>
      <c r="E49" s="5" t="n"/>
      <c r="F49" s="5" t="n"/>
      <c r="G49" s="5" t="n"/>
      <c r="H49" s="5" t="n"/>
      <c r="I49" s="5" t="n"/>
      <c r="J49" s="5" t="n"/>
      <c r="K49" s="5" t="n"/>
      <c r="L49" s="5" t="n"/>
      <c r="M49" s="9" t="n"/>
      <c r="N49" s="9" t="n"/>
      <c r="O49" s="9" t="n"/>
      <c r="P49" s="9" t="n"/>
      <c r="Q49" s="9" t="n"/>
      <c r="R49" s="8">
        <f>IF($A49="","",COUNTIF(INV_Product,$A49))</f>
        <v/>
      </c>
      <c r="S49" s="8">
        <f>IF($A49="","",COUNTIFS(INV_Product,$A49,INV_Status,"Available"))</f>
        <v/>
      </c>
      <c r="T49" s="8">
        <f>IF($D49="","",IF(COUNTIFS(DD_PairCategory,$C49,DD_Subcategory,$D49)&gt;0,"ok","✗ "&amp;$D49&amp;" is not under "&amp;$C49))</f>
        <v/>
      </c>
      <c r="U49" s="8">
        <f>IF($F49="","",IF(COUNTIFS(PM_Brand,$E49,PM_Model,$F49)&gt;1,"⚠ duplicate product",IF(AND($B49&lt;&gt;"",COUNTIF(PM_Short,$B49)&gt;1),"⚠ short code reused","")))</f>
        <v/>
      </c>
      <c r="V49" s="5" t="n"/>
    </row>
    <row r="50">
      <c r="A50" s="8">
        <f>IF($F50="","","PRD-"&amp;TEXT(ROW()-3,"0000"))</f>
        <v/>
      </c>
      <c r="B50" s="5" t="n"/>
      <c r="C50" s="5" t="n"/>
      <c r="D50" s="5" t="n"/>
      <c r="E50" s="5" t="n"/>
      <c r="F50" s="5" t="n"/>
      <c r="G50" s="5" t="n"/>
      <c r="H50" s="5" t="n"/>
      <c r="I50" s="5" t="n"/>
      <c r="J50" s="5" t="n"/>
      <c r="K50" s="5" t="n"/>
      <c r="L50" s="5" t="n"/>
      <c r="M50" s="9" t="n"/>
      <c r="N50" s="9" t="n"/>
      <c r="O50" s="9" t="n"/>
      <c r="P50" s="9" t="n"/>
      <c r="Q50" s="9" t="n"/>
      <c r="R50" s="8">
        <f>IF($A50="","",COUNTIF(INV_Product,$A50))</f>
        <v/>
      </c>
      <c r="S50" s="8">
        <f>IF($A50="","",COUNTIFS(INV_Product,$A50,INV_Status,"Available"))</f>
        <v/>
      </c>
      <c r="T50" s="8">
        <f>IF($D50="","",IF(COUNTIFS(DD_PairCategory,$C50,DD_Subcategory,$D50)&gt;0,"ok","✗ "&amp;$D50&amp;" is not under "&amp;$C50))</f>
        <v/>
      </c>
      <c r="U50" s="8">
        <f>IF($F50="","",IF(COUNTIFS(PM_Brand,$E50,PM_Model,$F50)&gt;1,"⚠ duplicate product",IF(AND($B50&lt;&gt;"",COUNTIF(PM_Short,$B50)&gt;1),"⚠ short code reused","")))</f>
        <v/>
      </c>
      <c r="V50" s="5" t="n"/>
    </row>
    <row r="51">
      <c r="A51" s="8">
        <f>IF($F51="","","PRD-"&amp;TEXT(ROW()-3,"0000"))</f>
        <v/>
      </c>
      <c r="B51" s="5" t="n"/>
      <c r="C51" s="5" t="n"/>
      <c r="D51" s="5" t="n"/>
      <c r="E51" s="5" t="n"/>
      <c r="F51" s="5" t="n"/>
      <c r="G51" s="5" t="n"/>
      <c r="H51" s="5" t="n"/>
      <c r="I51" s="5" t="n"/>
      <c r="J51" s="5" t="n"/>
      <c r="K51" s="5" t="n"/>
      <c r="L51" s="5" t="n"/>
      <c r="M51" s="9" t="n"/>
      <c r="N51" s="9" t="n"/>
      <c r="O51" s="9" t="n"/>
      <c r="P51" s="9" t="n"/>
      <c r="Q51" s="9" t="n"/>
      <c r="R51" s="8">
        <f>IF($A51="","",COUNTIF(INV_Product,$A51))</f>
        <v/>
      </c>
      <c r="S51" s="8">
        <f>IF($A51="","",COUNTIFS(INV_Product,$A51,INV_Status,"Available"))</f>
        <v/>
      </c>
      <c r="T51" s="8">
        <f>IF($D51="","",IF(COUNTIFS(DD_PairCategory,$C51,DD_Subcategory,$D51)&gt;0,"ok","✗ "&amp;$D51&amp;" is not under "&amp;$C51))</f>
        <v/>
      </c>
      <c r="U51" s="8">
        <f>IF($F51="","",IF(COUNTIFS(PM_Brand,$E51,PM_Model,$F51)&gt;1,"⚠ duplicate product",IF(AND($B51&lt;&gt;"",COUNTIF(PM_Short,$B51)&gt;1),"⚠ short code reused","")))</f>
        <v/>
      </c>
      <c r="V51" s="5" t="n"/>
    </row>
    <row r="52">
      <c r="A52" s="8">
        <f>IF($F52="","","PRD-"&amp;TEXT(ROW()-3,"0000"))</f>
        <v/>
      </c>
      <c r="B52" s="5" t="n"/>
      <c r="C52" s="5" t="n"/>
      <c r="D52" s="5" t="n"/>
      <c r="E52" s="5" t="n"/>
      <c r="F52" s="5" t="n"/>
      <c r="G52" s="5" t="n"/>
      <c r="H52" s="5" t="n"/>
      <c r="I52" s="5" t="n"/>
      <c r="J52" s="5" t="n"/>
      <c r="K52" s="5" t="n"/>
      <c r="L52" s="5" t="n"/>
      <c r="M52" s="9" t="n"/>
      <c r="N52" s="9" t="n"/>
      <c r="O52" s="9" t="n"/>
      <c r="P52" s="9" t="n"/>
      <c r="Q52" s="9" t="n"/>
      <c r="R52" s="8">
        <f>IF($A52="","",COUNTIF(INV_Product,$A52))</f>
        <v/>
      </c>
      <c r="S52" s="8">
        <f>IF($A52="","",COUNTIFS(INV_Product,$A52,INV_Status,"Available"))</f>
        <v/>
      </c>
      <c r="T52" s="8">
        <f>IF($D52="","",IF(COUNTIFS(DD_PairCategory,$C52,DD_Subcategory,$D52)&gt;0,"ok","✗ "&amp;$D52&amp;" is not under "&amp;$C52))</f>
        <v/>
      </c>
      <c r="U52" s="8">
        <f>IF($F52="","",IF(COUNTIFS(PM_Brand,$E52,PM_Model,$F52)&gt;1,"⚠ duplicate product",IF(AND($B52&lt;&gt;"",COUNTIF(PM_Short,$B52)&gt;1),"⚠ short code reused","")))</f>
        <v/>
      </c>
      <c r="V52" s="5" t="n"/>
    </row>
    <row r="53">
      <c r="A53" s="8">
        <f>IF($F53="","","PRD-"&amp;TEXT(ROW()-3,"0000"))</f>
        <v/>
      </c>
      <c r="B53" s="5" t="n"/>
      <c r="C53" s="5" t="n"/>
      <c r="D53" s="5" t="n"/>
      <c r="E53" s="5" t="n"/>
      <c r="F53" s="5" t="n"/>
      <c r="G53" s="5" t="n"/>
      <c r="H53" s="5" t="n"/>
      <c r="I53" s="5" t="n"/>
      <c r="J53" s="5" t="n"/>
      <c r="K53" s="5" t="n"/>
      <c r="L53" s="5" t="n"/>
      <c r="M53" s="9" t="n"/>
      <c r="N53" s="9" t="n"/>
      <c r="O53" s="9" t="n"/>
      <c r="P53" s="9" t="n"/>
      <c r="Q53" s="9" t="n"/>
      <c r="R53" s="8">
        <f>IF($A53="","",COUNTIF(INV_Product,$A53))</f>
        <v/>
      </c>
      <c r="S53" s="8">
        <f>IF($A53="","",COUNTIFS(INV_Product,$A53,INV_Status,"Available"))</f>
        <v/>
      </c>
      <c r="T53" s="8">
        <f>IF($D53="","",IF(COUNTIFS(DD_PairCategory,$C53,DD_Subcategory,$D53)&gt;0,"ok","✗ "&amp;$D53&amp;" is not under "&amp;$C53))</f>
        <v/>
      </c>
      <c r="U53" s="8">
        <f>IF($F53="","",IF(COUNTIFS(PM_Brand,$E53,PM_Model,$F53)&gt;1,"⚠ duplicate product",IF(AND($B53&lt;&gt;"",COUNTIF(PM_Short,$B53)&gt;1),"⚠ short code reused","")))</f>
        <v/>
      </c>
      <c r="V53" s="5" t="n"/>
    </row>
    <row r="54">
      <c r="A54" s="8">
        <f>IF($F54="","","PRD-"&amp;TEXT(ROW()-3,"0000"))</f>
        <v/>
      </c>
      <c r="B54" s="5" t="n"/>
      <c r="C54" s="5" t="n"/>
      <c r="D54" s="5" t="n"/>
      <c r="E54" s="5" t="n"/>
      <c r="F54" s="5" t="n"/>
      <c r="G54" s="5" t="n"/>
      <c r="H54" s="5" t="n"/>
      <c r="I54" s="5" t="n"/>
      <c r="J54" s="5" t="n"/>
      <c r="K54" s="5" t="n"/>
      <c r="L54" s="5" t="n"/>
      <c r="M54" s="9" t="n"/>
      <c r="N54" s="9" t="n"/>
      <c r="O54" s="9" t="n"/>
      <c r="P54" s="9" t="n"/>
      <c r="Q54" s="9" t="n"/>
      <c r="R54" s="8">
        <f>IF($A54="","",COUNTIF(INV_Product,$A54))</f>
        <v/>
      </c>
      <c r="S54" s="8">
        <f>IF($A54="","",COUNTIFS(INV_Product,$A54,INV_Status,"Available"))</f>
        <v/>
      </c>
      <c r="T54" s="8">
        <f>IF($D54="","",IF(COUNTIFS(DD_PairCategory,$C54,DD_Subcategory,$D54)&gt;0,"ok","✗ "&amp;$D54&amp;" is not under "&amp;$C54))</f>
        <v/>
      </c>
      <c r="U54" s="8">
        <f>IF($F54="","",IF(COUNTIFS(PM_Brand,$E54,PM_Model,$F54)&gt;1,"⚠ duplicate product",IF(AND($B54&lt;&gt;"",COUNTIF(PM_Short,$B54)&gt;1),"⚠ short code reused","")))</f>
        <v/>
      </c>
      <c r="V54" s="5" t="n"/>
    </row>
    <row r="55">
      <c r="A55" s="8">
        <f>IF($F55="","","PRD-"&amp;TEXT(ROW()-3,"0000"))</f>
        <v/>
      </c>
      <c r="B55" s="5" t="n"/>
      <c r="C55" s="5" t="n"/>
      <c r="D55" s="5" t="n"/>
      <c r="E55" s="5" t="n"/>
      <c r="F55" s="5" t="n"/>
      <c r="G55" s="5" t="n"/>
      <c r="H55" s="5" t="n"/>
      <c r="I55" s="5" t="n"/>
      <c r="J55" s="5" t="n"/>
      <c r="K55" s="5" t="n"/>
      <c r="L55" s="5" t="n"/>
      <c r="M55" s="9" t="n"/>
      <c r="N55" s="9" t="n"/>
      <c r="O55" s="9" t="n"/>
      <c r="P55" s="9" t="n"/>
      <c r="Q55" s="9" t="n"/>
      <c r="R55" s="8">
        <f>IF($A55="","",COUNTIF(INV_Product,$A55))</f>
        <v/>
      </c>
      <c r="S55" s="8">
        <f>IF($A55="","",COUNTIFS(INV_Product,$A55,INV_Status,"Available"))</f>
        <v/>
      </c>
      <c r="T55" s="8">
        <f>IF($D55="","",IF(COUNTIFS(DD_PairCategory,$C55,DD_Subcategory,$D55)&gt;0,"ok","✗ "&amp;$D55&amp;" is not under "&amp;$C55))</f>
        <v/>
      </c>
      <c r="U55" s="8">
        <f>IF($F55="","",IF(COUNTIFS(PM_Brand,$E55,PM_Model,$F55)&gt;1,"⚠ duplicate product",IF(AND($B55&lt;&gt;"",COUNTIF(PM_Short,$B55)&gt;1),"⚠ short code reused","")))</f>
        <v/>
      </c>
      <c r="V55" s="5" t="n"/>
    </row>
    <row r="56">
      <c r="A56" s="8">
        <f>IF($F56="","","PRD-"&amp;TEXT(ROW()-3,"0000"))</f>
        <v/>
      </c>
      <c r="B56" s="5" t="n"/>
      <c r="C56" s="5" t="n"/>
      <c r="D56" s="5" t="n"/>
      <c r="E56" s="5" t="n"/>
      <c r="F56" s="5" t="n"/>
      <c r="G56" s="5" t="n"/>
      <c r="H56" s="5" t="n"/>
      <c r="I56" s="5" t="n"/>
      <c r="J56" s="5" t="n"/>
      <c r="K56" s="5" t="n"/>
      <c r="L56" s="5" t="n"/>
      <c r="M56" s="9" t="n"/>
      <c r="N56" s="9" t="n"/>
      <c r="O56" s="9" t="n"/>
      <c r="P56" s="9" t="n"/>
      <c r="Q56" s="9" t="n"/>
      <c r="R56" s="8">
        <f>IF($A56="","",COUNTIF(INV_Product,$A56))</f>
        <v/>
      </c>
      <c r="S56" s="8">
        <f>IF($A56="","",COUNTIFS(INV_Product,$A56,INV_Status,"Available"))</f>
        <v/>
      </c>
      <c r="T56" s="8">
        <f>IF($D56="","",IF(COUNTIFS(DD_PairCategory,$C56,DD_Subcategory,$D56)&gt;0,"ok","✗ "&amp;$D56&amp;" is not under "&amp;$C56))</f>
        <v/>
      </c>
      <c r="U56" s="8">
        <f>IF($F56="","",IF(COUNTIFS(PM_Brand,$E56,PM_Model,$F56)&gt;1,"⚠ duplicate product",IF(AND($B56&lt;&gt;"",COUNTIF(PM_Short,$B56)&gt;1),"⚠ short code reused","")))</f>
        <v/>
      </c>
      <c r="V56" s="5" t="n"/>
    </row>
    <row r="57">
      <c r="A57" s="8">
        <f>IF($F57="","","PRD-"&amp;TEXT(ROW()-3,"0000"))</f>
        <v/>
      </c>
      <c r="B57" s="5" t="n"/>
      <c r="C57" s="5" t="n"/>
      <c r="D57" s="5" t="n"/>
      <c r="E57" s="5" t="n"/>
      <c r="F57" s="5" t="n"/>
      <c r="G57" s="5" t="n"/>
      <c r="H57" s="5" t="n"/>
      <c r="I57" s="5" t="n"/>
      <c r="J57" s="5" t="n"/>
      <c r="K57" s="5" t="n"/>
      <c r="L57" s="5" t="n"/>
      <c r="M57" s="9" t="n"/>
      <c r="N57" s="9" t="n"/>
      <c r="O57" s="9" t="n"/>
      <c r="P57" s="9" t="n"/>
      <c r="Q57" s="9" t="n"/>
      <c r="R57" s="8">
        <f>IF($A57="","",COUNTIF(INV_Product,$A57))</f>
        <v/>
      </c>
      <c r="S57" s="8">
        <f>IF($A57="","",COUNTIFS(INV_Product,$A57,INV_Status,"Available"))</f>
        <v/>
      </c>
      <c r="T57" s="8">
        <f>IF($D57="","",IF(COUNTIFS(DD_PairCategory,$C57,DD_Subcategory,$D57)&gt;0,"ok","✗ "&amp;$D57&amp;" is not under "&amp;$C57))</f>
        <v/>
      </c>
      <c r="U57" s="8">
        <f>IF($F57="","",IF(COUNTIFS(PM_Brand,$E57,PM_Model,$F57)&gt;1,"⚠ duplicate product",IF(AND($B57&lt;&gt;"",COUNTIF(PM_Short,$B57)&gt;1),"⚠ short code reused","")))</f>
        <v/>
      </c>
      <c r="V57" s="5" t="n"/>
    </row>
    <row r="58">
      <c r="A58" s="8">
        <f>IF($F58="","","PRD-"&amp;TEXT(ROW()-3,"0000"))</f>
        <v/>
      </c>
      <c r="B58" s="5" t="n"/>
      <c r="C58" s="5" t="n"/>
      <c r="D58" s="5" t="n"/>
      <c r="E58" s="5" t="n"/>
      <c r="F58" s="5" t="n"/>
      <c r="G58" s="5" t="n"/>
      <c r="H58" s="5" t="n"/>
      <c r="I58" s="5" t="n"/>
      <c r="J58" s="5" t="n"/>
      <c r="K58" s="5" t="n"/>
      <c r="L58" s="5" t="n"/>
      <c r="M58" s="9" t="n"/>
      <c r="N58" s="9" t="n"/>
      <c r="O58" s="9" t="n"/>
      <c r="P58" s="9" t="n"/>
      <c r="Q58" s="9" t="n"/>
      <c r="R58" s="8">
        <f>IF($A58="","",COUNTIF(INV_Product,$A58))</f>
        <v/>
      </c>
      <c r="S58" s="8">
        <f>IF($A58="","",COUNTIFS(INV_Product,$A58,INV_Status,"Available"))</f>
        <v/>
      </c>
      <c r="T58" s="8">
        <f>IF($D58="","",IF(COUNTIFS(DD_PairCategory,$C58,DD_Subcategory,$D58)&gt;0,"ok","✗ "&amp;$D58&amp;" is not under "&amp;$C58))</f>
        <v/>
      </c>
      <c r="U58" s="8">
        <f>IF($F58="","",IF(COUNTIFS(PM_Brand,$E58,PM_Model,$F58)&gt;1,"⚠ duplicate product",IF(AND($B58&lt;&gt;"",COUNTIF(PM_Short,$B58)&gt;1),"⚠ short code reused","")))</f>
        <v/>
      </c>
      <c r="V58" s="5" t="n"/>
    </row>
    <row r="59">
      <c r="A59" s="8">
        <f>IF($F59="","","PRD-"&amp;TEXT(ROW()-3,"0000"))</f>
        <v/>
      </c>
      <c r="B59" s="5" t="n"/>
      <c r="C59" s="5" t="n"/>
      <c r="D59" s="5" t="n"/>
      <c r="E59" s="5" t="n"/>
      <c r="F59" s="5" t="n"/>
      <c r="G59" s="5" t="n"/>
      <c r="H59" s="5" t="n"/>
      <c r="I59" s="5" t="n"/>
      <c r="J59" s="5" t="n"/>
      <c r="K59" s="5" t="n"/>
      <c r="L59" s="5" t="n"/>
      <c r="M59" s="9" t="n"/>
      <c r="N59" s="9" t="n"/>
      <c r="O59" s="9" t="n"/>
      <c r="P59" s="9" t="n"/>
      <c r="Q59" s="9" t="n"/>
      <c r="R59" s="8">
        <f>IF($A59="","",COUNTIF(INV_Product,$A59))</f>
        <v/>
      </c>
      <c r="S59" s="8">
        <f>IF($A59="","",COUNTIFS(INV_Product,$A59,INV_Status,"Available"))</f>
        <v/>
      </c>
      <c r="T59" s="8">
        <f>IF($D59="","",IF(COUNTIFS(DD_PairCategory,$C59,DD_Subcategory,$D59)&gt;0,"ok","✗ "&amp;$D59&amp;" is not under "&amp;$C59))</f>
        <v/>
      </c>
      <c r="U59" s="8">
        <f>IF($F59="","",IF(COUNTIFS(PM_Brand,$E59,PM_Model,$F59)&gt;1,"⚠ duplicate product",IF(AND($B59&lt;&gt;"",COUNTIF(PM_Short,$B59)&gt;1),"⚠ short code reused","")))</f>
        <v/>
      </c>
      <c r="V59" s="5" t="n"/>
    </row>
    <row r="60">
      <c r="A60" s="8">
        <f>IF($F60="","","PRD-"&amp;TEXT(ROW()-3,"0000"))</f>
        <v/>
      </c>
      <c r="B60" s="5" t="n"/>
      <c r="C60" s="5" t="n"/>
      <c r="D60" s="5" t="n"/>
      <c r="E60" s="5" t="n"/>
      <c r="F60" s="5" t="n"/>
      <c r="G60" s="5" t="n"/>
      <c r="H60" s="5" t="n"/>
      <c r="I60" s="5" t="n"/>
      <c r="J60" s="5" t="n"/>
      <c r="K60" s="5" t="n"/>
      <c r="L60" s="5" t="n"/>
      <c r="M60" s="9" t="n"/>
      <c r="N60" s="9" t="n"/>
      <c r="O60" s="9" t="n"/>
      <c r="P60" s="9" t="n"/>
      <c r="Q60" s="9" t="n"/>
      <c r="R60" s="8">
        <f>IF($A60="","",COUNTIF(INV_Product,$A60))</f>
        <v/>
      </c>
      <c r="S60" s="8">
        <f>IF($A60="","",COUNTIFS(INV_Product,$A60,INV_Status,"Available"))</f>
        <v/>
      </c>
      <c r="T60" s="8">
        <f>IF($D60="","",IF(COUNTIFS(DD_PairCategory,$C60,DD_Subcategory,$D60)&gt;0,"ok","✗ "&amp;$D60&amp;" is not under "&amp;$C60))</f>
        <v/>
      </c>
      <c r="U60" s="8">
        <f>IF($F60="","",IF(COUNTIFS(PM_Brand,$E60,PM_Model,$F60)&gt;1,"⚠ duplicate product",IF(AND($B60&lt;&gt;"",COUNTIF(PM_Short,$B60)&gt;1),"⚠ short code reused","")))</f>
        <v/>
      </c>
      <c r="V60" s="5" t="n"/>
    </row>
    <row r="61">
      <c r="A61" s="8">
        <f>IF($F61="","","PRD-"&amp;TEXT(ROW()-3,"0000"))</f>
        <v/>
      </c>
      <c r="B61" s="5" t="n"/>
      <c r="C61" s="5" t="n"/>
      <c r="D61" s="5" t="n"/>
      <c r="E61" s="5" t="n"/>
      <c r="F61" s="5" t="n"/>
      <c r="G61" s="5" t="n"/>
      <c r="H61" s="5" t="n"/>
      <c r="I61" s="5" t="n"/>
      <c r="J61" s="5" t="n"/>
      <c r="K61" s="5" t="n"/>
      <c r="L61" s="5" t="n"/>
      <c r="M61" s="9" t="n"/>
      <c r="N61" s="9" t="n"/>
      <c r="O61" s="9" t="n"/>
      <c r="P61" s="9" t="n"/>
      <c r="Q61" s="9" t="n"/>
      <c r="R61" s="8">
        <f>IF($A61="","",COUNTIF(INV_Product,$A61))</f>
        <v/>
      </c>
      <c r="S61" s="8">
        <f>IF($A61="","",COUNTIFS(INV_Product,$A61,INV_Status,"Available"))</f>
        <v/>
      </c>
      <c r="T61" s="8">
        <f>IF($D61="","",IF(COUNTIFS(DD_PairCategory,$C61,DD_Subcategory,$D61)&gt;0,"ok","✗ "&amp;$D61&amp;" is not under "&amp;$C61))</f>
        <v/>
      </c>
      <c r="U61" s="8">
        <f>IF($F61="","",IF(COUNTIFS(PM_Brand,$E61,PM_Model,$F61)&gt;1,"⚠ duplicate product",IF(AND($B61&lt;&gt;"",COUNTIF(PM_Short,$B61)&gt;1),"⚠ short code reused","")))</f>
        <v/>
      </c>
      <c r="V61" s="5" t="n"/>
    </row>
    <row r="62">
      <c r="A62" s="8">
        <f>IF($F62="","","PRD-"&amp;TEXT(ROW()-3,"0000"))</f>
        <v/>
      </c>
      <c r="B62" s="5" t="n"/>
      <c r="C62" s="5" t="n"/>
      <c r="D62" s="5" t="n"/>
      <c r="E62" s="5" t="n"/>
      <c r="F62" s="5" t="n"/>
      <c r="G62" s="5" t="n"/>
      <c r="H62" s="5" t="n"/>
      <c r="I62" s="5" t="n"/>
      <c r="J62" s="5" t="n"/>
      <c r="K62" s="5" t="n"/>
      <c r="L62" s="5" t="n"/>
      <c r="M62" s="9" t="n"/>
      <c r="N62" s="9" t="n"/>
      <c r="O62" s="9" t="n"/>
      <c r="P62" s="9" t="n"/>
      <c r="Q62" s="9" t="n"/>
      <c r="R62" s="8">
        <f>IF($A62="","",COUNTIF(INV_Product,$A62))</f>
        <v/>
      </c>
      <c r="S62" s="8">
        <f>IF($A62="","",COUNTIFS(INV_Product,$A62,INV_Status,"Available"))</f>
        <v/>
      </c>
      <c r="T62" s="8">
        <f>IF($D62="","",IF(COUNTIFS(DD_PairCategory,$C62,DD_Subcategory,$D62)&gt;0,"ok","✗ "&amp;$D62&amp;" is not under "&amp;$C62))</f>
        <v/>
      </c>
      <c r="U62" s="8">
        <f>IF($F62="","",IF(COUNTIFS(PM_Brand,$E62,PM_Model,$F62)&gt;1,"⚠ duplicate product",IF(AND($B62&lt;&gt;"",COUNTIF(PM_Short,$B62)&gt;1),"⚠ short code reused","")))</f>
        <v/>
      </c>
      <c r="V62" s="5" t="n"/>
    </row>
    <row r="63">
      <c r="A63" s="8">
        <f>IF($F63="","","PRD-"&amp;TEXT(ROW()-3,"0000"))</f>
        <v/>
      </c>
      <c r="B63" s="5" t="n"/>
      <c r="C63" s="5" t="n"/>
      <c r="D63" s="5" t="n"/>
      <c r="E63" s="5" t="n"/>
      <c r="F63" s="5" t="n"/>
      <c r="G63" s="5" t="n"/>
      <c r="H63" s="5" t="n"/>
      <c r="I63" s="5" t="n"/>
      <c r="J63" s="5" t="n"/>
      <c r="K63" s="5" t="n"/>
      <c r="L63" s="5" t="n"/>
      <c r="M63" s="9" t="n"/>
      <c r="N63" s="9" t="n"/>
      <c r="O63" s="9" t="n"/>
      <c r="P63" s="9" t="n"/>
      <c r="Q63" s="9" t="n"/>
      <c r="R63" s="8">
        <f>IF($A63="","",COUNTIF(INV_Product,$A63))</f>
        <v/>
      </c>
      <c r="S63" s="8">
        <f>IF($A63="","",COUNTIFS(INV_Product,$A63,INV_Status,"Available"))</f>
        <v/>
      </c>
      <c r="T63" s="8">
        <f>IF($D63="","",IF(COUNTIFS(DD_PairCategory,$C63,DD_Subcategory,$D63)&gt;0,"ok","✗ "&amp;$D63&amp;" is not under "&amp;$C63))</f>
        <v/>
      </c>
      <c r="U63" s="8">
        <f>IF($F63="","",IF(COUNTIFS(PM_Brand,$E63,PM_Model,$F63)&gt;1,"⚠ duplicate product",IF(AND($B63&lt;&gt;"",COUNTIF(PM_Short,$B63)&gt;1),"⚠ short code reused","")))</f>
        <v/>
      </c>
      <c r="V63" s="5" t="n"/>
    </row>
    <row r="64">
      <c r="A64" s="8">
        <f>IF($F64="","","PRD-"&amp;TEXT(ROW()-3,"0000"))</f>
        <v/>
      </c>
      <c r="B64" s="5" t="n"/>
      <c r="C64" s="5" t="n"/>
      <c r="D64" s="5" t="n"/>
      <c r="E64" s="5" t="n"/>
      <c r="F64" s="5" t="n"/>
      <c r="G64" s="5" t="n"/>
      <c r="H64" s="5" t="n"/>
      <c r="I64" s="5" t="n"/>
      <c r="J64" s="5" t="n"/>
      <c r="K64" s="5" t="n"/>
      <c r="L64" s="5" t="n"/>
      <c r="M64" s="9" t="n"/>
      <c r="N64" s="9" t="n"/>
      <c r="O64" s="9" t="n"/>
      <c r="P64" s="9" t="n"/>
      <c r="Q64" s="9" t="n"/>
      <c r="R64" s="8">
        <f>IF($A64="","",COUNTIF(INV_Product,$A64))</f>
        <v/>
      </c>
      <c r="S64" s="8">
        <f>IF($A64="","",COUNTIFS(INV_Product,$A64,INV_Status,"Available"))</f>
        <v/>
      </c>
      <c r="T64" s="8">
        <f>IF($D64="","",IF(COUNTIFS(DD_PairCategory,$C64,DD_Subcategory,$D64)&gt;0,"ok","✗ "&amp;$D64&amp;" is not under "&amp;$C64))</f>
        <v/>
      </c>
      <c r="U64" s="8">
        <f>IF($F64="","",IF(COUNTIFS(PM_Brand,$E64,PM_Model,$F64)&gt;1,"⚠ duplicate product",IF(AND($B64&lt;&gt;"",COUNTIF(PM_Short,$B64)&gt;1),"⚠ short code reused","")))</f>
        <v/>
      </c>
      <c r="V64" s="5" t="n"/>
    </row>
    <row r="65">
      <c r="A65" s="8">
        <f>IF($F65="","","PRD-"&amp;TEXT(ROW()-3,"0000"))</f>
        <v/>
      </c>
      <c r="B65" s="5" t="n"/>
      <c r="C65" s="5" t="n"/>
      <c r="D65" s="5" t="n"/>
      <c r="E65" s="5" t="n"/>
      <c r="F65" s="5" t="n"/>
      <c r="G65" s="5" t="n"/>
      <c r="H65" s="5" t="n"/>
      <c r="I65" s="5" t="n"/>
      <c r="J65" s="5" t="n"/>
      <c r="K65" s="5" t="n"/>
      <c r="L65" s="5" t="n"/>
      <c r="M65" s="9" t="n"/>
      <c r="N65" s="9" t="n"/>
      <c r="O65" s="9" t="n"/>
      <c r="P65" s="9" t="n"/>
      <c r="Q65" s="9" t="n"/>
      <c r="R65" s="8">
        <f>IF($A65="","",COUNTIF(INV_Product,$A65))</f>
        <v/>
      </c>
      <c r="S65" s="8">
        <f>IF($A65="","",COUNTIFS(INV_Product,$A65,INV_Status,"Available"))</f>
        <v/>
      </c>
      <c r="T65" s="8">
        <f>IF($D65="","",IF(COUNTIFS(DD_PairCategory,$C65,DD_Subcategory,$D65)&gt;0,"ok","✗ "&amp;$D65&amp;" is not under "&amp;$C65))</f>
        <v/>
      </c>
      <c r="U65" s="8">
        <f>IF($F65="","",IF(COUNTIFS(PM_Brand,$E65,PM_Model,$F65)&gt;1,"⚠ duplicate product",IF(AND($B65&lt;&gt;"",COUNTIF(PM_Short,$B65)&gt;1),"⚠ short code reused","")))</f>
        <v/>
      </c>
      <c r="V65" s="5" t="n"/>
    </row>
    <row r="66">
      <c r="A66" s="8">
        <f>IF($F66="","","PRD-"&amp;TEXT(ROW()-3,"0000"))</f>
        <v/>
      </c>
      <c r="B66" s="5" t="n"/>
      <c r="C66" s="5" t="n"/>
      <c r="D66" s="5" t="n"/>
      <c r="E66" s="5" t="n"/>
      <c r="F66" s="5" t="n"/>
      <c r="G66" s="5" t="n"/>
      <c r="H66" s="5" t="n"/>
      <c r="I66" s="5" t="n"/>
      <c r="J66" s="5" t="n"/>
      <c r="K66" s="5" t="n"/>
      <c r="L66" s="5" t="n"/>
      <c r="M66" s="9" t="n"/>
      <c r="N66" s="9" t="n"/>
      <c r="O66" s="9" t="n"/>
      <c r="P66" s="9" t="n"/>
      <c r="Q66" s="9" t="n"/>
      <c r="R66" s="8">
        <f>IF($A66="","",COUNTIF(INV_Product,$A66))</f>
        <v/>
      </c>
      <c r="S66" s="8">
        <f>IF($A66="","",COUNTIFS(INV_Product,$A66,INV_Status,"Available"))</f>
        <v/>
      </c>
      <c r="T66" s="8">
        <f>IF($D66="","",IF(COUNTIFS(DD_PairCategory,$C66,DD_Subcategory,$D66)&gt;0,"ok","✗ "&amp;$D66&amp;" is not under "&amp;$C66))</f>
        <v/>
      </c>
      <c r="U66" s="8">
        <f>IF($F66="","",IF(COUNTIFS(PM_Brand,$E66,PM_Model,$F66)&gt;1,"⚠ duplicate product",IF(AND($B66&lt;&gt;"",COUNTIF(PM_Short,$B66)&gt;1),"⚠ short code reused","")))</f>
        <v/>
      </c>
      <c r="V66" s="5" t="n"/>
    </row>
    <row r="67">
      <c r="A67" s="8">
        <f>IF($F67="","","PRD-"&amp;TEXT(ROW()-3,"0000"))</f>
        <v/>
      </c>
      <c r="B67" s="5" t="n"/>
      <c r="C67" s="5" t="n"/>
      <c r="D67" s="5" t="n"/>
      <c r="E67" s="5" t="n"/>
      <c r="F67" s="5" t="n"/>
      <c r="G67" s="5" t="n"/>
      <c r="H67" s="5" t="n"/>
      <c r="I67" s="5" t="n"/>
      <c r="J67" s="5" t="n"/>
      <c r="K67" s="5" t="n"/>
      <c r="L67" s="5" t="n"/>
      <c r="M67" s="9" t="n"/>
      <c r="N67" s="9" t="n"/>
      <c r="O67" s="9" t="n"/>
      <c r="P67" s="9" t="n"/>
      <c r="Q67" s="9" t="n"/>
      <c r="R67" s="8">
        <f>IF($A67="","",COUNTIF(INV_Product,$A67))</f>
        <v/>
      </c>
      <c r="S67" s="8">
        <f>IF($A67="","",COUNTIFS(INV_Product,$A67,INV_Status,"Available"))</f>
        <v/>
      </c>
      <c r="T67" s="8">
        <f>IF($D67="","",IF(COUNTIFS(DD_PairCategory,$C67,DD_Subcategory,$D67)&gt;0,"ok","✗ "&amp;$D67&amp;" is not under "&amp;$C67))</f>
        <v/>
      </c>
      <c r="U67" s="8">
        <f>IF($F67="","",IF(COUNTIFS(PM_Brand,$E67,PM_Model,$F67)&gt;1,"⚠ duplicate product",IF(AND($B67&lt;&gt;"",COUNTIF(PM_Short,$B67)&gt;1),"⚠ short code reused","")))</f>
        <v/>
      </c>
      <c r="V67" s="5" t="n"/>
    </row>
    <row r="68">
      <c r="A68" s="8">
        <f>IF($F68="","","PRD-"&amp;TEXT(ROW()-3,"0000"))</f>
        <v/>
      </c>
      <c r="B68" s="5" t="n"/>
      <c r="C68" s="5" t="n"/>
      <c r="D68" s="5" t="n"/>
      <c r="E68" s="5" t="n"/>
      <c r="F68" s="5" t="n"/>
      <c r="G68" s="5" t="n"/>
      <c r="H68" s="5" t="n"/>
      <c r="I68" s="5" t="n"/>
      <c r="J68" s="5" t="n"/>
      <c r="K68" s="5" t="n"/>
      <c r="L68" s="5" t="n"/>
      <c r="M68" s="9" t="n"/>
      <c r="N68" s="9" t="n"/>
      <c r="O68" s="9" t="n"/>
      <c r="P68" s="9" t="n"/>
      <c r="Q68" s="9" t="n"/>
      <c r="R68" s="8">
        <f>IF($A68="","",COUNTIF(INV_Product,$A68))</f>
        <v/>
      </c>
      <c r="S68" s="8">
        <f>IF($A68="","",COUNTIFS(INV_Product,$A68,INV_Status,"Available"))</f>
        <v/>
      </c>
      <c r="T68" s="8">
        <f>IF($D68="","",IF(COUNTIFS(DD_PairCategory,$C68,DD_Subcategory,$D68)&gt;0,"ok","✗ "&amp;$D68&amp;" is not under "&amp;$C68))</f>
        <v/>
      </c>
      <c r="U68" s="8">
        <f>IF($F68="","",IF(COUNTIFS(PM_Brand,$E68,PM_Model,$F68)&gt;1,"⚠ duplicate product",IF(AND($B68&lt;&gt;"",COUNTIF(PM_Short,$B68)&gt;1),"⚠ short code reused","")))</f>
        <v/>
      </c>
      <c r="V68" s="5" t="n"/>
    </row>
    <row r="69">
      <c r="A69" s="8">
        <f>IF($F69="","","PRD-"&amp;TEXT(ROW()-3,"0000"))</f>
        <v/>
      </c>
      <c r="B69" s="5" t="n"/>
      <c r="C69" s="5" t="n"/>
      <c r="D69" s="5" t="n"/>
      <c r="E69" s="5" t="n"/>
      <c r="F69" s="5" t="n"/>
      <c r="G69" s="5" t="n"/>
      <c r="H69" s="5" t="n"/>
      <c r="I69" s="5" t="n"/>
      <c r="J69" s="5" t="n"/>
      <c r="K69" s="5" t="n"/>
      <c r="L69" s="5" t="n"/>
      <c r="M69" s="9" t="n"/>
      <c r="N69" s="9" t="n"/>
      <c r="O69" s="9" t="n"/>
      <c r="P69" s="9" t="n"/>
      <c r="Q69" s="9" t="n"/>
      <c r="R69" s="8">
        <f>IF($A69="","",COUNTIF(INV_Product,$A69))</f>
        <v/>
      </c>
      <c r="S69" s="8">
        <f>IF($A69="","",COUNTIFS(INV_Product,$A69,INV_Status,"Available"))</f>
        <v/>
      </c>
      <c r="T69" s="8">
        <f>IF($D69="","",IF(COUNTIFS(DD_PairCategory,$C69,DD_Subcategory,$D69)&gt;0,"ok","✗ "&amp;$D69&amp;" is not under "&amp;$C69))</f>
        <v/>
      </c>
      <c r="U69" s="8">
        <f>IF($F69="","",IF(COUNTIFS(PM_Brand,$E69,PM_Model,$F69)&gt;1,"⚠ duplicate product",IF(AND($B69&lt;&gt;"",COUNTIF(PM_Short,$B69)&gt;1),"⚠ short code reused","")))</f>
        <v/>
      </c>
      <c r="V69" s="5" t="n"/>
    </row>
    <row r="70">
      <c r="A70" s="8">
        <f>IF($F70="","","PRD-"&amp;TEXT(ROW()-3,"0000"))</f>
        <v/>
      </c>
      <c r="B70" s="5" t="n"/>
      <c r="C70" s="5" t="n"/>
      <c r="D70" s="5" t="n"/>
      <c r="E70" s="5" t="n"/>
      <c r="F70" s="5" t="n"/>
      <c r="G70" s="5" t="n"/>
      <c r="H70" s="5" t="n"/>
      <c r="I70" s="5" t="n"/>
      <c r="J70" s="5" t="n"/>
      <c r="K70" s="5" t="n"/>
      <c r="L70" s="5" t="n"/>
      <c r="M70" s="9" t="n"/>
      <c r="N70" s="9" t="n"/>
      <c r="O70" s="9" t="n"/>
      <c r="P70" s="9" t="n"/>
      <c r="Q70" s="9" t="n"/>
      <c r="R70" s="8">
        <f>IF($A70="","",COUNTIF(INV_Product,$A70))</f>
        <v/>
      </c>
      <c r="S70" s="8">
        <f>IF($A70="","",COUNTIFS(INV_Product,$A70,INV_Status,"Available"))</f>
        <v/>
      </c>
      <c r="T70" s="8">
        <f>IF($D70="","",IF(COUNTIFS(DD_PairCategory,$C70,DD_Subcategory,$D70)&gt;0,"ok","✗ "&amp;$D70&amp;" is not under "&amp;$C70))</f>
        <v/>
      </c>
      <c r="U70" s="8">
        <f>IF($F70="","",IF(COUNTIFS(PM_Brand,$E70,PM_Model,$F70)&gt;1,"⚠ duplicate product",IF(AND($B70&lt;&gt;"",COUNTIF(PM_Short,$B70)&gt;1),"⚠ short code reused","")))</f>
        <v/>
      </c>
      <c r="V70" s="5" t="n"/>
    </row>
    <row r="71">
      <c r="A71" s="8">
        <f>IF($F71="","","PRD-"&amp;TEXT(ROW()-3,"0000"))</f>
        <v/>
      </c>
      <c r="B71" s="5" t="n"/>
      <c r="C71" s="5" t="n"/>
      <c r="D71" s="5" t="n"/>
      <c r="E71" s="5" t="n"/>
      <c r="F71" s="5" t="n"/>
      <c r="G71" s="5" t="n"/>
      <c r="H71" s="5" t="n"/>
      <c r="I71" s="5" t="n"/>
      <c r="J71" s="5" t="n"/>
      <c r="K71" s="5" t="n"/>
      <c r="L71" s="5" t="n"/>
      <c r="M71" s="9" t="n"/>
      <c r="N71" s="9" t="n"/>
      <c r="O71" s="9" t="n"/>
      <c r="P71" s="9" t="n"/>
      <c r="Q71" s="9" t="n"/>
      <c r="R71" s="8">
        <f>IF($A71="","",COUNTIF(INV_Product,$A71))</f>
        <v/>
      </c>
      <c r="S71" s="8">
        <f>IF($A71="","",COUNTIFS(INV_Product,$A71,INV_Status,"Available"))</f>
        <v/>
      </c>
      <c r="T71" s="8">
        <f>IF($D71="","",IF(COUNTIFS(DD_PairCategory,$C71,DD_Subcategory,$D71)&gt;0,"ok","✗ "&amp;$D71&amp;" is not under "&amp;$C71))</f>
        <v/>
      </c>
      <c r="U71" s="8">
        <f>IF($F71="","",IF(COUNTIFS(PM_Brand,$E71,PM_Model,$F71)&gt;1,"⚠ duplicate product",IF(AND($B71&lt;&gt;"",COUNTIF(PM_Short,$B71)&gt;1),"⚠ short code reused","")))</f>
        <v/>
      </c>
      <c r="V71" s="5" t="n"/>
    </row>
    <row r="72">
      <c r="A72" s="8">
        <f>IF($F72="","","PRD-"&amp;TEXT(ROW()-3,"0000"))</f>
        <v/>
      </c>
      <c r="B72" s="5" t="n"/>
      <c r="C72" s="5" t="n"/>
      <c r="D72" s="5" t="n"/>
      <c r="E72" s="5" t="n"/>
      <c r="F72" s="5" t="n"/>
      <c r="G72" s="5" t="n"/>
      <c r="H72" s="5" t="n"/>
      <c r="I72" s="5" t="n"/>
      <c r="J72" s="5" t="n"/>
      <c r="K72" s="5" t="n"/>
      <c r="L72" s="5" t="n"/>
      <c r="M72" s="9" t="n"/>
      <c r="N72" s="9" t="n"/>
      <c r="O72" s="9" t="n"/>
      <c r="P72" s="9" t="n"/>
      <c r="Q72" s="9" t="n"/>
      <c r="R72" s="8">
        <f>IF($A72="","",COUNTIF(INV_Product,$A72))</f>
        <v/>
      </c>
      <c r="S72" s="8">
        <f>IF($A72="","",COUNTIFS(INV_Product,$A72,INV_Status,"Available"))</f>
        <v/>
      </c>
      <c r="T72" s="8">
        <f>IF($D72="","",IF(COUNTIFS(DD_PairCategory,$C72,DD_Subcategory,$D72)&gt;0,"ok","✗ "&amp;$D72&amp;" is not under "&amp;$C72))</f>
        <v/>
      </c>
      <c r="U72" s="8">
        <f>IF($F72="","",IF(COUNTIFS(PM_Brand,$E72,PM_Model,$F72)&gt;1,"⚠ duplicate product",IF(AND($B72&lt;&gt;"",COUNTIF(PM_Short,$B72)&gt;1),"⚠ short code reused","")))</f>
        <v/>
      </c>
      <c r="V72" s="5" t="n"/>
    </row>
    <row r="73">
      <c r="A73" s="8">
        <f>IF($F73="","","PRD-"&amp;TEXT(ROW()-3,"0000"))</f>
        <v/>
      </c>
      <c r="B73" s="5" t="n"/>
      <c r="C73" s="5" t="n"/>
      <c r="D73" s="5" t="n"/>
      <c r="E73" s="5" t="n"/>
      <c r="F73" s="5" t="n"/>
      <c r="G73" s="5" t="n"/>
      <c r="H73" s="5" t="n"/>
      <c r="I73" s="5" t="n"/>
      <c r="J73" s="5" t="n"/>
      <c r="K73" s="5" t="n"/>
      <c r="L73" s="5" t="n"/>
      <c r="M73" s="9" t="n"/>
      <c r="N73" s="9" t="n"/>
      <c r="O73" s="9" t="n"/>
      <c r="P73" s="9" t="n"/>
      <c r="Q73" s="9" t="n"/>
      <c r="R73" s="8">
        <f>IF($A73="","",COUNTIF(INV_Product,$A73))</f>
        <v/>
      </c>
      <c r="S73" s="8">
        <f>IF($A73="","",COUNTIFS(INV_Product,$A73,INV_Status,"Available"))</f>
        <v/>
      </c>
      <c r="T73" s="8">
        <f>IF($D73="","",IF(COUNTIFS(DD_PairCategory,$C73,DD_Subcategory,$D73)&gt;0,"ok","✗ "&amp;$D73&amp;" is not under "&amp;$C73))</f>
        <v/>
      </c>
      <c r="U73" s="8">
        <f>IF($F73="","",IF(COUNTIFS(PM_Brand,$E73,PM_Model,$F73)&gt;1,"⚠ duplicate product",IF(AND($B73&lt;&gt;"",COUNTIF(PM_Short,$B73)&gt;1),"⚠ short code reused","")))</f>
        <v/>
      </c>
      <c r="V73" s="5" t="n"/>
    </row>
    <row r="74">
      <c r="A74" s="8">
        <f>IF($F74="","","PRD-"&amp;TEXT(ROW()-3,"0000"))</f>
        <v/>
      </c>
      <c r="B74" s="5" t="n"/>
      <c r="C74" s="5" t="n"/>
      <c r="D74" s="5" t="n"/>
      <c r="E74" s="5" t="n"/>
      <c r="F74" s="5" t="n"/>
      <c r="G74" s="5" t="n"/>
      <c r="H74" s="5" t="n"/>
      <c r="I74" s="5" t="n"/>
      <c r="J74" s="5" t="n"/>
      <c r="K74" s="5" t="n"/>
      <c r="L74" s="5" t="n"/>
      <c r="M74" s="9" t="n"/>
      <c r="N74" s="9" t="n"/>
      <c r="O74" s="9" t="n"/>
      <c r="P74" s="9" t="n"/>
      <c r="Q74" s="9" t="n"/>
      <c r="R74" s="8">
        <f>IF($A74="","",COUNTIF(INV_Product,$A74))</f>
        <v/>
      </c>
      <c r="S74" s="8">
        <f>IF($A74="","",COUNTIFS(INV_Product,$A74,INV_Status,"Available"))</f>
        <v/>
      </c>
      <c r="T74" s="8">
        <f>IF($D74="","",IF(COUNTIFS(DD_PairCategory,$C74,DD_Subcategory,$D74)&gt;0,"ok","✗ "&amp;$D74&amp;" is not under "&amp;$C74))</f>
        <v/>
      </c>
      <c r="U74" s="8">
        <f>IF($F74="","",IF(COUNTIFS(PM_Brand,$E74,PM_Model,$F74)&gt;1,"⚠ duplicate product",IF(AND($B74&lt;&gt;"",COUNTIF(PM_Short,$B74)&gt;1),"⚠ short code reused","")))</f>
        <v/>
      </c>
      <c r="V74" s="5" t="n"/>
    </row>
    <row r="75">
      <c r="A75" s="8">
        <f>IF($F75="","","PRD-"&amp;TEXT(ROW()-3,"0000"))</f>
        <v/>
      </c>
      <c r="B75" s="5" t="n"/>
      <c r="C75" s="5" t="n"/>
      <c r="D75" s="5" t="n"/>
      <c r="E75" s="5" t="n"/>
      <c r="F75" s="5" t="n"/>
      <c r="G75" s="5" t="n"/>
      <c r="H75" s="5" t="n"/>
      <c r="I75" s="5" t="n"/>
      <c r="J75" s="5" t="n"/>
      <c r="K75" s="5" t="n"/>
      <c r="L75" s="5" t="n"/>
      <c r="M75" s="9" t="n"/>
      <c r="N75" s="9" t="n"/>
      <c r="O75" s="9" t="n"/>
      <c r="P75" s="9" t="n"/>
      <c r="Q75" s="9" t="n"/>
      <c r="R75" s="8">
        <f>IF($A75="","",COUNTIF(INV_Product,$A75))</f>
        <v/>
      </c>
      <c r="S75" s="8">
        <f>IF($A75="","",COUNTIFS(INV_Product,$A75,INV_Status,"Available"))</f>
        <v/>
      </c>
      <c r="T75" s="8">
        <f>IF($D75="","",IF(COUNTIFS(DD_PairCategory,$C75,DD_Subcategory,$D75)&gt;0,"ok","✗ "&amp;$D75&amp;" is not under "&amp;$C75))</f>
        <v/>
      </c>
      <c r="U75" s="8">
        <f>IF($F75="","",IF(COUNTIFS(PM_Brand,$E75,PM_Model,$F75)&gt;1,"⚠ duplicate product",IF(AND($B75&lt;&gt;"",COUNTIF(PM_Short,$B75)&gt;1),"⚠ short code reused","")))</f>
        <v/>
      </c>
      <c r="V75" s="5" t="n"/>
    </row>
    <row r="76">
      <c r="A76" s="8">
        <f>IF($F76="","","PRD-"&amp;TEXT(ROW()-3,"0000"))</f>
        <v/>
      </c>
      <c r="B76" s="5" t="n"/>
      <c r="C76" s="5" t="n"/>
      <c r="D76" s="5" t="n"/>
      <c r="E76" s="5" t="n"/>
      <c r="F76" s="5" t="n"/>
      <c r="G76" s="5" t="n"/>
      <c r="H76" s="5" t="n"/>
      <c r="I76" s="5" t="n"/>
      <c r="J76" s="5" t="n"/>
      <c r="K76" s="5" t="n"/>
      <c r="L76" s="5" t="n"/>
      <c r="M76" s="9" t="n"/>
      <c r="N76" s="9" t="n"/>
      <c r="O76" s="9" t="n"/>
      <c r="P76" s="9" t="n"/>
      <c r="Q76" s="9" t="n"/>
      <c r="R76" s="8">
        <f>IF($A76="","",COUNTIF(INV_Product,$A76))</f>
        <v/>
      </c>
      <c r="S76" s="8">
        <f>IF($A76="","",COUNTIFS(INV_Product,$A76,INV_Status,"Available"))</f>
        <v/>
      </c>
      <c r="T76" s="8">
        <f>IF($D76="","",IF(COUNTIFS(DD_PairCategory,$C76,DD_Subcategory,$D76)&gt;0,"ok","✗ "&amp;$D76&amp;" is not under "&amp;$C76))</f>
        <v/>
      </c>
      <c r="U76" s="8">
        <f>IF($F76="","",IF(COUNTIFS(PM_Brand,$E76,PM_Model,$F76)&gt;1,"⚠ duplicate product",IF(AND($B76&lt;&gt;"",COUNTIF(PM_Short,$B76)&gt;1),"⚠ short code reused","")))</f>
        <v/>
      </c>
      <c r="V76" s="5" t="n"/>
    </row>
    <row r="77">
      <c r="A77" s="8">
        <f>IF($F77="","","PRD-"&amp;TEXT(ROW()-3,"0000"))</f>
        <v/>
      </c>
      <c r="B77" s="5" t="n"/>
      <c r="C77" s="5" t="n"/>
      <c r="D77" s="5" t="n"/>
      <c r="E77" s="5" t="n"/>
      <c r="F77" s="5" t="n"/>
      <c r="G77" s="5" t="n"/>
      <c r="H77" s="5" t="n"/>
      <c r="I77" s="5" t="n"/>
      <c r="J77" s="5" t="n"/>
      <c r="K77" s="5" t="n"/>
      <c r="L77" s="5" t="n"/>
      <c r="M77" s="9" t="n"/>
      <c r="N77" s="9" t="n"/>
      <c r="O77" s="9" t="n"/>
      <c r="P77" s="9" t="n"/>
      <c r="Q77" s="9" t="n"/>
      <c r="R77" s="8">
        <f>IF($A77="","",COUNTIF(INV_Product,$A77))</f>
        <v/>
      </c>
      <c r="S77" s="8">
        <f>IF($A77="","",COUNTIFS(INV_Product,$A77,INV_Status,"Available"))</f>
        <v/>
      </c>
      <c r="T77" s="8">
        <f>IF($D77="","",IF(COUNTIFS(DD_PairCategory,$C77,DD_Subcategory,$D77)&gt;0,"ok","✗ "&amp;$D77&amp;" is not under "&amp;$C77))</f>
        <v/>
      </c>
      <c r="U77" s="8">
        <f>IF($F77="","",IF(COUNTIFS(PM_Brand,$E77,PM_Model,$F77)&gt;1,"⚠ duplicate product",IF(AND($B77&lt;&gt;"",COUNTIF(PM_Short,$B77)&gt;1),"⚠ short code reused","")))</f>
        <v/>
      </c>
      <c r="V77" s="5" t="n"/>
    </row>
    <row r="78">
      <c r="A78" s="8">
        <f>IF($F78="","","PRD-"&amp;TEXT(ROW()-3,"0000"))</f>
        <v/>
      </c>
      <c r="B78" s="5" t="n"/>
      <c r="C78" s="5" t="n"/>
      <c r="D78" s="5" t="n"/>
      <c r="E78" s="5" t="n"/>
      <c r="F78" s="5" t="n"/>
      <c r="G78" s="5" t="n"/>
      <c r="H78" s="5" t="n"/>
      <c r="I78" s="5" t="n"/>
      <c r="J78" s="5" t="n"/>
      <c r="K78" s="5" t="n"/>
      <c r="L78" s="5" t="n"/>
      <c r="M78" s="9" t="n"/>
      <c r="N78" s="9" t="n"/>
      <c r="O78" s="9" t="n"/>
      <c r="P78" s="9" t="n"/>
      <c r="Q78" s="9" t="n"/>
      <c r="R78" s="8">
        <f>IF($A78="","",COUNTIF(INV_Product,$A78))</f>
        <v/>
      </c>
      <c r="S78" s="8">
        <f>IF($A78="","",COUNTIFS(INV_Product,$A78,INV_Status,"Available"))</f>
        <v/>
      </c>
      <c r="T78" s="8">
        <f>IF($D78="","",IF(COUNTIFS(DD_PairCategory,$C78,DD_Subcategory,$D78)&gt;0,"ok","✗ "&amp;$D78&amp;" is not under "&amp;$C78))</f>
        <v/>
      </c>
      <c r="U78" s="8">
        <f>IF($F78="","",IF(COUNTIFS(PM_Brand,$E78,PM_Model,$F78)&gt;1,"⚠ duplicate product",IF(AND($B78&lt;&gt;"",COUNTIF(PM_Short,$B78)&gt;1),"⚠ short code reused","")))</f>
        <v/>
      </c>
      <c r="V78" s="5" t="n"/>
    </row>
    <row r="79">
      <c r="A79" s="8">
        <f>IF($F79="","","PRD-"&amp;TEXT(ROW()-3,"0000"))</f>
        <v/>
      </c>
      <c r="B79" s="5" t="n"/>
      <c r="C79" s="5" t="n"/>
      <c r="D79" s="5" t="n"/>
      <c r="E79" s="5" t="n"/>
      <c r="F79" s="5" t="n"/>
      <c r="G79" s="5" t="n"/>
      <c r="H79" s="5" t="n"/>
      <c r="I79" s="5" t="n"/>
      <c r="J79" s="5" t="n"/>
      <c r="K79" s="5" t="n"/>
      <c r="L79" s="5" t="n"/>
      <c r="M79" s="9" t="n"/>
      <c r="N79" s="9" t="n"/>
      <c r="O79" s="9" t="n"/>
      <c r="P79" s="9" t="n"/>
      <c r="Q79" s="9" t="n"/>
      <c r="R79" s="8">
        <f>IF($A79="","",COUNTIF(INV_Product,$A79))</f>
        <v/>
      </c>
      <c r="S79" s="8">
        <f>IF($A79="","",COUNTIFS(INV_Product,$A79,INV_Status,"Available"))</f>
        <v/>
      </c>
      <c r="T79" s="8">
        <f>IF($D79="","",IF(COUNTIFS(DD_PairCategory,$C79,DD_Subcategory,$D79)&gt;0,"ok","✗ "&amp;$D79&amp;" is not under "&amp;$C79))</f>
        <v/>
      </c>
      <c r="U79" s="8">
        <f>IF($F79="","",IF(COUNTIFS(PM_Brand,$E79,PM_Model,$F79)&gt;1,"⚠ duplicate product",IF(AND($B79&lt;&gt;"",COUNTIF(PM_Short,$B79)&gt;1),"⚠ short code reused","")))</f>
        <v/>
      </c>
      <c r="V79" s="5" t="n"/>
    </row>
    <row r="80">
      <c r="A80" s="8">
        <f>IF($F80="","","PRD-"&amp;TEXT(ROW()-3,"0000"))</f>
        <v/>
      </c>
      <c r="B80" s="5" t="n"/>
      <c r="C80" s="5" t="n"/>
      <c r="D80" s="5" t="n"/>
      <c r="E80" s="5" t="n"/>
      <c r="F80" s="5" t="n"/>
      <c r="G80" s="5" t="n"/>
      <c r="H80" s="5" t="n"/>
      <c r="I80" s="5" t="n"/>
      <c r="J80" s="5" t="n"/>
      <c r="K80" s="5" t="n"/>
      <c r="L80" s="5" t="n"/>
      <c r="M80" s="9" t="n"/>
      <c r="N80" s="9" t="n"/>
      <c r="O80" s="9" t="n"/>
      <c r="P80" s="9" t="n"/>
      <c r="Q80" s="9" t="n"/>
      <c r="R80" s="8">
        <f>IF($A80="","",COUNTIF(INV_Product,$A80))</f>
        <v/>
      </c>
      <c r="S80" s="8">
        <f>IF($A80="","",COUNTIFS(INV_Product,$A80,INV_Status,"Available"))</f>
        <v/>
      </c>
      <c r="T80" s="8">
        <f>IF($D80="","",IF(COUNTIFS(DD_PairCategory,$C80,DD_Subcategory,$D80)&gt;0,"ok","✗ "&amp;$D80&amp;" is not under "&amp;$C80))</f>
        <v/>
      </c>
      <c r="U80" s="8">
        <f>IF($F80="","",IF(COUNTIFS(PM_Brand,$E80,PM_Model,$F80)&gt;1,"⚠ duplicate product",IF(AND($B80&lt;&gt;"",COUNTIF(PM_Short,$B80)&gt;1),"⚠ short code reused","")))</f>
        <v/>
      </c>
      <c r="V80" s="5" t="n"/>
    </row>
    <row r="81">
      <c r="A81" s="8">
        <f>IF($F81="","","PRD-"&amp;TEXT(ROW()-3,"0000"))</f>
        <v/>
      </c>
      <c r="B81" s="5" t="n"/>
      <c r="C81" s="5" t="n"/>
      <c r="D81" s="5" t="n"/>
      <c r="E81" s="5" t="n"/>
      <c r="F81" s="5" t="n"/>
      <c r="G81" s="5" t="n"/>
      <c r="H81" s="5" t="n"/>
      <c r="I81" s="5" t="n"/>
      <c r="J81" s="5" t="n"/>
      <c r="K81" s="5" t="n"/>
      <c r="L81" s="5" t="n"/>
      <c r="M81" s="9" t="n"/>
      <c r="N81" s="9" t="n"/>
      <c r="O81" s="9" t="n"/>
      <c r="P81" s="9" t="n"/>
      <c r="Q81" s="9" t="n"/>
      <c r="R81" s="8">
        <f>IF($A81="","",COUNTIF(INV_Product,$A81))</f>
        <v/>
      </c>
      <c r="S81" s="8">
        <f>IF($A81="","",COUNTIFS(INV_Product,$A81,INV_Status,"Available"))</f>
        <v/>
      </c>
      <c r="T81" s="8">
        <f>IF($D81="","",IF(COUNTIFS(DD_PairCategory,$C81,DD_Subcategory,$D81)&gt;0,"ok","✗ "&amp;$D81&amp;" is not under "&amp;$C81))</f>
        <v/>
      </c>
      <c r="U81" s="8">
        <f>IF($F81="","",IF(COUNTIFS(PM_Brand,$E81,PM_Model,$F81)&gt;1,"⚠ duplicate product",IF(AND($B81&lt;&gt;"",COUNTIF(PM_Short,$B81)&gt;1),"⚠ short code reused","")))</f>
        <v/>
      </c>
      <c r="V81" s="5" t="n"/>
    </row>
    <row r="82">
      <c r="A82" s="8">
        <f>IF($F82="","","PRD-"&amp;TEXT(ROW()-3,"0000"))</f>
        <v/>
      </c>
      <c r="B82" s="5" t="n"/>
      <c r="C82" s="5" t="n"/>
      <c r="D82" s="5" t="n"/>
      <c r="E82" s="5" t="n"/>
      <c r="F82" s="5" t="n"/>
      <c r="G82" s="5" t="n"/>
      <c r="H82" s="5" t="n"/>
      <c r="I82" s="5" t="n"/>
      <c r="J82" s="5" t="n"/>
      <c r="K82" s="5" t="n"/>
      <c r="L82" s="5" t="n"/>
      <c r="M82" s="9" t="n"/>
      <c r="N82" s="9" t="n"/>
      <c r="O82" s="9" t="n"/>
      <c r="P82" s="9" t="n"/>
      <c r="Q82" s="9" t="n"/>
      <c r="R82" s="8">
        <f>IF($A82="","",COUNTIF(INV_Product,$A82))</f>
        <v/>
      </c>
      <c r="S82" s="8">
        <f>IF($A82="","",COUNTIFS(INV_Product,$A82,INV_Status,"Available"))</f>
        <v/>
      </c>
      <c r="T82" s="8">
        <f>IF($D82="","",IF(COUNTIFS(DD_PairCategory,$C82,DD_Subcategory,$D82)&gt;0,"ok","✗ "&amp;$D82&amp;" is not under "&amp;$C82))</f>
        <v/>
      </c>
      <c r="U82" s="8">
        <f>IF($F82="","",IF(COUNTIFS(PM_Brand,$E82,PM_Model,$F82)&gt;1,"⚠ duplicate product",IF(AND($B82&lt;&gt;"",COUNTIF(PM_Short,$B82)&gt;1),"⚠ short code reused","")))</f>
        <v/>
      </c>
      <c r="V82" s="5" t="n"/>
    </row>
    <row r="83">
      <c r="A83" s="8">
        <f>IF($F83="","","PRD-"&amp;TEXT(ROW()-3,"0000"))</f>
        <v/>
      </c>
      <c r="B83" s="5" t="n"/>
      <c r="C83" s="5" t="n"/>
      <c r="D83" s="5" t="n"/>
      <c r="E83" s="5" t="n"/>
      <c r="F83" s="5" t="n"/>
      <c r="G83" s="5" t="n"/>
      <c r="H83" s="5" t="n"/>
      <c r="I83" s="5" t="n"/>
      <c r="J83" s="5" t="n"/>
      <c r="K83" s="5" t="n"/>
      <c r="L83" s="5" t="n"/>
      <c r="M83" s="9" t="n"/>
      <c r="N83" s="9" t="n"/>
      <c r="O83" s="9" t="n"/>
      <c r="P83" s="9" t="n"/>
      <c r="Q83" s="9" t="n"/>
      <c r="R83" s="8">
        <f>IF($A83="","",COUNTIF(INV_Product,$A83))</f>
        <v/>
      </c>
      <c r="S83" s="8">
        <f>IF($A83="","",COUNTIFS(INV_Product,$A83,INV_Status,"Available"))</f>
        <v/>
      </c>
      <c r="T83" s="8">
        <f>IF($D83="","",IF(COUNTIFS(DD_PairCategory,$C83,DD_Subcategory,$D83)&gt;0,"ok","✗ "&amp;$D83&amp;" is not under "&amp;$C83))</f>
        <v/>
      </c>
      <c r="U83" s="8">
        <f>IF($F83="","",IF(COUNTIFS(PM_Brand,$E83,PM_Model,$F83)&gt;1,"⚠ duplicate product",IF(AND($B83&lt;&gt;"",COUNTIF(PM_Short,$B83)&gt;1),"⚠ short code reused","")))</f>
        <v/>
      </c>
      <c r="V83" s="5" t="n"/>
    </row>
    <row r="84">
      <c r="A84" s="8">
        <f>IF($F84="","","PRD-"&amp;TEXT(ROW()-3,"0000"))</f>
        <v/>
      </c>
      <c r="B84" s="5" t="n"/>
      <c r="C84" s="5" t="n"/>
      <c r="D84" s="5" t="n"/>
      <c r="E84" s="5" t="n"/>
      <c r="F84" s="5" t="n"/>
      <c r="G84" s="5" t="n"/>
      <c r="H84" s="5" t="n"/>
      <c r="I84" s="5" t="n"/>
      <c r="J84" s="5" t="n"/>
      <c r="K84" s="5" t="n"/>
      <c r="L84" s="5" t="n"/>
      <c r="M84" s="9" t="n"/>
      <c r="N84" s="9" t="n"/>
      <c r="O84" s="9" t="n"/>
      <c r="P84" s="9" t="n"/>
      <c r="Q84" s="9" t="n"/>
      <c r="R84" s="8">
        <f>IF($A84="","",COUNTIF(INV_Product,$A84))</f>
        <v/>
      </c>
      <c r="S84" s="8">
        <f>IF($A84="","",COUNTIFS(INV_Product,$A84,INV_Status,"Available"))</f>
        <v/>
      </c>
      <c r="T84" s="8">
        <f>IF($D84="","",IF(COUNTIFS(DD_PairCategory,$C84,DD_Subcategory,$D84)&gt;0,"ok","✗ "&amp;$D84&amp;" is not under "&amp;$C84))</f>
        <v/>
      </c>
      <c r="U84" s="8">
        <f>IF($F84="","",IF(COUNTIFS(PM_Brand,$E84,PM_Model,$F84)&gt;1,"⚠ duplicate product",IF(AND($B84&lt;&gt;"",COUNTIF(PM_Short,$B84)&gt;1),"⚠ short code reused","")))</f>
        <v/>
      </c>
      <c r="V84" s="5" t="n"/>
    </row>
    <row r="85">
      <c r="A85" s="8">
        <f>IF($F85="","","PRD-"&amp;TEXT(ROW()-3,"0000"))</f>
        <v/>
      </c>
      <c r="B85" s="5" t="n"/>
      <c r="C85" s="5" t="n"/>
      <c r="D85" s="5" t="n"/>
      <c r="E85" s="5" t="n"/>
      <c r="F85" s="5" t="n"/>
      <c r="G85" s="5" t="n"/>
      <c r="H85" s="5" t="n"/>
      <c r="I85" s="5" t="n"/>
      <c r="J85" s="5" t="n"/>
      <c r="K85" s="5" t="n"/>
      <c r="L85" s="5" t="n"/>
      <c r="M85" s="9" t="n"/>
      <c r="N85" s="9" t="n"/>
      <c r="O85" s="9" t="n"/>
      <c r="P85" s="9" t="n"/>
      <c r="Q85" s="9" t="n"/>
      <c r="R85" s="8">
        <f>IF($A85="","",COUNTIF(INV_Product,$A85))</f>
        <v/>
      </c>
      <c r="S85" s="8">
        <f>IF($A85="","",COUNTIFS(INV_Product,$A85,INV_Status,"Available"))</f>
        <v/>
      </c>
      <c r="T85" s="8">
        <f>IF($D85="","",IF(COUNTIFS(DD_PairCategory,$C85,DD_Subcategory,$D85)&gt;0,"ok","✗ "&amp;$D85&amp;" is not under "&amp;$C85))</f>
        <v/>
      </c>
      <c r="U85" s="8">
        <f>IF($F85="","",IF(COUNTIFS(PM_Brand,$E85,PM_Model,$F85)&gt;1,"⚠ duplicate product",IF(AND($B85&lt;&gt;"",COUNTIF(PM_Short,$B85)&gt;1),"⚠ short code reused","")))</f>
        <v/>
      </c>
      <c r="V85" s="5" t="n"/>
    </row>
    <row r="86">
      <c r="A86" s="8">
        <f>IF($F86="","","PRD-"&amp;TEXT(ROW()-3,"0000"))</f>
        <v/>
      </c>
      <c r="B86" s="5" t="n"/>
      <c r="C86" s="5" t="n"/>
      <c r="D86" s="5" t="n"/>
      <c r="E86" s="5" t="n"/>
      <c r="F86" s="5" t="n"/>
      <c r="G86" s="5" t="n"/>
      <c r="H86" s="5" t="n"/>
      <c r="I86" s="5" t="n"/>
      <c r="J86" s="5" t="n"/>
      <c r="K86" s="5" t="n"/>
      <c r="L86" s="5" t="n"/>
      <c r="M86" s="9" t="n"/>
      <c r="N86" s="9" t="n"/>
      <c r="O86" s="9" t="n"/>
      <c r="P86" s="9" t="n"/>
      <c r="Q86" s="9" t="n"/>
      <c r="R86" s="8">
        <f>IF($A86="","",COUNTIF(INV_Product,$A86))</f>
        <v/>
      </c>
      <c r="S86" s="8">
        <f>IF($A86="","",COUNTIFS(INV_Product,$A86,INV_Status,"Available"))</f>
        <v/>
      </c>
      <c r="T86" s="8">
        <f>IF($D86="","",IF(COUNTIFS(DD_PairCategory,$C86,DD_Subcategory,$D86)&gt;0,"ok","✗ "&amp;$D86&amp;" is not under "&amp;$C86))</f>
        <v/>
      </c>
      <c r="U86" s="8">
        <f>IF($F86="","",IF(COUNTIFS(PM_Brand,$E86,PM_Model,$F86)&gt;1,"⚠ duplicate product",IF(AND($B86&lt;&gt;"",COUNTIF(PM_Short,$B86)&gt;1),"⚠ short code reused","")))</f>
        <v/>
      </c>
      <c r="V86" s="5" t="n"/>
    </row>
    <row r="87">
      <c r="A87" s="8">
        <f>IF($F87="","","PRD-"&amp;TEXT(ROW()-3,"0000"))</f>
        <v/>
      </c>
      <c r="B87" s="5" t="n"/>
      <c r="C87" s="5" t="n"/>
      <c r="D87" s="5" t="n"/>
      <c r="E87" s="5" t="n"/>
      <c r="F87" s="5" t="n"/>
      <c r="G87" s="5" t="n"/>
      <c r="H87" s="5" t="n"/>
      <c r="I87" s="5" t="n"/>
      <c r="J87" s="5" t="n"/>
      <c r="K87" s="5" t="n"/>
      <c r="L87" s="5" t="n"/>
      <c r="M87" s="9" t="n"/>
      <c r="N87" s="9" t="n"/>
      <c r="O87" s="9" t="n"/>
      <c r="P87" s="9" t="n"/>
      <c r="Q87" s="9" t="n"/>
      <c r="R87" s="8">
        <f>IF($A87="","",COUNTIF(INV_Product,$A87))</f>
        <v/>
      </c>
      <c r="S87" s="8">
        <f>IF($A87="","",COUNTIFS(INV_Product,$A87,INV_Status,"Available"))</f>
        <v/>
      </c>
      <c r="T87" s="8">
        <f>IF($D87="","",IF(COUNTIFS(DD_PairCategory,$C87,DD_Subcategory,$D87)&gt;0,"ok","✗ "&amp;$D87&amp;" is not under "&amp;$C87))</f>
        <v/>
      </c>
      <c r="U87" s="8">
        <f>IF($F87="","",IF(COUNTIFS(PM_Brand,$E87,PM_Model,$F87)&gt;1,"⚠ duplicate product",IF(AND($B87&lt;&gt;"",COUNTIF(PM_Short,$B87)&gt;1),"⚠ short code reused","")))</f>
        <v/>
      </c>
      <c r="V87" s="5" t="n"/>
    </row>
    <row r="88">
      <c r="A88" s="8">
        <f>IF($F88="","","PRD-"&amp;TEXT(ROW()-3,"0000"))</f>
        <v/>
      </c>
      <c r="B88" s="5" t="n"/>
      <c r="C88" s="5" t="n"/>
      <c r="D88" s="5" t="n"/>
      <c r="E88" s="5" t="n"/>
      <c r="F88" s="5" t="n"/>
      <c r="G88" s="5" t="n"/>
      <c r="H88" s="5" t="n"/>
      <c r="I88" s="5" t="n"/>
      <c r="J88" s="5" t="n"/>
      <c r="K88" s="5" t="n"/>
      <c r="L88" s="5" t="n"/>
      <c r="M88" s="9" t="n"/>
      <c r="N88" s="9" t="n"/>
      <c r="O88" s="9" t="n"/>
      <c r="P88" s="9" t="n"/>
      <c r="Q88" s="9" t="n"/>
      <c r="R88" s="8">
        <f>IF($A88="","",COUNTIF(INV_Product,$A88))</f>
        <v/>
      </c>
      <c r="S88" s="8">
        <f>IF($A88="","",COUNTIFS(INV_Product,$A88,INV_Status,"Available"))</f>
        <v/>
      </c>
      <c r="T88" s="8">
        <f>IF($D88="","",IF(COUNTIFS(DD_PairCategory,$C88,DD_Subcategory,$D88)&gt;0,"ok","✗ "&amp;$D88&amp;" is not under "&amp;$C88))</f>
        <v/>
      </c>
      <c r="U88" s="8">
        <f>IF($F88="","",IF(COUNTIFS(PM_Brand,$E88,PM_Model,$F88)&gt;1,"⚠ duplicate product",IF(AND($B88&lt;&gt;"",COUNTIF(PM_Short,$B88)&gt;1),"⚠ short code reused","")))</f>
        <v/>
      </c>
      <c r="V88" s="5" t="n"/>
    </row>
    <row r="89">
      <c r="A89" s="8">
        <f>IF($F89="","","PRD-"&amp;TEXT(ROW()-3,"0000"))</f>
        <v/>
      </c>
      <c r="B89" s="5" t="n"/>
      <c r="C89" s="5" t="n"/>
      <c r="D89" s="5" t="n"/>
      <c r="E89" s="5" t="n"/>
      <c r="F89" s="5" t="n"/>
      <c r="G89" s="5" t="n"/>
      <c r="H89" s="5" t="n"/>
      <c r="I89" s="5" t="n"/>
      <c r="J89" s="5" t="n"/>
      <c r="K89" s="5" t="n"/>
      <c r="L89" s="5" t="n"/>
      <c r="M89" s="9" t="n"/>
      <c r="N89" s="9" t="n"/>
      <c r="O89" s="9" t="n"/>
      <c r="P89" s="9" t="n"/>
      <c r="Q89" s="9" t="n"/>
      <c r="R89" s="8">
        <f>IF($A89="","",COUNTIF(INV_Product,$A89))</f>
        <v/>
      </c>
      <c r="S89" s="8">
        <f>IF($A89="","",COUNTIFS(INV_Product,$A89,INV_Status,"Available"))</f>
        <v/>
      </c>
      <c r="T89" s="8">
        <f>IF($D89="","",IF(COUNTIFS(DD_PairCategory,$C89,DD_Subcategory,$D89)&gt;0,"ok","✗ "&amp;$D89&amp;" is not under "&amp;$C89))</f>
        <v/>
      </c>
      <c r="U89" s="8">
        <f>IF($F89="","",IF(COUNTIFS(PM_Brand,$E89,PM_Model,$F89)&gt;1,"⚠ duplicate product",IF(AND($B89&lt;&gt;"",COUNTIF(PM_Short,$B89)&gt;1),"⚠ short code reused","")))</f>
        <v/>
      </c>
      <c r="V89" s="5" t="n"/>
    </row>
    <row r="90">
      <c r="A90" s="8">
        <f>IF($F90="","","PRD-"&amp;TEXT(ROW()-3,"0000"))</f>
        <v/>
      </c>
      <c r="B90" s="5" t="n"/>
      <c r="C90" s="5" t="n"/>
      <c r="D90" s="5" t="n"/>
      <c r="E90" s="5" t="n"/>
      <c r="F90" s="5" t="n"/>
      <c r="G90" s="5" t="n"/>
      <c r="H90" s="5" t="n"/>
      <c r="I90" s="5" t="n"/>
      <c r="J90" s="5" t="n"/>
      <c r="K90" s="5" t="n"/>
      <c r="L90" s="5" t="n"/>
      <c r="M90" s="9" t="n"/>
      <c r="N90" s="9" t="n"/>
      <c r="O90" s="9" t="n"/>
      <c r="P90" s="9" t="n"/>
      <c r="Q90" s="9" t="n"/>
      <c r="R90" s="8">
        <f>IF($A90="","",COUNTIF(INV_Product,$A90))</f>
        <v/>
      </c>
      <c r="S90" s="8">
        <f>IF($A90="","",COUNTIFS(INV_Product,$A90,INV_Status,"Available"))</f>
        <v/>
      </c>
      <c r="T90" s="8">
        <f>IF($D90="","",IF(COUNTIFS(DD_PairCategory,$C90,DD_Subcategory,$D90)&gt;0,"ok","✗ "&amp;$D90&amp;" is not under "&amp;$C90))</f>
        <v/>
      </c>
      <c r="U90" s="8">
        <f>IF($F90="","",IF(COUNTIFS(PM_Brand,$E90,PM_Model,$F90)&gt;1,"⚠ duplicate product",IF(AND($B90&lt;&gt;"",COUNTIF(PM_Short,$B90)&gt;1),"⚠ short code reused","")))</f>
        <v/>
      </c>
      <c r="V90" s="5" t="n"/>
    </row>
    <row r="91">
      <c r="A91" s="8">
        <f>IF($F91="","","PRD-"&amp;TEXT(ROW()-3,"0000"))</f>
        <v/>
      </c>
      <c r="B91" s="5" t="n"/>
      <c r="C91" s="5" t="n"/>
      <c r="D91" s="5" t="n"/>
      <c r="E91" s="5" t="n"/>
      <c r="F91" s="5" t="n"/>
      <c r="G91" s="5" t="n"/>
      <c r="H91" s="5" t="n"/>
      <c r="I91" s="5" t="n"/>
      <c r="J91" s="5" t="n"/>
      <c r="K91" s="5" t="n"/>
      <c r="L91" s="5" t="n"/>
      <c r="M91" s="9" t="n"/>
      <c r="N91" s="9" t="n"/>
      <c r="O91" s="9" t="n"/>
      <c r="P91" s="9" t="n"/>
      <c r="Q91" s="9" t="n"/>
      <c r="R91" s="8">
        <f>IF($A91="","",COUNTIF(INV_Product,$A91))</f>
        <v/>
      </c>
      <c r="S91" s="8">
        <f>IF($A91="","",COUNTIFS(INV_Product,$A91,INV_Status,"Available"))</f>
        <v/>
      </c>
      <c r="T91" s="8">
        <f>IF($D91="","",IF(COUNTIFS(DD_PairCategory,$C91,DD_Subcategory,$D91)&gt;0,"ok","✗ "&amp;$D91&amp;" is not under "&amp;$C91))</f>
        <v/>
      </c>
      <c r="U91" s="8">
        <f>IF($F91="","",IF(COUNTIFS(PM_Brand,$E91,PM_Model,$F91)&gt;1,"⚠ duplicate product",IF(AND($B91&lt;&gt;"",COUNTIF(PM_Short,$B91)&gt;1),"⚠ short code reused","")))</f>
        <v/>
      </c>
      <c r="V91" s="5" t="n"/>
    </row>
    <row r="92">
      <c r="A92" s="8">
        <f>IF($F92="","","PRD-"&amp;TEXT(ROW()-3,"0000"))</f>
        <v/>
      </c>
      <c r="B92" s="5" t="n"/>
      <c r="C92" s="5" t="n"/>
      <c r="D92" s="5" t="n"/>
      <c r="E92" s="5" t="n"/>
      <c r="F92" s="5" t="n"/>
      <c r="G92" s="5" t="n"/>
      <c r="H92" s="5" t="n"/>
      <c r="I92" s="5" t="n"/>
      <c r="J92" s="5" t="n"/>
      <c r="K92" s="5" t="n"/>
      <c r="L92" s="5" t="n"/>
      <c r="M92" s="9" t="n"/>
      <c r="N92" s="9" t="n"/>
      <c r="O92" s="9" t="n"/>
      <c r="P92" s="9" t="n"/>
      <c r="Q92" s="9" t="n"/>
      <c r="R92" s="8">
        <f>IF($A92="","",COUNTIF(INV_Product,$A92))</f>
        <v/>
      </c>
      <c r="S92" s="8">
        <f>IF($A92="","",COUNTIFS(INV_Product,$A92,INV_Status,"Available"))</f>
        <v/>
      </c>
      <c r="T92" s="8">
        <f>IF($D92="","",IF(COUNTIFS(DD_PairCategory,$C92,DD_Subcategory,$D92)&gt;0,"ok","✗ "&amp;$D92&amp;" is not under "&amp;$C92))</f>
        <v/>
      </c>
      <c r="U92" s="8">
        <f>IF($F92="","",IF(COUNTIFS(PM_Brand,$E92,PM_Model,$F92)&gt;1,"⚠ duplicate product",IF(AND($B92&lt;&gt;"",COUNTIF(PM_Short,$B92)&gt;1),"⚠ short code reused","")))</f>
        <v/>
      </c>
      <c r="V92" s="5" t="n"/>
    </row>
    <row r="93">
      <c r="A93" s="8">
        <f>IF($F93="","","PRD-"&amp;TEXT(ROW()-3,"0000"))</f>
        <v/>
      </c>
      <c r="B93" s="5" t="n"/>
      <c r="C93" s="5" t="n"/>
      <c r="D93" s="5" t="n"/>
      <c r="E93" s="5" t="n"/>
      <c r="F93" s="5" t="n"/>
      <c r="G93" s="5" t="n"/>
      <c r="H93" s="5" t="n"/>
      <c r="I93" s="5" t="n"/>
      <c r="J93" s="5" t="n"/>
      <c r="K93" s="5" t="n"/>
      <c r="L93" s="5" t="n"/>
      <c r="M93" s="9" t="n"/>
      <c r="N93" s="9" t="n"/>
      <c r="O93" s="9" t="n"/>
      <c r="P93" s="9" t="n"/>
      <c r="Q93" s="9" t="n"/>
      <c r="R93" s="8">
        <f>IF($A93="","",COUNTIF(INV_Product,$A93))</f>
        <v/>
      </c>
      <c r="S93" s="8">
        <f>IF($A93="","",COUNTIFS(INV_Product,$A93,INV_Status,"Available"))</f>
        <v/>
      </c>
      <c r="T93" s="8">
        <f>IF($D93="","",IF(COUNTIFS(DD_PairCategory,$C93,DD_Subcategory,$D93)&gt;0,"ok","✗ "&amp;$D93&amp;" is not under "&amp;$C93))</f>
        <v/>
      </c>
      <c r="U93" s="8">
        <f>IF($F93="","",IF(COUNTIFS(PM_Brand,$E93,PM_Model,$F93)&gt;1,"⚠ duplicate product",IF(AND($B93&lt;&gt;"",COUNTIF(PM_Short,$B93)&gt;1),"⚠ short code reused","")))</f>
        <v/>
      </c>
      <c r="V93" s="5" t="n"/>
    </row>
    <row r="94">
      <c r="A94" s="8">
        <f>IF($F94="","","PRD-"&amp;TEXT(ROW()-3,"0000"))</f>
        <v/>
      </c>
      <c r="B94" s="5" t="n"/>
      <c r="C94" s="5" t="n"/>
      <c r="D94" s="5" t="n"/>
      <c r="E94" s="5" t="n"/>
      <c r="F94" s="5" t="n"/>
      <c r="G94" s="5" t="n"/>
      <c r="H94" s="5" t="n"/>
      <c r="I94" s="5" t="n"/>
      <c r="J94" s="5" t="n"/>
      <c r="K94" s="5" t="n"/>
      <c r="L94" s="5" t="n"/>
      <c r="M94" s="9" t="n"/>
      <c r="N94" s="9" t="n"/>
      <c r="O94" s="9" t="n"/>
      <c r="P94" s="9" t="n"/>
      <c r="Q94" s="9" t="n"/>
      <c r="R94" s="8">
        <f>IF($A94="","",COUNTIF(INV_Product,$A94))</f>
        <v/>
      </c>
      <c r="S94" s="8">
        <f>IF($A94="","",COUNTIFS(INV_Product,$A94,INV_Status,"Available"))</f>
        <v/>
      </c>
      <c r="T94" s="8">
        <f>IF($D94="","",IF(COUNTIFS(DD_PairCategory,$C94,DD_Subcategory,$D94)&gt;0,"ok","✗ "&amp;$D94&amp;" is not under "&amp;$C94))</f>
        <v/>
      </c>
      <c r="U94" s="8">
        <f>IF($F94="","",IF(COUNTIFS(PM_Brand,$E94,PM_Model,$F94)&gt;1,"⚠ duplicate product",IF(AND($B94&lt;&gt;"",COUNTIF(PM_Short,$B94)&gt;1),"⚠ short code reused","")))</f>
        <v/>
      </c>
      <c r="V94" s="5" t="n"/>
    </row>
    <row r="95">
      <c r="A95" s="8">
        <f>IF($F95="","","PRD-"&amp;TEXT(ROW()-3,"0000"))</f>
        <v/>
      </c>
      <c r="B95" s="5" t="n"/>
      <c r="C95" s="5" t="n"/>
      <c r="D95" s="5" t="n"/>
      <c r="E95" s="5" t="n"/>
      <c r="F95" s="5" t="n"/>
      <c r="G95" s="5" t="n"/>
      <c r="H95" s="5" t="n"/>
      <c r="I95" s="5" t="n"/>
      <c r="J95" s="5" t="n"/>
      <c r="K95" s="5" t="n"/>
      <c r="L95" s="5" t="n"/>
      <c r="M95" s="9" t="n"/>
      <c r="N95" s="9" t="n"/>
      <c r="O95" s="9" t="n"/>
      <c r="P95" s="9" t="n"/>
      <c r="Q95" s="9" t="n"/>
      <c r="R95" s="8">
        <f>IF($A95="","",COUNTIF(INV_Product,$A95))</f>
        <v/>
      </c>
      <c r="S95" s="8">
        <f>IF($A95="","",COUNTIFS(INV_Product,$A95,INV_Status,"Available"))</f>
        <v/>
      </c>
      <c r="T95" s="8">
        <f>IF($D95="","",IF(COUNTIFS(DD_PairCategory,$C95,DD_Subcategory,$D95)&gt;0,"ok","✗ "&amp;$D95&amp;" is not under "&amp;$C95))</f>
        <v/>
      </c>
      <c r="U95" s="8">
        <f>IF($F95="","",IF(COUNTIFS(PM_Brand,$E95,PM_Model,$F95)&gt;1,"⚠ duplicate product",IF(AND($B95&lt;&gt;"",COUNTIF(PM_Short,$B95)&gt;1),"⚠ short code reused","")))</f>
        <v/>
      </c>
      <c r="V95" s="5" t="n"/>
    </row>
    <row r="96">
      <c r="A96" s="8">
        <f>IF($F96="","","PRD-"&amp;TEXT(ROW()-3,"0000"))</f>
        <v/>
      </c>
      <c r="B96" s="5" t="n"/>
      <c r="C96" s="5" t="n"/>
      <c r="D96" s="5" t="n"/>
      <c r="E96" s="5" t="n"/>
      <c r="F96" s="5" t="n"/>
      <c r="G96" s="5" t="n"/>
      <c r="H96" s="5" t="n"/>
      <c r="I96" s="5" t="n"/>
      <c r="J96" s="5" t="n"/>
      <c r="K96" s="5" t="n"/>
      <c r="L96" s="5" t="n"/>
      <c r="M96" s="9" t="n"/>
      <c r="N96" s="9" t="n"/>
      <c r="O96" s="9" t="n"/>
      <c r="P96" s="9" t="n"/>
      <c r="Q96" s="9" t="n"/>
      <c r="R96" s="8">
        <f>IF($A96="","",COUNTIF(INV_Product,$A96))</f>
        <v/>
      </c>
      <c r="S96" s="8">
        <f>IF($A96="","",COUNTIFS(INV_Product,$A96,INV_Status,"Available"))</f>
        <v/>
      </c>
      <c r="T96" s="8">
        <f>IF($D96="","",IF(COUNTIFS(DD_PairCategory,$C96,DD_Subcategory,$D96)&gt;0,"ok","✗ "&amp;$D96&amp;" is not under "&amp;$C96))</f>
        <v/>
      </c>
      <c r="U96" s="8">
        <f>IF($F96="","",IF(COUNTIFS(PM_Brand,$E96,PM_Model,$F96)&gt;1,"⚠ duplicate product",IF(AND($B96&lt;&gt;"",COUNTIF(PM_Short,$B96)&gt;1),"⚠ short code reused","")))</f>
        <v/>
      </c>
      <c r="V96" s="5" t="n"/>
    </row>
    <row r="97">
      <c r="A97" s="8">
        <f>IF($F97="","","PRD-"&amp;TEXT(ROW()-3,"0000"))</f>
        <v/>
      </c>
      <c r="B97" s="5" t="n"/>
      <c r="C97" s="5" t="n"/>
      <c r="D97" s="5" t="n"/>
      <c r="E97" s="5" t="n"/>
      <c r="F97" s="5" t="n"/>
      <c r="G97" s="5" t="n"/>
      <c r="H97" s="5" t="n"/>
      <c r="I97" s="5" t="n"/>
      <c r="J97" s="5" t="n"/>
      <c r="K97" s="5" t="n"/>
      <c r="L97" s="5" t="n"/>
      <c r="M97" s="9" t="n"/>
      <c r="N97" s="9" t="n"/>
      <c r="O97" s="9" t="n"/>
      <c r="P97" s="9" t="n"/>
      <c r="Q97" s="9" t="n"/>
      <c r="R97" s="8">
        <f>IF($A97="","",COUNTIF(INV_Product,$A97))</f>
        <v/>
      </c>
      <c r="S97" s="8">
        <f>IF($A97="","",COUNTIFS(INV_Product,$A97,INV_Status,"Available"))</f>
        <v/>
      </c>
      <c r="T97" s="8">
        <f>IF($D97="","",IF(COUNTIFS(DD_PairCategory,$C97,DD_Subcategory,$D97)&gt;0,"ok","✗ "&amp;$D97&amp;" is not under "&amp;$C97))</f>
        <v/>
      </c>
      <c r="U97" s="8">
        <f>IF($F97="","",IF(COUNTIFS(PM_Brand,$E97,PM_Model,$F97)&gt;1,"⚠ duplicate product",IF(AND($B97&lt;&gt;"",COUNTIF(PM_Short,$B97)&gt;1),"⚠ short code reused","")))</f>
        <v/>
      </c>
      <c r="V97" s="5" t="n"/>
    </row>
    <row r="98">
      <c r="A98" s="8">
        <f>IF($F98="","","PRD-"&amp;TEXT(ROW()-3,"0000"))</f>
        <v/>
      </c>
      <c r="B98" s="5" t="n"/>
      <c r="C98" s="5" t="n"/>
      <c r="D98" s="5" t="n"/>
      <c r="E98" s="5" t="n"/>
      <c r="F98" s="5" t="n"/>
      <c r="G98" s="5" t="n"/>
      <c r="H98" s="5" t="n"/>
      <c r="I98" s="5" t="n"/>
      <c r="J98" s="5" t="n"/>
      <c r="K98" s="5" t="n"/>
      <c r="L98" s="5" t="n"/>
      <c r="M98" s="9" t="n"/>
      <c r="N98" s="9" t="n"/>
      <c r="O98" s="9" t="n"/>
      <c r="P98" s="9" t="n"/>
      <c r="Q98" s="9" t="n"/>
      <c r="R98" s="8">
        <f>IF($A98="","",COUNTIF(INV_Product,$A98))</f>
        <v/>
      </c>
      <c r="S98" s="8">
        <f>IF($A98="","",COUNTIFS(INV_Product,$A98,INV_Status,"Available"))</f>
        <v/>
      </c>
      <c r="T98" s="8">
        <f>IF($D98="","",IF(COUNTIFS(DD_PairCategory,$C98,DD_Subcategory,$D98)&gt;0,"ok","✗ "&amp;$D98&amp;" is not under "&amp;$C98))</f>
        <v/>
      </c>
      <c r="U98" s="8">
        <f>IF($F98="","",IF(COUNTIFS(PM_Brand,$E98,PM_Model,$F98)&gt;1,"⚠ duplicate product",IF(AND($B98&lt;&gt;"",COUNTIF(PM_Short,$B98)&gt;1),"⚠ short code reused","")))</f>
        <v/>
      </c>
      <c r="V98" s="5" t="n"/>
    </row>
    <row r="99">
      <c r="A99" s="8">
        <f>IF($F99="","","PRD-"&amp;TEXT(ROW()-3,"0000"))</f>
        <v/>
      </c>
      <c r="B99" s="5" t="n"/>
      <c r="C99" s="5" t="n"/>
      <c r="D99" s="5" t="n"/>
      <c r="E99" s="5" t="n"/>
      <c r="F99" s="5" t="n"/>
      <c r="G99" s="5" t="n"/>
      <c r="H99" s="5" t="n"/>
      <c r="I99" s="5" t="n"/>
      <c r="J99" s="5" t="n"/>
      <c r="K99" s="5" t="n"/>
      <c r="L99" s="5" t="n"/>
      <c r="M99" s="9" t="n"/>
      <c r="N99" s="9" t="n"/>
      <c r="O99" s="9" t="n"/>
      <c r="P99" s="9" t="n"/>
      <c r="Q99" s="9" t="n"/>
      <c r="R99" s="8">
        <f>IF($A99="","",COUNTIF(INV_Product,$A99))</f>
        <v/>
      </c>
      <c r="S99" s="8">
        <f>IF($A99="","",COUNTIFS(INV_Product,$A99,INV_Status,"Available"))</f>
        <v/>
      </c>
      <c r="T99" s="8">
        <f>IF($D99="","",IF(COUNTIFS(DD_PairCategory,$C99,DD_Subcategory,$D99)&gt;0,"ok","✗ "&amp;$D99&amp;" is not under "&amp;$C99))</f>
        <v/>
      </c>
      <c r="U99" s="8">
        <f>IF($F99="","",IF(COUNTIFS(PM_Brand,$E99,PM_Model,$F99)&gt;1,"⚠ duplicate product",IF(AND($B99&lt;&gt;"",COUNTIF(PM_Short,$B99)&gt;1),"⚠ short code reused","")))</f>
        <v/>
      </c>
      <c r="V99" s="5" t="n"/>
    </row>
    <row r="100">
      <c r="A100" s="8">
        <f>IF($F100="","","PRD-"&amp;TEXT(ROW()-3,"0000"))</f>
        <v/>
      </c>
      <c r="B100" s="5" t="n"/>
      <c r="C100" s="5" t="n"/>
      <c r="D100" s="5" t="n"/>
      <c r="E100" s="5" t="n"/>
      <c r="F100" s="5" t="n"/>
      <c r="G100" s="5" t="n"/>
      <c r="H100" s="5" t="n"/>
      <c r="I100" s="5" t="n"/>
      <c r="J100" s="5" t="n"/>
      <c r="K100" s="5" t="n"/>
      <c r="L100" s="5" t="n"/>
      <c r="M100" s="9" t="n"/>
      <c r="N100" s="9" t="n"/>
      <c r="O100" s="9" t="n"/>
      <c r="P100" s="9" t="n"/>
      <c r="Q100" s="9" t="n"/>
      <c r="R100" s="8">
        <f>IF($A100="","",COUNTIF(INV_Product,$A100))</f>
        <v/>
      </c>
      <c r="S100" s="8">
        <f>IF($A100="","",COUNTIFS(INV_Product,$A100,INV_Status,"Available"))</f>
        <v/>
      </c>
      <c r="T100" s="8">
        <f>IF($D100="","",IF(COUNTIFS(DD_PairCategory,$C100,DD_Subcategory,$D100)&gt;0,"ok","✗ "&amp;$D100&amp;" is not under "&amp;$C100))</f>
        <v/>
      </c>
      <c r="U100" s="8">
        <f>IF($F100="","",IF(COUNTIFS(PM_Brand,$E100,PM_Model,$F100)&gt;1,"⚠ duplicate product",IF(AND($B100&lt;&gt;"",COUNTIF(PM_Short,$B100)&gt;1),"⚠ short code reused","")))</f>
        <v/>
      </c>
      <c r="V100" s="5" t="n"/>
    </row>
    <row r="101">
      <c r="A101" s="8">
        <f>IF($F101="","","PRD-"&amp;TEXT(ROW()-3,"0000"))</f>
        <v/>
      </c>
      <c r="B101" s="5" t="n"/>
      <c r="C101" s="5" t="n"/>
      <c r="D101" s="5" t="n"/>
      <c r="E101" s="5" t="n"/>
      <c r="F101" s="5" t="n"/>
      <c r="G101" s="5" t="n"/>
      <c r="H101" s="5" t="n"/>
      <c r="I101" s="5" t="n"/>
      <c r="J101" s="5" t="n"/>
      <c r="K101" s="5" t="n"/>
      <c r="L101" s="5" t="n"/>
      <c r="M101" s="9" t="n"/>
      <c r="N101" s="9" t="n"/>
      <c r="O101" s="9" t="n"/>
      <c r="P101" s="9" t="n"/>
      <c r="Q101" s="9" t="n"/>
      <c r="R101" s="8">
        <f>IF($A101="","",COUNTIF(INV_Product,$A101))</f>
        <v/>
      </c>
      <c r="S101" s="8">
        <f>IF($A101="","",COUNTIFS(INV_Product,$A101,INV_Status,"Available"))</f>
        <v/>
      </c>
      <c r="T101" s="8">
        <f>IF($D101="","",IF(COUNTIFS(DD_PairCategory,$C101,DD_Subcategory,$D101)&gt;0,"ok","✗ "&amp;$D101&amp;" is not under "&amp;$C101))</f>
        <v/>
      </c>
      <c r="U101" s="8">
        <f>IF($F101="","",IF(COUNTIFS(PM_Brand,$E101,PM_Model,$F101)&gt;1,"⚠ duplicate product",IF(AND($B101&lt;&gt;"",COUNTIF(PM_Short,$B101)&gt;1),"⚠ short code reused","")))</f>
        <v/>
      </c>
      <c r="V101" s="5" t="n"/>
    </row>
    <row r="102">
      <c r="A102" s="8">
        <f>IF($F102="","","PRD-"&amp;TEXT(ROW()-3,"0000"))</f>
        <v/>
      </c>
      <c r="B102" s="5" t="n"/>
      <c r="C102" s="5" t="n"/>
      <c r="D102" s="5" t="n"/>
      <c r="E102" s="5" t="n"/>
      <c r="F102" s="5" t="n"/>
      <c r="G102" s="5" t="n"/>
      <c r="H102" s="5" t="n"/>
      <c r="I102" s="5" t="n"/>
      <c r="J102" s="5" t="n"/>
      <c r="K102" s="5" t="n"/>
      <c r="L102" s="5" t="n"/>
      <c r="M102" s="9" t="n"/>
      <c r="N102" s="9" t="n"/>
      <c r="O102" s="9" t="n"/>
      <c r="P102" s="9" t="n"/>
      <c r="Q102" s="9" t="n"/>
      <c r="R102" s="8">
        <f>IF($A102="","",COUNTIF(INV_Product,$A102))</f>
        <v/>
      </c>
      <c r="S102" s="8">
        <f>IF($A102="","",COUNTIFS(INV_Product,$A102,INV_Status,"Available"))</f>
        <v/>
      </c>
      <c r="T102" s="8">
        <f>IF($D102="","",IF(COUNTIFS(DD_PairCategory,$C102,DD_Subcategory,$D102)&gt;0,"ok","✗ "&amp;$D102&amp;" is not under "&amp;$C102))</f>
        <v/>
      </c>
      <c r="U102" s="8">
        <f>IF($F102="","",IF(COUNTIFS(PM_Brand,$E102,PM_Model,$F102)&gt;1,"⚠ duplicate product",IF(AND($B102&lt;&gt;"",COUNTIF(PM_Short,$B102)&gt;1),"⚠ short code reused","")))</f>
        <v/>
      </c>
      <c r="V102" s="5" t="n"/>
    </row>
    <row r="103">
      <c r="A103" s="8">
        <f>IF($F103="","","PRD-"&amp;TEXT(ROW()-3,"0000"))</f>
        <v/>
      </c>
      <c r="B103" s="5" t="n"/>
      <c r="C103" s="5" t="n"/>
      <c r="D103" s="5" t="n"/>
      <c r="E103" s="5" t="n"/>
      <c r="F103" s="5" t="n"/>
      <c r="G103" s="5" t="n"/>
      <c r="H103" s="5" t="n"/>
      <c r="I103" s="5" t="n"/>
      <c r="J103" s="5" t="n"/>
      <c r="K103" s="5" t="n"/>
      <c r="L103" s="5" t="n"/>
      <c r="M103" s="9" t="n"/>
      <c r="N103" s="9" t="n"/>
      <c r="O103" s="9" t="n"/>
      <c r="P103" s="9" t="n"/>
      <c r="Q103" s="9" t="n"/>
      <c r="R103" s="8">
        <f>IF($A103="","",COUNTIF(INV_Product,$A103))</f>
        <v/>
      </c>
      <c r="S103" s="8">
        <f>IF($A103="","",COUNTIFS(INV_Product,$A103,INV_Status,"Available"))</f>
        <v/>
      </c>
      <c r="T103" s="8">
        <f>IF($D103="","",IF(COUNTIFS(DD_PairCategory,$C103,DD_Subcategory,$D103)&gt;0,"ok","✗ "&amp;$D103&amp;" is not under "&amp;$C103))</f>
        <v/>
      </c>
      <c r="U103" s="8">
        <f>IF($F103="","",IF(COUNTIFS(PM_Brand,$E103,PM_Model,$F103)&gt;1,"⚠ duplicate product",IF(AND($B103&lt;&gt;"",COUNTIF(PM_Short,$B103)&gt;1),"⚠ short code reused","")))</f>
        <v/>
      </c>
      <c r="V103" s="5" t="n"/>
    </row>
    <row r="104">
      <c r="A104" s="8">
        <f>IF($F104="","","PRD-"&amp;TEXT(ROW()-3,"0000"))</f>
        <v/>
      </c>
      <c r="B104" s="5" t="n"/>
      <c r="C104" s="5" t="n"/>
      <c r="D104" s="5" t="n"/>
      <c r="E104" s="5" t="n"/>
      <c r="F104" s="5" t="n"/>
      <c r="G104" s="5" t="n"/>
      <c r="H104" s="5" t="n"/>
      <c r="I104" s="5" t="n"/>
      <c r="J104" s="5" t="n"/>
      <c r="K104" s="5" t="n"/>
      <c r="L104" s="5" t="n"/>
      <c r="M104" s="9" t="n"/>
      <c r="N104" s="9" t="n"/>
      <c r="O104" s="9" t="n"/>
      <c r="P104" s="9" t="n"/>
      <c r="Q104" s="9" t="n"/>
      <c r="R104" s="8">
        <f>IF($A104="","",COUNTIF(INV_Product,$A104))</f>
        <v/>
      </c>
      <c r="S104" s="8">
        <f>IF($A104="","",COUNTIFS(INV_Product,$A104,INV_Status,"Available"))</f>
        <v/>
      </c>
      <c r="T104" s="8">
        <f>IF($D104="","",IF(COUNTIFS(DD_PairCategory,$C104,DD_Subcategory,$D104)&gt;0,"ok","✗ "&amp;$D104&amp;" is not under "&amp;$C104))</f>
        <v/>
      </c>
      <c r="U104" s="8">
        <f>IF($F104="","",IF(COUNTIFS(PM_Brand,$E104,PM_Model,$F104)&gt;1,"⚠ duplicate product",IF(AND($B104&lt;&gt;"",COUNTIF(PM_Short,$B104)&gt;1),"⚠ short code reused","")))</f>
        <v/>
      </c>
      <c r="V104" s="5" t="n"/>
    </row>
    <row r="105">
      <c r="A105" s="8">
        <f>IF($F105="","","PRD-"&amp;TEXT(ROW()-3,"0000"))</f>
        <v/>
      </c>
      <c r="B105" s="5" t="n"/>
      <c r="C105" s="5" t="n"/>
      <c r="D105" s="5" t="n"/>
      <c r="E105" s="5" t="n"/>
      <c r="F105" s="5" t="n"/>
      <c r="G105" s="5" t="n"/>
      <c r="H105" s="5" t="n"/>
      <c r="I105" s="5" t="n"/>
      <c r="J105" s="5" t="n"/>
      <c r="K105" s="5" t="n"/>
      <c r="L105" s="5" t="n"/>
      <c r="M105" s="9" t="n"/>
      <c r="N105" s="9" t="n"/>
      <c r="O105" s="9" t="n"/>
      <c r="P105" s="9" t="n"/>
      <c r="Q105" s="9" t="n"/>
      <c r="R105" s="8">
        <f>IF($A105="","",COUNTIF(INV_Product,$A105))</f>
        <v/>
      </c>
      <c r="S105" s="8">
        <f>IF($A105="","",COUNTIFS(INV_Product,$A105,INV_Status,"Available"))</f>
        <v/>
      </c>
      <c r="T105" s="8">
        <f>IF($D105="","",IF(COUNTIFS(DD_PairCategory,$C105,DD_Subcategory,$D105)&gt;0,"ok","✗ "&amp;$D105&amp;" is not under "&amp;$C105))</f>
        <v/>
      </c>
      <c r="U105" s="8">
        <f>IF($F105="","",IF(COUNTIFS(PM_Brand,$E105,PM_Model,$F105)&gt;1,"⚠ duplicate product",IF(AND($B105&lt;&gt;"",COUNTIF(PM_Short,$B105)&gt;1),"⚠ short code reused","")))</f>
        <v/>
      </c>
      <c r="V105" s="5" t="n"/>
    </row>
    <row r="106">
      <c r="A106" s="8">
        <f>IF($F106="","","PRD-"&amp;TEXT(ROW()-3,"0000"))</f>
        <v/>
      </c>
      <c r="B106" s="5" t="n"/>
      <c r="C106" s="5" t="n"/>
      <c r="D106" s="5" t="n"/>
      <c r="E106" s="5" t="n"/>
      <c r="F106" s="5" t="n"/>
      <c r="G106" s="5" t="n"/>
      <c r="H106" s="5" t="n"/>
      <c r="I106" s="5" t="n"/>
      <c r="J106" s="5" t="n"/>
      <c r="K106" s="5" t="n"/>
      <c r="L106" s="5" t="n"/>
      <c r="M106" s="9" t="n"/>
      <c r="N106" s="9" t="n"/>
      <c r="O106" s="9" t="n"/>
      <c r="P106" s="9" t="n"/>
      <c r="Q106" s="9" t="n"/>
      <c r="R106" s="8">
        <f>IF($A106="","",COUNTIF(INV_Product,$A106))</f>
        <v/>
      </c>
      <c r="S106" s="8">
        <f>IF($A106="","",COUNTIFS(INV_Product,$A106,INV_Status,"Available"))</f>
        <v/>
      </c>
      <c r="T106" s="8">
        <f>IF($D106="","",IF(COUNTIFS(DD_PairCategory,$C106,DD_Subcategory,$D106)&gt;0,"ok","✗ "&amp;$D106&amp;" is not under "&amp;$C106))</f>
        <v/>
      </c>
      <c r="U106" s="8">
        <f>IF($F106="","",IF(COUNTIFS(PM_Brand,$E106,PM_Model,$F106)&gt;1,"⚠ duplicate product",IF(AND($B106&lt;&gt;"",COUNTIF(PM_Short,$B106)&gt;1),"⚠ short code reused","")))</f>
        <v/>
      </c>
      <c r="V106" s="5" t="n"/>
    </row>
    <row r="107">
      <c r="A107" s="8">
        <f>IF($F107="","","PRD-"&amp;TEXT(ROW()-3,"0000"))</f>
        <v/>
      </c>
      <c r="B107" s="5" t="n"/>
      <c r="C107" s="5" t="n"/>
      <c r="D107" s="5" t="n"/>
      <c r="E107" s="5" t="n"/>
      <c r="F107" s="5" t="n"/>
      <c r="G107" s="5" t="n"/>
      <c r="H107" s="5" t="n"/>
      <c r="I107" s="5" t="n"/>
      <c r="J107" s="5" t="n"/>
      <c r="K107" s="5" t="n"/>
      <c r="L107" s="5" t="n"/>
      <c r="M107" s="9" t="n"/>
      <c r="N107" s="9" t="n"/>
      <c r="O107" s="9" t="n"/>
      <c r="P107" s="9" t="n"/>
      <c r="Q107" s="9" t="n"/>
      <c r="R107" s="8">
        <f>IF($A107="","",COUNTIF(INV_Product,$A107))</f>
        <v/>
      </c>
      <c r="S107" s="8">
        <f>IF($A107="","",COUNTIFS(INV_Product,$A107,INV_Status,"Available"))</f>
        <v/>
      </c>
      <c r="T107" s="8">
        <f>IF($D107="","",IF(COUNTIFS(DD_PairCategory,$C107,DD_Subcategory,$D107)&gt;0,"ok","✗ "&amp;$D107&amp;" is not under "&amp;$C107))</f>
        <v/>
      </c>
      <c r="U107" s="8">
        <f>IF($F107="","",IF(COUNTIFS(PM_Brand,$E107,PM_Model,$F107)&gt;1,"⚠ duplicate product",IF(AND($B107&lt;&gt;"",COUNTIF(PM_Short,$B107)&gt;1),"⚠ short code reused","")))</f>
        <v/>
      </c>
      <c r="V107" s="5" t="n"/>
    </row>
    <row r="108">
      <c r="A108" s="8">
        <f>IF($F108="","","PRD-"&amp;TEXT(ROW()-3,"0000"))</f>
        <v/>
      </c>
      <c r="B108" s="5" t="n"/>
      <c r="C108" s="5" t="n"/>
      <c r="D108" s="5" t="n"/>
      <c r="E108" s="5" t="n"/>
      <c r="F108" s="5" t="n"/>
      <c r="G108" s="5" t="n"/>
      <c r="H108" s="5" t="n"/>
      <c r="I108" s="5" t="n"/>
      <c r="J108" s="5" t="n"/>
      <c r="K108" s="5" t="n"/>
      <c r="L108" s="5" t="n"/>
      <c r="M108" s="9" t="n"/>
      <c r="N108" s="9" t="n"/>
      <c r="O108" s="9" t="n"/>
      <c r="P108" s="9" t="n"/>
      <c r="Q108" s="9" t="n"/>
      <c r="R108" s="8">
        <f>IF($A108="","",COUNTIF(INV_Product,$A108))</f>
        <v/>
      </c>
      <c r="S108" s="8">
        <f>IF($A108="","",COUNTIFS(INV_Product,$A108,INV_Status,"Available"))</f>
        <v/>
      </c>
      <c r="T108" s="8">
        <f>IF($D108="","",IF(COUNTIFS(DD_PairCategory,$C108,DD_Subcategory,$D108)&gt;0,"ok","✗ "&amp;$D108&amp;" is not under "&amp;$C108))</f>
        <v/>
      </c>
      <c r="U108" s="8">
        <f>IF($F108="","",IF(COUNTIFS(PM_Brand,$E108,PM_Model,$F108)&gt;1,"⚠ duplicate product",IF(AND($B108&lt;&gt;"",COUNTIF(PM_Short,$B108)&gt;1),"⚠ short code reused","")))</f>
        <v/>
      </c>
      <c r="V108" s="5" t="n"/>
    </row>
    <row r="109">
      <c r="A109" s="8">
        <f>IF($F109="","","PRD-"&amp;TEXT(ROW()-3,"0000"))</f>
        <v/>
      </c>
      <c r="B109" s="5" t="n"/>
      <c r="C109" s="5" t="n"/>
      <c r="D109" s="5" t="n"/>
      <c r="E109" s="5" t="n"/>
      <c r="F109" s="5" t="n"/>
      <c r="G109" s="5" t="n"/>
      <c r="H109" s="5" t="n"/>
      <c r="I109" s="5" t="n"/>
      <c r="J109" s="5" t="n"/>
      <c r="K109" s="5" t="n"/>
      <c r="L109" s="5" t="n"/>
      <c r="M109" s="9" t="n"/>
      <c r="N109" s="9" t="n"/>
      <c r="O109" s="9" t="n"/>
      <c r="P109" s="9" t="n"/>
      <c r="Q109" s="9" t="n"/>
      <c r="R109" s="8">
        <f>IF($A109="","",COUNTIF(INV_Product,$A109))</f>
        <v/>
      </c>
      <c r="S109" s="8">
        <f>IF($A109="","",COUNTIFS(INV_Product,$A109,INV_Status,"Available"))</f>
        <v/>
      </c>
      <c r="T109" s="8">
        <f>IF($D109="","",IF(COUNTIFS(DD_PairCategory,$C109,DD_Subcategory,$D109)&gt;0,"ok","✗ "&amp;$D109&amp;" is not under "&amp;$C109))</f>
        <v/>
      </c>
      <c r="U109" s="8">
        <f>IF($F109="","",IF(COUNTIFS(PM_Brand,$E109,PM_Model,$F109)&gt;1,"⚠ duplicate product",IF(AND($B109&lt;&gt;"",COUNTIF(PM_Short,$B109)&gt;1),"⚠ short code reused","")))</f>
        <v/>
      </c>
      <c r="V109" s="5" t="n"/>
    </row>
    <row r="110">
      <c r="A110" s="8">
        <f>IF($F110="","","PRD-"&amp;TEXT(ROW()-3,"0000"))</f>
        <v/>
      </c>
      <c r="B110" s="5" t="n"/>
      <c r="C110" s="5" t="n"/>
      <c r="D110" s="5" t="n"/>
      <c r="E110" s="5" t="n"/>
      <c r="F110" s="5" t="n"/>
      <c r="G110" s="5" t="n"/>
      <c r="H110" s="5" t="n"/>
      <c r="I110" s="5" t="n"/>
      <c r="J110" s="5" t="n"/>
      <c r="K110" s="5" t="n"/>
      <c r="L110" s="5" t="n"/>
      <c r="M110" s="9" t="n"/>
      <c r="N110" s="9" t="n"/>
      <c r="O110" s="9" t="n"/>
      <c r="P110" s="9" t="n"/>
      <c r="Q110" s="9" t="n"/>
      <c r="R110" s="8">
        <f>IF($A110="","",COUNTIF(INV_Product,$A110))</f>
        <v/>
      </c>
      <c r="S110" s="8">
        <f>IF($A110="","",COUNTIFS(INV_Product,$A110,INV_Status,"Available"))</f>
        <v/>
      </c>
      <c r="T110" s="8">
        <f>IF($D110="","",IF(COUNTIFS(DD_PairCategory,$C110,DD_Subcategory,$D110)&gt;0,"ok","✗ "&amp;$D110&amp;" is not under "&amp;$C110))</f>
        <v/>
      </c>
      <c r="U110" s="8">
        <f>IF($F110="","",IF(COUNTIFS(PM_Brand,$E110,PM_Model,$F110)&gt;1,"⚠ duplicate product",IF(AND($B110&lt;&gt;"",COUNTIF(PM_Short,$B110)&gt;1),"⚠ short code reused","")))</f>
        <v/>
      </c>
      <c r="V110" s="5" t="n"/>
    </row>
    <row r="111">
      <c r="A111" s="8">
        <f>IF($F111="","","PRD-"&amp;TEXT(ROW()-3,"0000"))</f>
        <v/>
      </c>
      <c r="B111" s="5" t="n"/>
      <c r="C111" s="5" t="n"/>
      <c r="D111" s="5" t="n"/>
      <c r="E111" s="5" t="n"/>
      <c r="F111" s="5" t="n"/>
      <c r="G111" s="5" t="n"/>
      <c r="H111" s="5" t="n"/>
      <c r="I111" s="5" t="n"/>
      <c r="J111" s="5" t="n"/>
      <c r="K111" s="5" t="n"/>
      <c r="L111" s="5" t="n"/>
      <c r="M111" s="9" t="n"/>
      <c r="N111" s="9" t="n"/>
      <c r="O111" s="9" t="n"/>
      <c r="P111" s="9" t="n"/>
      <c r="Q111" s="9" t="n"/>
      <c r="R111" s="8">
        <f>IF($A111="","",COUNTIF(INV_Product,$A111))</f>
        <v/>
      </c>
      <c r="S111" s="8">
        <f>IF($A111="","",COUNTIFS(INV_Product,$A111,INV_Status,"Available"))</f>
        <v/>
      </c>
      <c r="T111" s="8">
        <f>IF($D111="","",IF(COUNTIFS(DD_PairCategory,$C111,DD_Subcategory,$D111)&gt;0,"ok","✗ "&amp;$D111&amp;" is not under "&amp;$C111))</f>
        <v/>
      </c>
      <c r="U111" s="8">
        <f>IF($F111="","",IF(COUNTIFS(PM_Brand,$E111,PM_Model,$F111)&gt;1,"⚠ duplicate product",IF(AND($B111&lt;&gt;"",COUNTIF(PM_Short,$B111)&gt;1),"⚠ short code reused","")))</f>
        <v/>
      </c>
      <c r="V111" s="5" t="n"/>
    </row>
    <row r="112">
      <c r="A112" s="8">
        <f>IF($F112="","","PRD-"&amp;TEXT(ROW()-3,"0000"))</f>
        <v/>
      </c>
      <c r="B112" s="5" t="n"/>
      <c r="C112" s="5" t="n"/>
      <c r="D112" s="5" t="n"/>
      <c r="E112" s="5" t="n"/>
      <c r="F112" s="5" t="n"/>
      <c r="G112" s="5" t="n"/>
      <c r="H112" s="5" t="n"/>
      <c r="I112" s="5" t="n"/>
      <c r="J112" s="5" t="n"/>
      <c r="K112" s="5" t="n"/>
      <c r="L112" s="5" t="n"/>
      <c r="M112" s="9" t="n"/>
      <c r="N112" s="9" t="n"/>
      <c r="O112" s="9" t="n"/>
      <c r="P112" s="9" t="n"/>
      <c r="Q112" s="9" t="n"/>
      <c r="R112" s="8">
        <f>IF($A112="","",COUNTIF(INV_Product,$A112))</f>
        <v/>
      </c>
      <c r="S112" s="8">
        <f>IF($A112="","",COUNTIFS(INV_Product,$A112,INV_Status,"Available"))</f>
        <v/>
      </c>
      <c r="T112" s="8">
        <f>IF($D112="","",IF(COUNTIFS(DD_PairCategory,$C112,DD_Subcategory,$D112)&gt;0,"ok","✗ "&amp;$D112&amp;" is not under "&amp;$C112))</f>
        <v/>
      </c>
      <c r="U112" s="8">
        <f>IF($F112="","",IF(COUNTIFS(PM_Brand,$E112,PM_Model,$F112)&gt;1,"⚠ duplicate product",IF(AND($B112&lt;&gt;"",COUNTIF(PM_Short,$B112)&gt;1),"⚠ short code reused","")))</f>
        <v/>
      </c>
      <c r="V112" s="5" t="n"/>
    </row>
    <row r="113">
      <c r="A113" s="8">
        <f>IF($F113="","","PRD-"&amp;TEXT(ROW()-3,"0000"))</f>
        <v/>
      </c>
      <c r="B113" s="5" t="n"/>
      <c r="C113" s="5" t="n"/>
      <c r="D113" s="5" t="n"/>
      <c r="E113" s="5" t="n"/>
      <c r="F113" s="5" t="n"/>
      <c r="G113" s="5" t="n"/>
      <c r="H113" s="5" t="n"/>
      <c r="I113" s="5" t="n"/>
      <c r="J113" s="5" t="n"/>
      <c r="K113" s="5" t="n"/>
      <c r="L113" s="5" t="n"/>
      <c r="M113" s="9" t="n"/>
      <c r="N113" s="9" t="n"/>
      <c r="O113" s="9" t="n"/>
      <c r="P113" s="9" t="n"/>
      <c r="Q113" s="9" t="n"/>
      <c r="R113" s="8">
        <f>IF($A113="","",COUNTIF(INV_Product,$A113))</f>
        <v/>
      </c>
      <c r="S113" s="8">
        <f>IF($A113="","",COUNTIFS(INV_Product,$A113,INV_Status,"Available"))</f>
        <v/>
      </c>
      <c r="T113" s="8">
        <f>IF($D113="","",IF(COUNTIFS(DD_PairCategory,$C113,DD_Subcategory,$D113)&gt;0,"ok","✗ "&amp;$D113&amp;" is not under "&amp;$C113))</f>
        <v/>
      </c>
      <c r="U113" s="8">
        <f>IF($F113="","",IF(COUNTIFS(PM_Brand,$E113,PM_Model,$F113)&gt;1,"⚠ duplicate product",IF(AND($B113&lt;&gt;"",COUNTIF(PM_Short,$B113)&gt;1),"⚠ short code reused","")))</f>
        <v/>
      </c>
      <c r="V113" s="5" t="n"/>
    </row>
    <row r="114">
      <c r="A114" s="8">
        <f>IF($F114="","","PRD-"&amp;TEXT(ROW()-3,"0000"))</f>
        <v/>
      </c>
      <c r="B114" s="5" t="n"/>
      <c r="C114" s="5" t="n"/>
      <c r="D114" s="5" t="n"/>
      <c r="E114" s="5" t="n"/>
      <c r="F114" s="5" t="n"/>
      <c r="G114" s="5" t="n"/>
      <c r="H114" s="5" t="n"/>
      <c r="I114" s="5" t="n"/>
      <c r="J114" s="5" t="n"/>
      <c r="K114" s="5" t="n"/>
      <c r="L114" s="5" t="n"/>
      <c r="M114" s="9" t="n"/>
      <c r="N114" s="9" t="n"/>
      <c r="O114" s="9" t="n"/>
      <c r="P114" s="9" t="n"/>
      <c r="Q114" s="9" t="n"/>
      <c r="R114" s="8">
        <f>IF($A114="","",COUNTIF(INV_Product,$A114))</f>
        <v/>
      </c>
      <c r="S114" s="8">
        <f>IF($A114="","",COUNTIFS(INV_Product,$A114,INV_Status,"Available"))</f>
        <v/>
      </c>
      <c r="T114" s="8">
        <f>IF($D114="","",IF(COUNTIFS(DD_PairCategory,$C114,DD_Subcategory,$D114)&gt;0,"ok","✗ "&amp;$D114&amp;" is not under "&amp;$C114))</f>
        <v/>
      </c>
      <c r="U114" s="8">
        <f>IF($F114="","",IF(COUNTIFS(PM_Brand,$E114,PM_Model,$F114)&gt;1,"⚠ duplicate product",IF(AND($B114&lt;&gt;"",COUNTIF(PM_Short,$B114)&gt;1),"⚠ short code reused","")))</f>
        <v/>
      </c>
      <c r="V114" s="5" t="n"/>
    </row>
    <row r="115">
      <c r="A115" s="8">
        <f>IF($F115="","","PRD-"&amp;TEXT(ROW()-3,"0000"))</f>
        <v/>
      </c>
      <c r="B115" s="5" t="n"/>
      <c r="C115" s="5" t="n"/>
      <c r="D115" s="5" t="n"/>
      <c r="E115" s="5" t="n"/>
      <c r="F115" s="5" t="n"/>
      <c r="G115" s="5" t="n"/>
      <c r="H115" s="5" t="n"/>
      <c r="I115" s="5" t="n"/>
      <c r="J115" s="5" t="n"/>
      <c r="K115" s="5" t="n"/>
      <c r="L115" s="5" t="n"/>
      <c r="M115" s="9" t="n"/>
      <c r="N115" s="9" t="n"/>
      <c r="O115" s="9" t="n"/>
      <c r="P115" s="9" t="n"/>
      <c r="Q115" s="9" t="n"/>
      <c r="R115" s="8">
        <f>IF($A115="","",COUNTIF(INV_Product,$A115))</f>
        <v/>
      </c>
      <c r="S115" s="8">
        <f>IF($A115="","",COUNTIFS(INV_Product,$A115,INV_Status,"Available"))</f>
        <v/>
      </c>
      <c r="T115" s="8">
        <f>IF($D115="","",IF(COUNTIFS(DD_PairCategory,$C115,DD_Subcategory,$D115)&gt;0,"ok","✗ "&amp;$D115&amp;" is not under "&amp;$C115))</f>
        <v/>
      </c>
      <c r="U115" s="8">
        <f>IF($F115="","",IF(COUNTIFS(PM_Brand,$E115,PM_Model,$F115)&gt;1,"⚠ duplicate product",IF(AND($B115&lt;&gt;"",COUNTIF(PM_Short,$B115)&gt;1),"⚠ short code reused","")))</f>
        <v/>
      </c>
      <c r="V115" s="5" t="n"/>
    </row>
    <row r="116">
      <c r="A116" s="8">
        <f>IF($F116="","","PRD-"&amp;TEXT(ROW()-3,"0000"))</f>
        <v/>
      </c>
      <c r="B116" s="5" t="n"/>
      <c r="C116" s="5" t="n"/>
      <c r="D116" s="5" t="n"/>
      <c r="E116" s="5" t="n"/>
      <c r="F116" s="5" t="n"/>
      <c r="G116" s="5" t="n"/>
      <c r="H116" s="5" t="n"/>
      <c r="I116" s="5" t="n"/>
      <c r="J116" s="5" t="n"/>
      <c r="K116" s="5" t="n"/>
      <c r="L116" s="5" t="n"/>
      <c r="M116" s="9" t="n"/>
      <c r="N116" s="9" t="n"/>
      <c r="O116" s="9" t="n"/>
      <c r="P116" s="9" t="n"/>
      <c r="Q116" s="9" t="n"/>
      <c r="R116" s="8">
        <f>IF($A116="","",COUNTIF(INV_Product,$A116))</f>
        <v/>
      </c>
      <c r="S116" s="8">
        <f>IF($A116="","",COUNTIFS(INV_Product,$A116,INV_Status,"Available"))</f>
        <v/>
      </c>
      <c r="T116" s="8">
        <f>IF($D116="","",IF(COUNTIFS(DD_PairCategory,$C116,DD_Subcategory,$D116)&gt;0,"ok","✗ "&amp;$D116&amp;" is not under "&amp;$C116))</f>
        <v/>
      </c>
      <c r="U116" s="8">
        <f>IF($F116="","",IF(COUNTIFS(PM_Brand,$E116,PM_Model,$F116)&gt;1,"⚠ duplicate product",IF(AND($B116&lt;&gt;"",COUNTIF(PM_Short,$B116)&gt;1),"⚠ short code reused","")))</f>
        <v/>
      </c>
      <c r="V116" s="5" t="n"/>
    </row>
    <row r="117">
      <c r="A117" s="8">
        <f>IF($F117="","","PRD-"&amp;TEXT(ROW()-3,"0000"))</f>
        <v/>
      </c>
      <c r="B117" s="5" t="n"/>
      <c r="C117" s="5" t="n"/>
      <c r="D117" s="5" t="n"/>
      <c r="E117" s="5" t="n"/>
      <c r="F117" s="5" t="n"/>
      <c r="G117" s="5" t="n"/>
      <c r="H117" s="5" t="n"/>
      <c r="I117" s="5" t="n"/>
      <c r="J117" s="5" t="n"/>
      <c r="K117" s="5" t="n"/>
      <c r="L117" s="5" t="n"/>
      <c r="M117" s="9" t="n"/>
      <c r="N117" s="9" t="n"/>
      <c r="O117" s="9" t="n"/>
      <c r="P117" s="9" t="n"/>
      <c r="Q117" s="9" t="n"/>
      <c r="R117" s="8">
        <f>IF($A117="","",COUNTIF(INV_Product,$A117))</f>
        <v/>
      </c>
      <c r="S117" s="8">
        <f>IF($A117="","",COUNTIFS(INV_Product,$A117,INV_Status,"Available"))</f>
        <v/>
      </c>
      <c r="T117" s="8">
        <f>IF($D117="","",IF(COUNTIFS(DD_PairCategory,$C117,DD_Subcategory,$D117)&gt;0,"ok","✗ "&amp;$D117&amp;" is not under "&amp;$C117))</f>
        <v/>
      </c>
      <c r="U117" s="8">
        <f>IF($F117="","",IF(COUNTIFS(PM_Brand,$E117,PM_Model,$F117)&gt;1,"⚠ duplicate product",IF(AND($B117&lt;&gt;"",COUNTIF(PM_Short,$B117)&gt;1),"⚠ short code reused","")))</f>
        <v/>
      </c>
      <c r="V117" s="5" t="n"/>
    </row>
    <row r="118">
      <c r="A118" s="8">
        <f>IF($F118="","","PRD-"&amp;TEXT(ROW()-3,"0000"))</f>
        <v/>
      </c>
      <c r="B118" s="5" t="n"/>
      <c r="C118" s="5" t="n"/>
      <c r="D118" s="5" t="n"/>
      <c r="E118" s="5" t="n"/>
      <c r="F118" s="5" t="n"/>
      <c r="G118" s="5" t="n"/>
      <c r="H118" s="5" t="n"/>
      <c r="I118" s="5" t="n"/>
      <c r="J118" s="5" t="n"/>
      <c r="K118" s="5" t="n"/>
      <c r="L118" s="5" t="n"/>
      <c r="M118" s="9" t="n"/>
      <c r="N118" s="9" t="n"/>
      <c r="O118" s="9" t="n"/>
      <c r="P118" s="9" t="n"/>
      <c r="Q118" s="9" t="n"/>
      <c r="R118" s="8">
        <f>IF($A118="","",COUNTIF(INV_Product,$A118))</f>
        <v/>
      </c>
      <c r="S118" s="8">
        <f>IF($A118="","",COUNTIFS(INV_Product,$A118,INV_Status,"Available"))</f>
        <v/>
      </c>
      <c r="T118" s="8">
        <f>IF($D118="","",IF(COUNTIFS(DD_PairCategory,$C118,DD_Subcategory,$D118)&gt;0,"ok","✗ "&amp;$D118&amp;" is not under "&amp;$C118))</f>
        <v/>
      </c>
      <c r="U118" s="8">
        <f>IF($F118="","",IF(COUNTIFS(PM_Brand,$E118,PM_Model,$F118)&gt;1,"⚠ duplicate product",IF(AND($B118&lt;&gt;"",COUNTIF(PM_Short,$B118)&gt;1),"⚠ short code reused","")))</f>
        <v/>
      </c>
      <c r="V118" s="5" t="n"/>
    </row>
    <row r="119">
      <c r="A119" s="8">
        <f>IF($F119="","","PRD-"&amp;TEXT(ROW()-3,"0000"))</f>
        <v/>
      </c>
      <c r="B119" s="5" t="n"/>
      <c r="C119" s="5" t="n"/>
      <c r="D119" s="5" t="n"/>
      <c r="E119" s="5" t="n"/>
      <c r="F119" s="5" t="n"/>
      <c r="G119" s="5" t="n"/>
      <c r="H119" s="5" t="n"/>
      <c r="I119" s="5" t="n"/>
      <c r="J119" s="5" t="n"/>
      <c r="K119" s="5" t="n"/>
      <c r="L119" s="5" t="n"/>
      <c r="M119" s="9" t="n"/>
      <c r="N119" s="9" t="n"/>
      <c r="O119" s="9" t="n"/>
      <c r="P119" s="9" t="n"/>
      <c r="Q119" s="9" t="n"/>
      <c r="R119" s="8">
        <f>IF($A119="","",COUNTIF(INV_Product,$A119))</f>
        <v/>
      </c>
      <c r="S119" s="8">
        <f>IF($A119="","",COUNTIFS(INV_Product,$A119,INV_Status,"Available"))</f>
        <v/>
      </c>
      <c r="T119" s="8">
        <f>IF($D119="","",IF(COUNTIFS(DD_PairCategory,$C119,DD_Subcategory,$D119)&gt;0,"ok","✗ "&amp;$D119&amp;" is not under "&amp;$C119))</f>
        <v/>
      </c>
      <c r="U119" s="8">
        <f>IF($F119="","",IF(COUNTIFS(PM_Brand,$E119,PM_Model,$F119)&gt;1,"⚠ duplicate product",IF(AND($B119&lt;&gt;"",COUNTIF(PM_Short,$B119)&gt;1),"⚠ short code reused","")))</f>
        <v/>
      </c>
      <c r="V119" s="5" t="n"/>
    </row>
    <row r="120">
      <c r="A120" s="8">
        <f>IF($F120="","","PRD-"&amp;TEXT(ROW()-3,"0000"))</f>
        <v/>
      </c>
      <c r="B120" s="5" t="n"/>
      <c r="C120" s="5" t="n"/>
      <c r="D120" s="5" t="n"/>
      <c r="E120" s="5" t="n"/>
      <c r="F120" s="5" t="n"/>
      <c r="G120" s="5" t="n"/>
      <c r="H120" s="5" t="n"/>
      <c r="I120" s="5" t="n"/>
      <c r="J120" s="5" t="n"/>
      <c r="K120" s="5" t="n"/>
      <c r="L120" s="5" t="n"/>
      <c r="M120" s="9" t="n"/>
      <c r="N120" s="9" t="n"/>
      <c r="O120" s="9" t="n"/>
      <c r="P120" s="9" t="n"/>
      <c r="Q120" s="9" t="n"/>
      <c r="R120" s="8">
        <f>IF($A120="","",COUNTIF(INV_Product,$A120))</f>
        <v/>
      </c>
      <c r="S120" s="8">
        <f>IF($A120="","",COUNTIFS(INV_Product,$A120,INV_Status,"Available"))</f>
        <v/>
      </c>
      <c r="T120" s="8">
        <f>IF($D120="","",IF(COUNTIFS(DD_PairCategory,$C120,DD_Subcategory,$D120)&gt;0,"ok","✗ "&amp;$D120&amp;" is not under "&amp;$C120))</f>
        <v/>
      </c>
      <c r="U120" s="8">
        <f>IF($F120="","",IF(COUNTIFS(PM_Brand,$E120,PM_Model,$F120)&gt;1,"⚠ duplicate product",IF(AND($B120&lt;&gt;"",COUNTIF(PM_Short,$B120)&gt;1),"⚠ short code reused","")))</f>
        <v/>
      </c>
      <c r="V120" s="5" t="n"/>
    </row>
    <row r="121">
      <c r="A121" s="8">
        <f>IF($F121="","","PRD-"&amp;TEXT(ROW()-3,"0000"))</f>
        <v/>
      </c>
      <c r="B121" s="5" t="n"/>
      <c r="C121" s="5" t="n"/>
      <c r="D121" s="5" t="n"/>
      <c r="E121" s="5" t="n"/>
      <c r="F121" s="5" t="n"/>
      <c r="G121" s="5" t="n"/>
      <c r="H121" s="5" t="n"/>
      <c r="I121" s="5" t="n"/>
      <c r="J121" s="5" t="n"/>
      <c r="K121" s="5" t="n"/>
      <c r="L121" s="5" t="n"/>
      <c r="M121" s="9" t="n"/>
      <c r="N121" s="9" t="n"/>
      <c r="O121" s="9" t="n"/>
      <c r="P121" s="9" t="n"/>
      <c r="Q121" s="9" t="n"/>
      <c r="R121" s="8">
        <f>IF($A121="","",COUNTIF(INV_Product,$A121))</f>
        <v/>
      </c>
      <c r="S121" s="8">
        <f>IF($A121="","",COUNTIFS(INV_Product,$A121,INV_Status,"Available"))</f>
        <v/>
      </c>
      <c r="T121" s="8">
        <f>IF($D121="","",IF(COUNTIFS(DD_PairCategory,$C121,DD_Subcategory,$D121)&gt;0,"ok","✗ "&amp;$D121&amp;" is not under "&amp;$C121))</f>
        <v/>
      </c>
      <c r="U121" s="8">
        <f>IF($F121="","",IF(COUNTIFS(PM_Brand,$E121,PM_Model,$F121)&gt;1,"⚠ duplicate product",IF(AND($B121&lt;&gt;"",COUNTIF(PM_Short,$B121)&gt;1),"⚠ short code reused","")))</f>
        <v/>
      </c>
      <c r="V121" s="5" t="n"/>
    </row>
    <row r="122">
      <c r="A122" s="8">
        <f>IF($F122="","","PRD-"&amp;TEXT(ROW()-3,"0000"))</f>
        <v/>
      </c>
      <c r="B122" s="5" t="n"/>
      <c r="C122" s="5" t="n"/>
      <c r="D122" s="5" t="n"/>
      <c r="E122" s="5" t="n"/>
      <c r="F122" s="5" t="n"/>
      <c r="G122" s="5" t="n"/>
      <c r="H122" s="5" t="n"/>
      <c r="I122" s="5" t="n"/>
      <c r="J122" s="5" t="n"/>
      <c r="K122" s="5" t="n"/>
      <c r="L122" s="5" t="n"/>
      <c r="M122" s="9" t="n"/>
      <c r="N122" s="9" t="n"/>
      <c r="O122" s="9" t="n"/>
      <c r="P122" s="9" t="n"/>
      <c r="Q122" s="9" t="n"/>
      <c r="R122" s="8">
        <f>IF($A122="","",COUNTIF(INV_Product,$A122))</f>
        <v/>
      </c>
      <c r="S122" s="8">
        <f>IF($A122="","",COUNTIFS(INV_Product,$A122,INV_Status,"Available"))</f>
        <v/>
      </c>
      <c r="T122" s="8">
        <f>IF($D122="","",IF(COUNTIFS(DD_PairCategory,$C122,DD_Subcategory,$D122)&gt;0,"ok","✗ "&amp;$D122&amp;" is not under "&amp;$C122))</f>
        <v/>
      </c>
      <c r="U122" s="8">
        <f>IF($F122="","",IF(COUNTIFS(PM_Brand,$E122,PM_Model,$F122)&gt;1,"⚠ duplicate product",IF(AND($B122&lt;&gt;"",COUNTIF(PM_Short,$B122)&gt;1),"⚠ short code reused","")))</f>
        <v/>
      </c>
      <c r="V122" s="5" t="n"/>
    </row>
    <row r="123">
      <c r="A123" s="8">
        <f>IF($F123="","","PRD-"&amp;TEXT(ROW()-3,"0000"))</f>
        <v/>
      </c>
      <c r="B123" s="5" t="n"/>
      <c r="C123" s="5" t="n"/>
      <c r="D123" s="5" t="n"/>
      <c r="E123" s="5" t="n"/>
      <c r="F123" s="5" t="n"/>
      <c r="G123" s="5" t="n"/>
      <c r="H123" s="5" t="n"/>
      <c r="I123" s="5" t="n"/>
      <c r="J123" s="5" t="n"/>
      <c r="K123" s="5" t="n"/>
      <c r="L123" s="5" t="n"/>
      <c r="M123" s="9" t="n"/>
      <c r="N123" s="9" t="n"/>
      <c r="O123" s="9" t="n"/>
      <c r="P123" s="9" t="n"/>
      <c r="Q123" s="9" t="n"/>
      <c r="R123" s="8">
        <f>IF($A123="","",COUNTIF(INV_Product,$A123))</f>
        <v/>
      </c>
      <c r="S123" s="8">
        <f>IF($A123="","",COUNTIFS(INV_Product,$A123,INV_Status,"Available"))</f>
        <v/>
      </c>
      <c r="T123" s="8">
        <f>IF($D123="","",IF(COUNTIFS(DD_PairCategory,$C123,DD_Subcategory,$D123)&gt;0,"ok","✗ "&amp;$D123&amp;" is not under "&amp;$C123))</f>
        <v/>
      </c>
      <c r="U123" s="8">
        <f>IF($F123="","",IF(COUNTIFS(PM_Brand,$E123,PM_Model,$F123)&gt;1,"⚠ duplicate product",IF(AND($B123&lt;&gt;"",COUNTIF(PM_Short,$B123)&gt;1),"⚠ short code reused","")))</f>
        <v/>
      </c>
      <c r="V123" s="5" t="n"/>
    </row>
    <row r="124">
      <c r="A124" s="8">
        <f>IF($F124="","","PRD-"&amp;TEXT(ROW()-3,"0000"))</f>
        <v/>
      </c>
      <c r="B124" s="5" t="n"/>
      <c r="C124" s="5" t="n"/>
      <c r="D124" s="5" t="n"/>
      <c r="E124" s="5" t="n"/>
      <c r="F124" s="5" t="n"/>
      <c r="G124" s="5" t="n"/>
      <c r="H124" s="5" t="n"/>
      <c r="I124" s="5" t="n"/>
      <c r="J124" s="5" t="n"/>
      <c r="K124" s="5" t="n"/>
      <c r="L124" s="5" t="n"/>
      <c r="M124" s="9" t="n"/>
      <c r="N124" s="9" t="n"/>
      <c r="O124" s="9" t="n"/>
      <c r="P124" s="9" t="n"/>
      <c r="Q124" s="9" t="n"/>
      <c r="R124" s="8">
        <f>IF($A124="","",COUNTIF(INV_Product,$A124))</f>
        <v/>
      </c>
      <c r="S124" s="8">
        <f>IF($A124="","",COUNTIFS(INV_Product,$A124,INV_Status,"Available"))</f>
        <v/>
      </c>
      <c r="T124" s="8">
        <f>IF($D124="","",IF(COUNTIFS(DD_PairCategory,$C124,DD_Subcategory,$D124)&gt;0,"ok","✗ "&amp;$D124&amp;" is not under "&amp;$C124))</f>
        <v/>
      </c>
      <c r="U124" s="8">
        <f>IF($F124="","",IF(COUNTIFS(PM_Brand,$E124,PM_Model,$F124)&gt;1,"⚠ duplicate product",IF(AND($B124&lt;&gt;"",COUNTIF(PM_Short,$B124)&gt;1),"⚠ short code reused","")))</f>
        <v/>
      </c>
      <c r="V124" s="5" t="n"/>
    </row>
    <row r="125">
      <c r="A125" s="8">
        <f>IF($F125="","","PRD-"&amp;TEXT(ROW()-3,"0000"))</f>
        <v/>
      </c>
      <c r="B125" s="5" t="n"/>
      <c r="C125" s="5" t="n"/>
      <c r="D125" s="5" t="n"/>
      <c r="E125" s="5" t="n"/>
      <c r="F125" s="5" t="n"/>
      <c r="G125" s="5" t="n"/>
      <c r="H125" s="5" t="n"/>
      <c r="I125" s="5" t="n"/>
      <c r="J125" s="5" t="n"/>
      <c r="K125" s="5" t="n"/>
      <c r="L125" s="5" t="n"/>
      <c r="M125" s="9" t="n"/>
      <c r="N125" s="9" t="n"/>
      <c r="O125" s="9" t="n"/>
      <c r="P125" s="9" t="n"/>
      <c r="Q125" s="9" t="n"/>
      <c r="R125" s="8">
        <f>IF($A125="","",COUNTIF(INV_Product,$A125))</f>
        <v/>
      </c>
      <c r="S125" s="8">
        <f>IF($A125="","",COUNTIFS(INV_Product,$A125,INV_Status,"Available"))</f>
        <v/>
      </c>
      <c r="T125" s="8">
        <f>IF($D125="","",IF(COUNTIFS(DD_PairCategory,$C125,DD_Subcategory,$D125)&gt;0,"ok","✗ "&amp;$D125&amp;" is not under "&amp;$C125))</f>
        <v/>
      </c>
      <c r="U125" s="8">
        <f>IF($F125="","",IF(COUNTIFS(PM_Brand,$E125,PM_Model,$F125)&gt;1,"⚠ duplicate product",IF(AND($B125&lt;&gt;"",COUNTIF(PM_Short,$B125)&gt;1),"⚠ short code reused","")))</f>
        <v/>
      </c>
      <c r="V125" s="5" t="n"/>
    </row>
    <row r="126">
      <c r="A126" s="8">
        <f>IF($F126="","","PRD-"&amp;TEXT(ROW()-3,"0000"))</f>
        <v/>
      </c>
      <c r="B126" s="5" t="n"/>
      <c r="C126" s="5" t="n"/>
      <c r="D126" s="5" t="n"/>
      <c r="E126" s="5" t="n"/>
      <c r="F126" s="5" t="n"/>
      <c r="G126" s="5" t="n"/>
      <c r="H126" s="5" t="n"/>
      <c r="I126" s="5" t="n"/>
      <c r="J126" s="5" t="n"/>
      <c r="K126" s="5" t="n"/>
      <c r="L126" s="5" t="n"/>
      <c r="M126" s="9" t="n"/>
      <c r="N126" s="9" t="n"/>
      <c r="O126" s="9" t="n"/>
      <c r="P126" s="9" t="n"/>
      <c r="Q126" s="9" t="n"/>
      <c r="R126" s="8">
        <f>IF($A126="","",COUNTIF(INV_Product,$A126))</f>
        <v/>
      </c>
      <c r="S126" s="8">
        <f>IF($A126="","",COUNTIFS(INV_Product,$A126,INV_Status,"Available"))</f>
        <v/>
      </c>
      <c r="T126" s="8">
        <f>IF($D126="","",IF(COUNTIFS(DD_PairCategory,$C126,DD_Subcategory,$D126)&gt;0,"ok","✗ "&amp;$D126&amp;" is not under "&amp;$C126))</f>
        <v/>
      </c>
      <c r="U126" s="8">
        <f>IF($F126="","",IF(COUNTIFS(PM_Brand,$E126,PM_Model,$F126)&gt;1,"⚠ duplicate product",IF(AND($B126&lt;&gt;"",COUNTIF(PM_Short,$B126)&gt;1),"⚠ short code reused","")))</f>
        <v/>
      </c>
      <c r="V126" s="5" t="n"/>
    </row>
    <row r="127">
      <c r="A127" s="8">
        <f>IF($F127="","","PRD-"&amp;TEXT(ROW()-3,"0000"))</f>
        <v/>
      </c>
      <c r="B127" s="5" t="n"/>
      <c r="C127" s="5" t="n"/>
      <c r="D127" s="5" t="n"/>
      <c r="E127" s="5" t="n"/>
      <c r="F127" s="5" t="n"/>
      <c r="G127" s="5" t="n"/>
      <c r="H127" s="5" t="n"/>
      <c r="I127" s="5" t="n"/>
      <c r="J127" s="5" t="n"/>
      <c r="K127" s="5" t="n"/>
      <c r="L127" s="5" t="n"/>
      <c r="M127" s="9" t="n"/>
      <c r="N127" s="9" t="n"/>
      <c r="O127" s="9" t="n"/>
      <c r="P127" s="9" t="n"/>
      <c r="Q127" s="9" t="n"/>
      <c r="R127" s="8">
        <f>IF($A127="","",COUNTIF(INV_Product,$A127))</f>
        <v/>
      </c>
      <c r="S127" s="8">
        <f>IF($A127="","",COUNTIFS(INV_Product,$A127,INV_Status,"Available"))</f>
        <v/>
      </c>
      <c r="T127" s="8">
        <f>IF($D127="","",IF(COUNTIFS(DD_PairCategory,$C127,DD_Subcategory,$D127)&gt;0,"ok","✗ "&amp;$D127&amp;" is not under "&amp;$C127))</f>
        <v/>
      </c>
      <c r="U127" s="8">
        <f>IF($F127="","",IF(COUNTIFS(PM_Brand,$E127,PM_Model,$F127)&gt;1,"⚠ duplicate product",IF(AND($B127&lt;&gt;"",COUNTIF(PM_Short,$B127)&gt;1),"⚠ short code reused","")))</f>
        <v/>
      </c>
      <c r="V127" s="5" t="n"/>
    </row>
    <row r="128">
      <c r="A128" s="8">
        <f>IF($F128="","","PRD-"&amp;TEXT(ROW()-3,"0000"))</f>
        <v/>
      </c>
      <c r="B128" s="5" t="n"/>
      <c r="C128" s="5" t="n"/>
      <c r="D128" s="5" t="n"/>
      <c r="E128" s="5" t="n"/>
      <c r="F128" s="5" t="n"/>
      <c r="G128" s="5" t="n"/>
      <c r="H128" s="5" t="n"/>
      <c r="I128" s="5" t="n"/>
      <c r="J128" s="5" t="n"/>
      <c r="K128" s="5" t="n"/>
      <c r="L128" s="5" t="n"/>
      <c r="M128" s="9" t="n"/>
      <c r="N128" s="9" t="n"/>
      <c r="O128" s="9" t="n"/>
      <c r="P128" s="9" t="n"/>
      <c r="Q128" s="9" t="n"/>
      <c r="R128" s="8">
        <f>IF($A128="","",COUNTIF(INV_Product,$A128))</f>
        <v/>
      </c>
      <c r="S128" s="8">
        <f>IF($A128="","",COUNTIFS(INV_Product,$A128,INV_Status,"Available"))</f>
        <v/>
      </c>
      <c r="T128" s="8">
        <f>IF($D128="","",IF(COUNTIFS(DD_PairCategory,$C128,DD_Subcategory,$D128)&gt;0,"ok","✗ "&amp;$D128&amp;" is not under "&amp;$C128))</f>
        <v/>
      </c>
      <c r="U128" s="8">
        <f>IF($F128="","",IF(COUNTIFS(PM_Brand,$E128,PM_Model,$F128)&gt;1,"⚠ duplicate product",IF(AND($B128&lt;&gt;"",COUNTIF(PM_Short,$B128)&gt;1),"⚠ short code reused","")))</f>
        <v/>
      </c>
      <c r="V128" s="5" t="n"/>
    </row>
    <row r="129">
      <c r="A129" s="8">
        <f>IF($F129="","","PRD-"&amp;TEXT(ROW()-3,"0000"))</f>
        <v/>
      </c>
      <c r="B129" s="5" t="n"/>
      <c r="C129" s="5" t="n"/>
      <c r="D129" s="5" t="n"/>
      <c r="E129" s="5" t="n"/>
      <c r="F129" s="5" t="n"/>
      <c r="G129" s="5" t="n"/>
      <c r="H129" s="5" t="n"/>
      <c r="I129" s="5" t="n"/>
      <c r="J129" s="5" t="n"/>
      <c r="K129" s="5" t="n"/>
      <c r="L129" s="5" t="n"/>
      <c r="M129" s="9" t="n"/>
      <c r="N129" s="9" t="n"/>
      <c r="O129" s="9" t="n"/>
      <c r="P129" s="9" t="n"/>
      <c r="Q129" s="9" t="n"/>
      <c r="R129" s="8">
        <f>IF($A129="","",COUNTIF(INV_Product,$A129))</f>
        <v/>
      </c>
      <c r="S129" s="8">
        <f>IF($A129="","",COUNTIFS(INV_Product,$A129,INV_Status,"Available"))</f>
        <v/>
      </c>
      <c r="T129" s="8">
        <f>IF($D129="","",IF(COUNTIFS(DD_PairCategory,$C129,DD_Subcategory,$D129)&gt;0,"ok","✗ "&amp;$D129&amp;" is not under "&amp;$C129))</f>
        <v/>
      </c>
      <c r="U129" s="8">
        <f>IF($F129="","",IF(COUNTIFS(PM_Brand,$E129,PM_Model,$F129)&gt;1,"⚠ duplicate product",IF(AND($B129&lt;&gt;"",COUNTIF(PM_Short,$B129)&gt;1),"⚠ short code reused","")))</f>
        <v/>
      </c>
      <c r="V129" s="5" t="n"/>
    </row>
    <row r="130">
      <c r="A130" s="8">
        <f>IF($F130="","","PRD-"&amp;TEXT(ROW()-3,"0000"))</f>
        <v/>
      </c>
      <c r="B130" s="5" t="n"/>
      <c r="C130" s="5" t="n"/>
      <c r="D130" s="5" t="n"/>
      <c r="E130" s="5" t="n"/>
      <c r="F130" s="5" t="n"/>
      <c r="G130" s="5" t="n"/>
      <c r="H130" s="5" t="n"/>
      <c r="I130" s="5" t="n"/>
      <c r="J130" s="5" t="n"/>
      <c r="K130" s="5" t="n"/>
      <c r="L130" s="5" t="n"/>
      <c r="M130" s="9" t="n"/>
      <c r="N130" s="9" t="n"/>
      <c r="O130" s="9" t="n"/>
      <c r="P130" s="9" t="n"/>
      <c r="Q130" s="9" t="n"/>
      <c r="R130" s="8">
        <f>IF($A130="","",COUNTIF(INV_Product,$A130))</f>
        <v/>
      </c>
      <c r="S130" s="8">
        <f>IF($A130="","",COUNTIFS(INV_Product,$A130,INV_Status,"Available"))</f>
        <v/>
      </c>
      <c r="T130" s="8">
        <f>IF($D130="","",IF(COUNTIFS(DD_PairCategory,$C130,DD_Subcategory,$D130)&gt;0,"ok","✗ "&amp;$D130&amp;" is not under "&amp;$C130))</f>
        <v/>
      </c>
      <c r="U130" s="8">
        <f>IF($F130="","",IF(COUNTIFS(PM_Brand,$E130,PM_Model,$F130)&gt;1,"⚠ duplicate product",IF(AND($B130&lt;&gt;"",COUNTIF(PM_Short,$B130)&gt;1),"⚠ short code reused","")))</f>
        <v/>
      </c>
      <c r="V130" s="5" t="n"/>
    </row>
    <row r="131">
      <c r="A131" s="8">
        <f>IF($F131="","","PRD-"&amp;TEXT(ROW()-3,"0000"))</f>
        <v/>
      </c>
      <c r="B131" s="5" t="n"/>
      <c r="C131" s="5" t="n"/>
      <c r="D131" s="5" t="n"/>
      <c r="E131" s="5" t="n"/>
      <c r="F131" s="5" t="n"/>
      <c r="G131" s="5" t="n"/>
      <c r="H131" s="5" t="n"/>
      <c r="I131" s="5" t="n"/>
      <c r="J131" s="5" t="n"/>
      <c r="K131" s="5" t="n"/>
      <c r="L131" s="5" t="n"/>
      <c r="M131" s="9" t="n"/>
      <c r="N131" s="9" t="n"/>
      <c r="O131" s="9" t="n"/>
      <c r="P131" s="9" t="n"/>
      <c r="Q131" s="9" t="n"/>
      <c r="R131" s="8">
        <f>IF($A131="","",COUNTIF(INV_Product,$A131))</f>
        <v/>
      </c>
      <c r="S131" s="8">
        <f>IF($A131="","",COUNTIFS(INV_Product,$A131,INV_Status,"Available"))</f>
        <v/>
      </c>
      <c r="T131" s="8">
        <f>IF($D131="","",IF(COUNTIFS(DD_PairCategory,$C131,DD_Subcategory,$D131)&gt;0,"ok","✗ "&amp;$D131&amp;" is not under "&amp;$C131))</f>
        <v/>
      </c>
      <c r="U131" s="8">
        <f>IF($F131="","",IF(COUNTIFS(PM_Brand,$E131,PM_Model,$F131)&gt;1,"⚠ duplicate product",IF(AND($B131&lt;&gt;"",COUNTIF(PM_Short,$B131)&gt;1),"⚠ short code reused","")))</f>
        <v/>
      </c>
      <c r="V131" s="5" t="n"/>
    </row>
    <row r="132">
      <c r="A132" s="8">
        <f>IF($F132="","","PRD-"&amp;TEXT(ROW()-3,"0000"))</f>
        <v/>
      </c>
      <c r="B132" s="5" t="n"/>
      <c r="C132" s="5" t="n"/>
      <c r="D132" s="5" t="n"/>
      <c r="E132" s="5" t="n"/>
      <c r="F132" s="5" t="n"/>
      <c r="G132" s="5" t="n"/>
      <c r="H132" s="5" t="n"/>
      <c r="I132" s="5" t="n"/>
      <c r="J132" s="5" t="n"/>
      <c r="K132" s="5" t="n"/>
      <c r="L132" s="5" t="n"/>
      <c r="M132" s="9" t="n"/>
      <c r="N132" s="9" t="n"/>
      <c r="O132" s="9" t="n"/>
      <c r="P132" s="9" t="n"/>
      <c r="Q132" s="9" t="n"/>
      <c r="R132" s="8">
        <f>IF($A132="","",COUNTIF(INV_Product,$A132))</f>
        <v/>
      </c>
      <c r="S132" s="8">
        <f>IF($A132="","",COUNTIFS(INV_Product,$A132,INV_Status,"Available"))</f>
        <v/>
      </c>
      <c r="T132" s="8">
        <f>IF($D132="","",IF(COUNTIFS(DD_PairCategory,$C132,DD_Subcategory,$D132)&gt;0,"ok","✗ "&amp;$D132&amp;" is not under "&amp;$C132))</f>
        <v/>
      </c>
      <c r="U132" s="8">
        <f>IF($F132="","",IF(COUNTIFS(PM_Brand,$E132,PM_Model,$F132)&gt;1,"⚠ duplicate product",IF(AND($B132&lt;&gt;"",COUNTIF(PM_Short,$B132)&gt;1),"⚠ short code reused","")))</f>
        <v/>
      </c>
      <c r="V132" s="5" t="n"/>
    </row>
    <row r="133">
      <c r="A133" s="8">
        <f>IF($F133="","","PRD-"&amp;TEXT(ROW()-3,"0000"))</f>
        <v/>
      </c>
      <c r="B133" s="5" t="n"/>
      <c r="C133" s="5" t="n"/>
      <c r="D133" s="5" t="n"/>
      <c r="E133" s="5" t="n"/>
      <c r="F133" s="5" t="n"/>
      <c r="G133" s="5" t="n"/>
      <c r="H133" s="5" t="n"/>
      <c r="I133" s="5" t="n"/>
      <c r="J133" s="5" t="n"/>
      <c r="K133" s="5" t="n"/>
      <c r="L133" s="5" t="n"/>
      <c r="M133" s="9" t="n"/>
      <c r="N133" s="9" t="n"/>
      <c r="O133" s="9" t="n"/>
      <c r="P133" s="9" t="n"/>
      <c r="Q133" s="9" t="n"/>
      <c r="R133" s="8">
        <f>IF($A133="","",COUNTIF(INV_Product,$A133))</f>
        <v/>
      </c>
      <c r="S133" s="8">
        <f>IF($A133="","",COUNTIFS(INV_Product,$A133,INV_Status,"Available"))</f>
        <v/>
      </c>
      <c r="T133" s="8">
        <f>IF($D133="","",IF(COUNTIFS(DD_PairCategory,$C133,DD_Subcategory,$D133)&gt;0,"ok","✗ "&amp;$D133&amp;" is not under "&amp;$C133))</f>
        <v/>
      </c>
      <c r="U133" s="8">
        <f>IF($F133="","",IF(COUNTIFS(PM_Brand,$E133,PM_Model,$F133)&gt;1,"⚠ duplicate product",IF(AND($B133&lt;&gt;"",COUNTIF(PM_Short,$B133)&gt;1),"⚠ short code reused","")))</f>
        <v/>
      </c>
      <c r="V133" s="5" t="n"/>
    </row>
    <row r="134">
      <c r="A134" s="8">
        <f>IF($F134="","","PRD-"&amp;TEXT(ROW()-3,"0000"))</f>
        <v/>
      </c>
      <c r="B134" s="5" t="n"/>
      <c r="C134" s="5" t="n"/>
      <c r="D134" s="5" t="n"/>
      <c r="E134" s="5" t="n"/>
      <c r="F134" s="5" t="n"/>
      <c r="G134" s="5" t="n"/>
      <c r="H134" s="5" t="n"/>
      <c r="I134" s="5" t="n"/>
      <c r="J134" s="5" t="n"/>
      <c r="K134" s="5" t="n"/>
      <c r="L134" s="5" t="n"/>
      <c r="M134" s="9" t="n"/>
      <c r="N134" s="9" t="n"/>
      <c r="O134" s="9" t="n"/>
      <c r="P134" s="9" t="n"/>
      <c r="Q134" s="9" t="n"/>
      <c r="R134" s="8">
        <f>IF($A134="","",COUNTIF(INV_Product,$A134))</f>
        <v/>
      </c>
      <c r="S134" s="8">
        <f>IF($A134="","",COUNTIFS(INV_Product,$A134,INV_Status,"Available"))</f>
        <v/>
      </c>
      <c r="T134" s="8">
        <f>IF($D134="","",IF(COUNTIFS(DD_PairCategory,$C134,DD_Subcategory,$D134)&gt;0,"ok","✗ "&amp;$D134&amp;" is not under "&amp;$C134))</f>
        <v/>
      </c>
      <c r="U134" s="8">
        <f>IF($F134="","",IF(COUNTIFS(PM_Brand,$E134,PM_Model,$F134)&gt;1,"⚠ duplicate product",IF(AND($B134&lt;&gt;"",COUNTIF(PM_Short,$B134)&gt;1),"⚠ short code reused","")))</f>
        <v/>
      </c>
      <c r="V134" s="5" t="n"/>
    </row>
    <row r="135">
      <c r="A135" s="8">
        <f>IF($F135="","","PRD-"&amp;TEXT(ROW()-3,"0000"))</f>
        <v/>
      </c>
      <c r="B135" s="5" t="n"/>
      <c r="C135" s="5" t="n"/>
      <c r="D135" s="5" t="n"/>
      <c r="E135" s="5" t="n"/>
      <c r="F135" s="5" t="n"/>
      <c r="G135" s="5" t="n"/>
      <c r="H135" s="5" t="n"/>
      <c r="I135" s="5" t="n"/>
      <c r="J135" s="5" t="n"/>
      <c r="K135" s="5" t="n"/>
      <c r="L135" s="5" t="n"/>
      <c r="M135" s="9" t="n"/>
      <c r="N135" s="9" t="n"/>
      <c r="O135" s="9" t="n"/>
      <c r="P135" s="9" t="n"/>
      <c r="Q135" s="9" t="n"/>
      <c r="R135" s="8">
        <f>IF($A135="","",COUNTIF(INV_Product,$A135))</f>
        <v/>
      </c>
      <c r="S135" s="8">
        <f>IF($A135="","",COUNTIFS(INV_Product,$A135,INV_Status,"Available"))</f>
        <v/>
      </c>
      <c r="T135" s="8">
        <f>IF($D135="","",IF(COUNTIFS(DD_PairCategory,$C135,DD_Subcategory,$D135)&gt;0,"ok","✗ "&amp;$D135&amp;" is not under "&amp;$C135))</f>
        <v/>
      </c>
      <c r="U135" s="8">
        <f>IF($F135="","",IF(COUNTIFS(PM_Brand,$E135,PM_Model,$F135)&gt;1,"⚠ duplicate product",IF(AND($B135&lt;&gt;"",COUNTIF(PM_Short,$B135)&gt;1),"⚠ short code reused","")))</f>
        <v/>
      </c>
      <c r="V135" s="5" t="n"/>
    </row>
    <row r="136">
      <c r="A136" s="8">
        <f>IF($F136="","","PRD-"&amp;TEXT(ROW()-3,"0000"))</f>
        <v/>
      </c>
      <c r="B136" s="5" t="n"/>
      <c r="C136" s="5" t="n"/>
      <c r="D136" s="5" t="n"/>
      <c r="E136" s="5" t="n"/>
      <c r="F136" s="5" t="n"/>
      <c r="G136" s="5" t="n"/>
      <c r="H136" s="5" t="n"/>
      <c r="I136" s="5" t="n"/>
      <c r="J136" s="5" t="n"/>
      <c r="K136" s="5" t="n"/>
      <c r="L136" s="5" t="n"/>
      <c r="M136" s="9" t="n"/>
      <c r="N136" s="9" t="n"/>
      <c r="O136" s="9" t="n"/>
      <c r="P136" s="9" t="n"/>
      <c r="Q136" s="9" t="n"/>
      <c r="R136" s="8">
        <f>IF($A136="","",COUNTIF(INV_Product,$A136))</f>
        <v/>
      </c>
      <c r="S136" s="8">
        <f>IF($A136="","",COUNTIFS(INV_Product,$A136,INV_Status,"Available"))</f>
        <v/>
      </c>
      <c r="T136" s="8">
        <f>IF($D136="","",IF(COUNTIFS(DD_PairCategory,$C136,DD_Subcategory,$D136)&gt;0,"ok","✗ "&amp;$D136&amp;" is not under "&amp;$C136))</f>
        <v/>
      </c>
      <c r="U136" s="8">
        <f>IF($F136="","",IF(COUNTIFS(PM_Brand,$E136,PM_Model,$F136)&gt;1,"⚠ duplicate product",IF(AND($B136&lt;&gt;"",COUNTIF(PM_Short,$B136)&gt;1),"⚠ short code reused","")))</f>
        <v/>
      </c>
      <c r="V136" s="5" t="n"/>
    </row>
    <row r="137">
      <c r="A137" s="8">
        <f>IF($F137="","","PRD-"&amp;TEXT(ROW()-3,"0000"))</f>
        <v/>
      </c>
      <c r="B137" s="5" t="n"/>
      <c r="C137" s="5" t="n"/>
      <c r="D137" s="5" t="n"/>
      <c r="E137" s="5" t="n"/>
      <c r="F137" s="5" t="n"/>
      <c r="G137" s="5" t="n"/>
      <c r="H137" s="5" t="n"/>
      <c r="I137" s="5" t="n"/>
      <c r="J137" s="5" t="n"/>
      <c r="K137" s="5" t="n"/>
      <c r="L137" s="5" t="n"/>
      <c r="M137" s="9" t="n"/>
      <c r="N137" s="9" t="n"/>
      <c r="O137" s="9" t="n"/>
      <c r="P137" s="9" t="n"/>
      <c r="Q137" s="9" t="n"/>
      <c r="R137" s="8">
        <f>IF($A137="","",COUNTIF(INV_Product,$A137))</f>
        <v/>
      </c>
      <c r="S137" s="8">
        <f>IF($A137="","",COUNTIFS(INV_Product,$A137,INV_Status,"Available"))</f>
        <v/>
      </c>
      <c r="T137" s="8">
        <f>IF($D137="","",IF(COUNTIFS(DD_PairCategory,$C137,DD_Subcategory,$D137)&gt;0,"ok","✗ "&amp;$D137&amp;" is not under "&amp;$C137))</f>
        <v/>
      </c>
      <c r="U137" s="8">
        <f>IF($F137="","",IF(COUNTIFS(PM_Brand,$E137,PM_Model,$F137)&gt;1,"⚠ duplicate product",IF(AND($B137&lt;&gt;"",COUNTIF(PM_Short,$B137)&gt;1),"⚠ short code reused","")))</f>
        <v/>
      </c>
      <c r="V137" s="5" t="n"/>
    </row>
    <row r="138">
      <c r="A138" s="8">
        <f>IF($F138="","","PRD-"&amp;TEXT(ROW()-3,"0000"))</f>
        <v/>
      </c>
      <c r="B138" s="5" t="n"/>
      <c r="C138" s="5" t="n"/>
      <c r="D138" s="5" t="n"/>
      <c r="E138" s="5" t="n"/>
      <c r="F138" s="5" t="n"/>
      <c r="G138" s="5" t="n"/>
      <c r="H138" s="5" t="n"/>
      <c r="I138" s="5" t="n"/>
      <c r="J138" s="5" t="n"/>
      <c r="K138" s="5" t="n"/>
      <c r="L138" s="5" t="n"/>
      <c r="M138" s="9" t="n"/>
      <c r="N138" s="9" t="n"/>
      <c r="O138" s="9" t="n"/>
      <c r="P138" s="9" t="n"/>
      <c r="Q138" s="9" t="n"/>
      <c r="R138" s="8">
        <f>IF($A138="","",COUNTIF(INV_Product,$A138))</f>
        <v/>
      </c>
      <c r="S138" s="8">
        <f>IF($A138="","",COUNTIFS(INV_Product,$A138,INV_Status,"Available"))</f>
        <v/>
      </c>
      <c r="T138" s="8">
        <f>IF($D138="","",IF(COUNTIFS(DD_PairCategory,$C138,DD_Subcategory,$D138)&gt;0,"ok","✗ "&amp;$D138&amp;" is not under "&amp;$C138))</f>
        <v/>
      </c>
      <c r="U138" s="8">
        <f>IF($F138="","",IF(COUNTIFS(PM_Brand,$E138,PM_Model,$F138)&gt;1,"⚠ duplicate product",IF(AND($B138&lt;&gt;"",COUNTIF(PM_Short,$B138)&gt;1),"⚠ short code reused","")))</f>
        <v/>
      </c>
      <c r="V138" s="5" t="n"/>
    </row>
    <row r="139">
      <c r="A139" s="8">
        <f>IF($F139="","","PRD-"&amp;TEXT(ROW()-3,"0000"))</f>
        <v/>
      </c>
      <c r="B139" s="5" t="n"/>
      <c r="C139" s="5" t="n"/>
      <c r="D139" s="5" t="n"/>
      <c r="E139" s="5" t="n"/>
      <c r="F139" s="5" t="n"/>
      <c r="G139" s="5" t="n"/>
      <c r="H139" s="5" t="n"/>
      <c r="I139" s="5" t="n"/>
      <c r="J139" s="5" t="n"/>
      <c r="K139" s="5" t="n"/>
      <c r="L139" s="5" t="n"/>
      <c r="M139" s="9" t="n"/>
      <c r="N139" s="9" t="n"/>
      <c r="O139" s="9" t="n"/>
      <c r="P139" s="9" t="n"/>
      <c r="Q139" s="9" t="n"/>
      <c r="R139" s="8">
        <f>IF($A139="","",COUNTIF(INV_Product,$A139))</f>
        <v/>
      </c>
      <c r="S139" s="8">
        <f>IF($A139="","",COUNTIFS(INV_Product,$A139,INV_Status,"Available"))</f>
        <v/>
      </c>
      <c r="T139" s="8">
        <f>IF($D139="","",IF(COUNTIFS(DD_PairCategory,$C139,DD_Subcategory,$D139)&gt;0,"ok","✗ "&amp;$D139&amp;" is not under "&amp;$C139))</f>
        <v/>
      </c>
      <c r="U139" s="8">
        <f>IF($F139="","",IF(COUNTIFS(PM_Brand,$E139,PM_Model,$F139)&gt;1,"⚠ duplicate product",IF(AND($B139&lt;&gt;"",COUNTIF(PM_Short,$B139)&gt;1),"⚠ short code reused","")))</f>
        <v/>
      </c>
      <c r="V139" s="5" t="n"/>
    </row>
    <row r="140">
      <c r="A140" s="8">
        <f>IF($F140="","","PRD-"&amp;TEXT(ROW()-3,"0000"))</f>
        <v/>
      </c>
      <c r="B140" s="5" t="n"/>
      <c r="C140" s="5" t="n"/>
      <c r="D140" s="5" t="n"/>
      <c r="E140" s="5" t="n"/>
      <c r="F140" s="5" t="n"/>
      <c r="G140" s="5" t="n"/>
      <c r="H140" s="5" t="n"/>
      <c r="I140" s="5" t="n"/>
      <c r="J140" s="5" t="n"/>
      <c r="K140" s="5" t="n"/>
      <c r="L140" s="5" t="n"/>
      <c r="M140" s="9" t="n"/>
      <c r="N140" s="9" t="n"/>
      <c r="O140" s="9" t="n"/>
      <c r="P140" s="9" t="n"/>
      <c r="Q140" s="9" t="n"/>
      <c r="R140" s="8">
        <f>IF($A140="","",COUNTIF(INV_Product,$A140))</f>
        <v/>
      </c>
      <c r="S140" s="8">
        <f>IF($A140="","",COUNTIFS(INV_Product,$A140,INV_Status,"Available"))</f>
        <v/>
      </c>
      <c r="T140" s="8">
        <f>IF($D140="","",IF(COUNTIFS(DD_PairCategory,$C140,DD_Subcategory,$D140)&gt;0,"ok","✗ "&amp;$D140&amp;" is not under "&amp;$C140))</f>
        <v/>
      </c>
      <c r="U140" s="8">
        <f>IF($F140="","",IF(COUNTIFS(PM_Brand,$E140,PM_Model,$F140)&gt;1,"⚠ duplicate product",IF(AND($B140&lt;&gt;"",COUNTIF(PM_Short,$B140)&gt;1),"⚠ short code reused","")))</f>
        <v/>
      </c>
      <c r="V140" s="5" t="n"/>
    </row>
    <row r="141">
      <c r="A141" s="8">
        <f>IF($F141="","","PRD-"&amp;TEXT(ROW()-3,"0000"))</f>
        <v/>
      </c>
      <c r="B141" s="5" t="n"/>
      <c r="C141" s="5" t="n"/>
      <c r="D141" s="5" t="n"/>
      <c r="E141" s="5" t="n"/>
      <c r="F141" s="5" t="n"/>
      <c r="G141" s="5" t="n"/>
      <c r="H141" s="5" t="n"/>
      <c r="I141" s="5" t="n"/>
      <c r="J141" s="5" t="n"/>
      <c r="K141" s="5" t="n"/>
      <c r="L141" s="5" t="n"/>
      <c r="M141" s="9" t="n"/>
      <c r="N141" s="9" t="n"/>
      <c r="O141" s="9" t="n"/>
      <c r="P141" s="9" t="n"/>
      <c r="Q141" s="9" t="n"/>
      <c r="R141" s="8">
        <f>IF($A141="","",COUNTIF(INV_Product,$A141))</f>
        <v/>
      </c>
      <c r="S141" s="8">
        <f>IF($A141="","",COUNTIFS(INV_Product,$A141,INV_Status,"Available"))</f>
        <v/>
      </c>
      <c r="T141" s="8">
        <f>IF($D141="","",IF(COUNTIFS(DD_PairCategory,$C141,DD_Subcategory,$D141)&gt;0,"ok","✗ "&amp;$D141&amp;" is not under "&amp;$C141))</f>
        <v/>
      </c>
      <c r="U141" s="8">
        <f>IF($F141="","",IF(COUNTIFS(PM_Brand,$E141,PM_Model,$F141)&gt;1,"⚠ duplicate product",IF(AND($B141&lt;&gt;"",COUNTIF(PM_Short,$B141)&gt;1),"⚠ short code reused","")))</f>
        <v/>
      </c>
      <c r="V141" s="5" t="n"/>
    </row>
    <row r="142">
      <c r="A142" s="8">
        <f>IF($F142="","","PRD-"&amp;TEXT(ROW()-3,"0000"))</f>
        <v/>
      </c>
      <c r="B142" s="5" t="n"/>
      <c r="C142" s="5" t="n"/>
      <c r="D142" s="5" t="n"/>
      <c r="E142" s="5" t="n"/>
      <c r="F142" s="5" t="n"/>
      <c r="G142" s="5" t="n"/>
      <c r="H142" s="5" t="n"/>
      <c r="I142" s="5" t="n"/>
      <c r="J142" s="5" t="n"/>
      <c r="K142" s="5" t="n"/>
      <c r="L142" s="5" t="n"/>
      <c r="M142" s="9" t="n"/>
      <c r="N142" s="9" t="n"/>
      <c r="O142" s="9" t="n"/>
      <c r="P142" s="9" t="n"/>
      <c r="Q142" s="9" t="n"/>
      <c r="R142" s="8">
        <f>IF($A142="","",COUNTIF(INV_Product,$A142))</f>
        <v/>
      </c>
      <c r="S142" s="8">
        <f>IF($A142="","",COUNTIFS(INV_Product,$A142,INV_Status,"Available"))</f>
        <v/>
      </c>
      <c r="T142" s="8">
        <f>IF($D142="","",IF(COUNTIFS(DD_PairCategory,$C142,DD_Subcategory,$D142)&gt;0,"ok","✗ "&amp;$D142&amp;" is not under "&amp;$C142))</f>
        <v/>
      </c>
      <c r="U142" s="8">
        <f>IF($F142="","",IF(COUNTIFS(PM_Brand,$E142,PM_Model,$F142)&gt;1,"⚠ duplicate product",IF(AND($B142&lt;&gt;"",COUNTIF(PM_Short,$B142)&gt;1),"⚠ short code reused","")))</f>
        <v/>
      </c>
      <c r="V142" s="5" t="n"/>
    </row>
    <row r="143">
      <c r="A143" s="8">
        <f>IF($F143="","","PRD-"&amp;TEXT(ROW()-3,"0000"))</f>
        <v/>
      </c>
      <c r="B143" s="5" t="n"/>
      <c r="C143" s="5" t="n"/>
      <c r="D143" s="5" t="n"/>
      <c r="E143" s="5" t="n"/>
      <c r="F143" s="5" t="n"/>
      <c r="G143" s="5" t="n"/>
      <c r="H143" s="5" t="n"/>
      <c r="I143" s="5" t="n"/>
      <c r="J143" s="5" t="n"/>
      <c r="K143" s="5" t="n"/>
      <c r="L143" s="5" t="n"/>
      <c r="M143" s="9" t="n"/>
      <c r="N143" s="9" t="n"/>
      <c r="O143" s="9" t="n"/>
      <c r="P143" s="9" t="n"/>
      <c r="Q143" s="9" t="n"/>
      <c r="R143" s="8">
        <f>IF($A143="","",COUNTIF(INV_Product,$A143))</f>
        <v/>
      </c>
      <c r="S143" s="8">
        <f>IF($A143="","",COUNTIFS(INV_Product,$A143,INV_Status,"Available"))</f>
        <v/>
      </c>
      <c r="T143" s="8">
        <f>IF($D143="","",IF(COUNTIFS(DD_PairCategory,$C143,DD_Subcategory,$D143)&gt;0,"ok","✗ "&amp;$D143&amp;" is not under "&amp;$C143))</f>
        <v/>
      </c>
      <c r="U143" s="8">
        <f>IF($F143="","",IF(COUNTIFS(PM_Brand,$E143,PM_Model,$F143)&gt;1,"⚠ duplicate product",IF(AND($B143&lt;&gt;"",COUNTIF(PM_Short,$B143)&gt;1),"⚠ short code reused","")))</f>
        <v/>
      </c>
      <c r="V143" s="5" t="n"/>
    </row>
    <row r="144">
      <c r="A144" s="8">
        <f>IF($F144="","","PRD-"&amp;TEXT(ROW()-3,"0000"))</f>
        <v/>
      </c>
      <c r="B144" s="5" t="n"/>
      <c r="C144" s="5" t="n"/>
      <c r="D144" s="5" t="n"/>
      <c r="E144" s="5" t="n"/>
      <c r="F144" s="5" t="n"/>
      <c r="G144" s="5" t="n"/>
      <c r="H144" s="5" t="n"/>
      <c r="I144" s="5" t="n"/>
      <c r="J144" s="5" t="n"/>
      <c r="K144" s="5" t="n"/>
      <c r="L144" s="5" t="n"/>
      <c r="M144" s="9" t="n"/>
      <c r="N144" s="9" t="n"/>
      <c r="O144" s="9" t="n"/>
      <c r="P144" s="9" t="n"/>
      <c r="Q144" s="9" t="n"/>
      <c r="R144" s="8">
        <f>IF($A144="","",COUNTIF(INV_Product,$A144))</f>
        <v/>
      </c>
      <c r="S144" s="8">
        <f>IF($A144="","",COUNTIFS(INV_Product,$A144,INV_Status,"Available"))</f>
        <v/>
      </c>
      <c r="T144" s="8">
        <f>IF($D144="","",IF(COUNTIFS(DD_PairCategory,$C144,DD_Subcategory,$D144)&gt;0,"ok","✗ "&amp;$D144&amp;" is not under "&amp;$C144))</f>
        <v/>
      </c>
      <c r="U144" s="8">
        <f>IF($F144="","",IF(COUNTIFS(PM_Brand,$E144,PM_Model,$F144)&gt;1,"⚠ duplicate product",IF(AND($B144&lt;&gt;"",COUNTIF(PM_Short,$B144)&gt;1),"⚠ short code reused","")))</f>
        <v/>
      </c>
      <c r="V144" s="5" t="n"/>
    </row>
    <row r="145">
      <c r="A145" s="8">
        <f>IF($F145="","","PRD-"&amp;TEXT(ROW()-3,"0000"))</f>
        <v/>
      </c>
      <c r="B145" s="5" t="n"/>
      <c r="C145" s="5" t="n"/>
      <c r="D145" s="5" t="n"/>
      <c r="E145" s="5" t="n"/>
      <c r="F145" s="5" t="n"/>
      <c r="G145" s="5" t="n"/>
      <c r="H145" s="5" t="n"/>
      <c r="I145" s="5" t="n"/>
      <c r="J145" s="5" t="n"/>
      <c r="K145" s="5" t="n"/>
      <c r="L145" s="5" t="n"/>
      <c r="M145" s="9" t="n"/>
      <c r="N145" s="9" t="n"/>
      <c r="O145" s="9" t="n"/>
      <c r="P145" s="9" t="n"/>
      <c r="Q145" s="9" t="n"/>
      <c r="R145" s="8">
        <f>IF($A145="","",COUNTIF(INV_Product,$A145))</f>
        <v/>
      </c>
      <c r="S145" s="8">
        <f>IF($A145="","",COUNTIFS(INV_Product,$A145,INV_Status,"Available"))</f>
        <v/>
      </c>
      <c r="T145" s="8">
        <f>IF($D145="","",IF(COUNTIFS(DD_PairCategory,$C145,DD_Subcategory,$D145)&gt;0,"ok","✗ "&amp;$D145&amp;" is not under "&amp;$C145))</f>
        <v/>
      </c>
      <c r="U145" s="8">
        <f>IF($F145="","",IF(COUNTIFS(PM_Brand,$E145,PM_Model,$F145)&gt;1,"⚠ duplicate product",IF(AND($B145&lt;&gt;"",COUNTIF(PM_Short,$B145)&gt;1),"⚠ short code reused","")))</f>
        <v/>
      </c>
      <c r="V145" s="5" t="n"/>
    </row>
    <row r="146">
      <c r="A146" s="8">
        <f>IF($F146="","","PRD-"&amp;TEXT(ROW()-3,"0000"))</f>
        <v/>
      </c>
      <c r="B146" s="5" t="n"/>
      <c r="C146" s="5" t="n"/>
      <c r="D146" s="5" t="n"/>
      <c r="E146" s="5" t="n"/>
      <c r="F146" s="5" t="n"/>
      <c r="G146" s="5" t="n"/>
      <c r="H146" s="5" t="n"/>
      <c r="I146" s="5" t="n"/>
      <c r="J146" s="5" t="n"/>
      <c r="K146" s="5" t="n"/>
      <c r="L146" s="5" t="n"/>
      <c r="M146" s="9" t="n"/>
      <c r="N146" s="9" t="n"/>
      <c r="O146" s="9" t="n"/>
      <c r="P146" s="9" t="n"/>
      <c r="Q146" s="9" t="n"/>
      <c r="R146" s="8">
        <f>IF($A146="","",COUNTIF(INV_Product,$A146))</f>
        <v/>
      </c>
      <c r="S146" s="8">
        <f>IF($A146="","",COUNTIFS(INV_Product,$A146,INV_Status,"Available"))</f>
        <v/>
      </c>
      <c r="T146" s="8">
        <f>IF($D146="","",IF(COUNTIFS(DD_PairCategory,$C146,DD_Subcategory,$D146)&gt;0,"ok","✗ "&amp;$D146&amp;" is not under "&amp;$C146))</f>
        <v/>
      </c>
      <c r="U146" s="8">
        <f>IF($F146="","",IF(COUNTIFS(PM_Brand,$E146,PM_Model,$F146)&gt;1,"⚠ duplicate product",IF(AND($B146&lt;&gt;"",COUNTIF(PM_Short,$B146)&gt;1),"⚠ short code reused","")))</f>
        <v/>
      </c>
      <c r="V146" s="5" t="n"/>
    </row>
    <row r="147">
      <c r="A147" s="8">
        <f>IF($F147="","","PRD-"&amp;TEXT(ROW()-3,"0000"))</f>
        <v/>
      </c>
      <c r="B147" s="5" t="n"/>
      <c r="C147" s="5" t="n"/>
      <c r="D147" s="5" t="n"/>
      <c r="E147" s="5" t="n"/>
      <c r="F147" s="5" t="n"/>
      <c r="G147" s="5" t="n"/>
      <c r="H147" s="5" t="n"/>
      <c r="I147" s="5" t="n"/>
      <c r="J147" s="5" t="n"/>
      <c r="K147" s="5" t="n"/>
      <c r="L147" s="5" t="n"/>
      <c r="M147" s="9" t="n"/>
      <c r="N147" s="9" t="n"/>
      <c r="O147" s="9" t="n"/>
      <c r="P147" s="9" t="n"/>
      <c r="Q147" s="9" t="n"/>
      <c r="R147" s="8">
        <f>IF($A147="","",COUNTIF(INV_Product,$A147))</f>
        <v/>
      </c>
      <c r="S147" s="8">
        <f>IF($A147="","",COUNTIFS(INV_Product,$A147,INV_Status,"Available"))</f>
        <v/>
      </c>
      <c r="T147" s="8">
        <f>IF($D147="","",IF(COUNTIFS(DD_PairCategory,$C147,DD_Subcategory,$D147)&gt;0,"ok","✗ "&amp;$D147&amp;" is not under "&amp;$C147))</f>
        <v/>
      </c>
      <c r="U147" s="8">
        <f>IF($F147="","",IF(COUNTIFS(PM_Brand,$E147,PM_Model,$F147)&gt;1,"⚠ duplicate product",IF(AND($B147&lt;&gt;"",COUNTIF(PM_Short,$B147)&gt;1),"⚠ short code reused","")))</f>
        <v/>
      </c>
      <c r="V147" s="5" t="n"/>
    </row>
    <row r="148">
      <c r="A148" s="8">
        <f>IF($F148="","","PRD-"&amp;TEXT(ROW()-3,"0000"))</f>
        <v/>
      </c>
      <c r="B148" s="5" t="n"/>
      <c r="C148" s="5" t="n"/>
      <c r="D148" s="5" t="n"/>
      <c r="E148" s="5" t="n"/>
      <c r="F148" s="5" t="n"/>
      <c r="G148" s="5" t="n"/>
      <c r="H148" s="5" t="n"/>
      <c r="I148" s="5" t="n"/>
      <c r="J148" s="5" t="n"/>
      <c r="K148" s="5" t="n"/>
      <c r="L148" s="5" t="n"/>
      <c r="M148" s="9" t="n"/>
      <c r="N148" s="9" t="n"/>
      <c r="O148" s="9" t="n"/>
      <c r="P148" s="9" t="n"/>
      <c r="Q148" s="9" t="n"/>
      <c r="R148" s="8">
        <f>IF($A148="","",COUNTIF(INV_Product,$A148))</f>
        <v/>
      </c>
      <c r="S148" s="8">
        <f>IF($A148="","",COUNTIFS(INV_Product,$A148,INV_Status,"Available"))</f>
        <v/>
      </c>
      <c r="T148" s="8">
        <f>IF($D148="","",IF(COUNTIFS(DD_PairCategory,$C148,DD_Subcategory,$D148)&gt;0,"ok","✗ "&amp;$D148&amp;" is not under "&amp;$C148))</f>
        <v/>
      </c>
      <c r="U148" s="8">
        <f>IF($F148="","",IF(COUNTIFS(PM_Brand,$E148,PM_Model,$F148)&gt;1,"⚠ duplicate product",IF(AND($B148&lt;&gt;"",COUNTIF(PM_Short,$B148)&gt;1),"⚠ short code reused","")))</f>
        <v/>
      </c>
      <c r="V148" s="5" t="n"/>
    </row>
    <row r="149">
      <c r="A149" s="8">
        <f>IF($F149="","","PRD-"&amp;TEXT(ROW()-3,"0000"))</f>
        <v/>
      </c>
      <c r="B149" s="5" t="n"/>
      <c r="C149" s="5" t="n"/>
      <c r="D149" s="5" t="n"/>
      <c r="E149" s="5" t="n"/>
      <c r="F149" s="5" t="n"/>
      <c r="G149" s="5" t="n"/>
      <c r="H149" s="5" t="n"/>
      <c r="I149" s="5" t="n"/>
      <c r="J149" s="5" t="n"/>
      <c r="K149" s="5" t="n"/>
      <c r="L149" s="5" t="n"/>
      <c r="M149" s="9" t="n"/>
      <c r="N149" s="9" t="n"/>
      <c r="O149" s="9" t="n"/>
      <c r="P149" s="9" t="n"/>
      <c r="Q149" s="9" t="n"/>
      <c r="R149" s="8">
        <f>IF($A149="","",COUNTIF(INV_Product,$A149))</f>
        <v/>
      </c>
      <c r="S149" s="8">
        <f>IF($A149="","",COUNTIFS(INV_Product,$A149,INV_Status,"Available"))</f>
        <v/>
      </c>
      <c r="T149" s="8">
        <f>IF($D149="","",IF(COUNTIFS(DD_PairCategory,$C149,DD_Subcategory,$D149)&gt;0,"ok","✗ "&amp;$D149&amp;" is not under "&amp;$C149))</f>
        <v/>
      </c>
      <c r="U149" s="8">
        <f>IF($F149="","",IF(COUNTIFS(PM_Brand,$E149,PM_Model,$F149)&gt;1,"⚠ duplicate product",IF(AND($B149&lt;&gt;"",COUNTIF(PM_Short,$B149)&gt;1),"⚠ short code reused","")))</f>
        <v/>
      </c>
      <c r="V149" s="5" t="n"/>
    </row>
    <row r="150">
      <c r="A150" s="8">
        <f>IF($F150="","","PRD-"&amp;TEXT(ROW()-3,"0000"))</f>
        <v/>
      </c>
      <c r="B150" s="5" t="n"/>
      <c r="C150" s="5" t="n"/>
      <c r="D150" s="5" t="n"/>
      <c r="E150" s="5" t="n"/>
      <c r="F150" s="5" t="n"/>
      <c r="G150" s="5" t="n"/>
      <c r="H150" s="5" t="n"/>
      <c r="I150" s="5" t="n"/>
      <c r="J150" s="5" t="n"/>
      <c r="K150" s="5" t="n"/>
      <c r="L150" s="5" t="n"/>
      <c r="M150" s="9" t="n"/>
      <c r="N150" s="9" t="n"/>
      <c r="O150" s="9" t="n"/>
      <c r="P150" s="9" t="n"/>
      <c r="Q150" s="9" t="n"/>
      <c r="R150" s="8">
        <f>IF($A150="","",COUNTIF(INV_Product,$A150))</f>
        <v/>
      </c>
      <c r="S150" s="8">
        <f>IF($A150="","",COUNTIFS(INV_Product,$A150,INV_Status,"Available"))</f>
        <v/>
      </c>
      <c r="T150" s="8">
        <f>IF($D150="","",IF(COUNTIFS(DD_PairCategory,$C150,DD_Subcategory,$D150)&gt;0,"ok","✗ "&amp;$D150&amp;" is not under "&amp;$C150))</f>
        <v/>
      </c>
      <c r="U150" s="8">
        <f>IF($F150="","",IF(COUNTIFS(PM_Brand,$E150,PM_Model,$F150)&gt;1,"⚠ duplicate product",IF(AND($B150&lt;&gt;"",COUNTIF(PM_Short,$B150)&gt;1),"⚠ short code reused","")))</f>
        <v/>
      </c>
      <c r="V150" s="5" t="n"/>
    </row>
    <row r="151">
      <c r="A151" s="8">
        <f>IF($F151="","","PRD-"&amp;TEXT(ROW()-3,"0000"))</f>
        <v/>
      </c>
      <c r="B151" s="5" t="n"/>
      <c r="C151" s="5" t="n"/>
      <c r="D151" s="5" t="n"/>
      <c r="E151" s="5" t="n"/>
      <c r="F151" s="5" t="n"/>
      <c r="G151" s="5" t="n"/>
      <c r="H151" s="5" t="n"/>
      <c r="I151" s="5" t="n"/>
      <c r="J151" s="5" t="n"/>
      <c r="K151" s="5" t="n"/>
      <c r="L151" s="5" t="n"/>
      <c r="M151" s="9" t="n"/>
      <c r="N151" s="9" t="n"/>
      <c r="O151" s="9" t="n"/>
      <c r="P151" s="9" t="n"/>
      <c r="Q151" s="9" t="n"/>
      <c r="R151" s="8">
        <f>IF($A151="","",COUNTIF(INV_Product,$A151))</f>
        <v/>
      </c>
      <c r="S151" s="8">
        <f>IF($A151="","",COUNTIFS(INV_Product,$A151,INV_Status,"Available"))</f>
        <v/>
      </c>
      <c r="T151" s="8">
        <f>IF($D151="","",IF(COUNTIFS(DD_PairCategory,$C151,DD_Subcategory,$D151)&gt;0,"ok","✗ "&amp;$D151&amp;" is not under "&amp;$C151))</f>
        <v/>
      </c>
      <c r="U151" s="8">
        <f>IF($F151="","",IF(COUNTIFS(PM_Brand,$E151,PM_Model,$F151)&gt;1,"⚠ duplicate product",IF(AND($B151&lt;&gt;"",COUNTIF(PM_Short,$B151)&gt;1),"⚠ short code reused","")))</f>
        <v/>
      </c>
      <c r="V151" s="5" t="n"/>
    </row>
    <row r="152">
      <c r="A152" s="8">
        <f>IF($F152="","","PRD-"&amp;TEXT(ROW()-3,"0000"))</f>
        <v/>
      </c>
      <c r="B152" s="5" t="n"/>
      <c r="C152" s="5" t="n"/>
      <c r="D152" s="5" t="n"/>
      <c r="E152" s="5" t="n"/>
      <c r="F152" s="5" t="n"/>
      <c r="G152" s="5" t="n"/>
      <c r="H152" s="5" t="n"/>
      <c r="I152" s="5" t="n"/>
      <c r="J152" s="5" t="n"/>
      <c r="K152" s="5" t="n"/>
      <c r="L152" s="5" t="n"/>
      <c r="M152" s="9" t="n"/>
      <c r="N152" s="9" t="n"/>
      <c r="O152" s="9" t="n"/>
      <c r="P152" s="9" t="n"/>
      <c r="Q152" s="9" t="n"/>
      <c r="R152" s="8">
        <f>IF($A152="","",COUNTIF(INV_Product,$A152))</f>
        <v/>
      </c>
      <c r="S152" s="8">
        <f>IF($A152="","",COUNTIFS(INV_Product,$A152,INV_Status,"Available"))</f>
        <v/>
      </c>
      <c r="T152" s="8">
        <f>IF($D152="","",IF(COUNTIFS(DD_PairCategory,$C152,DD_Subcategory,$D152)&gt;0,"ok","✗ "&amp;$D152&amp;" is not under "&amp;$C152))</f>
        <v/>
      </c>
      <c r="U152" s="8">
        <f>IF($F152="","",IF(COUNTIFS(PM_Brand,$E152,PM_Model,$F152)&gt;1,"⚠ duplicate product",IF(AND($B152&lt;&gt;"",COUNTIF(PM_Short,$B152)&gt;1),"⚠ short code reused","")))</f>
        <v/>
      </c>
      <c r="V152" s="5" t="n"/>
    </row>
    <row r="153">
      <c r="A153" s="8">
        <f>IF($F153="","","PRD-"&amp;TEXT(ROW()-3,"0000"))</f>
        <v/>
      </c>
      <c r="B153" s="5" t="n"/>
      <c r="C153" s="5" t="n"/>
      <c r="D153" s="5" t="n"/>
      <c r="E153" s="5" t="n"/>
      <c r="F153" s="5" t="n"/>
      <c r="G153" s="5" t="n"/>
      <c r="H153" s="5" t="n"/>
      <c r="I153" s="5" t="n"/>
      <c r="J153" s="5" t="n"/>
      <c r="K153" s="5" t="n"/>
      <c r="L153" s="5" t="n"/>
      <c r="M153" s="9" t="n"/>
      <c r="N153" s="9" t="n"/>
      <c r="O153" s="9" t="n"/>
      <c r="P153" s="9" t="n"/>
      <c r="Q153" s="9" t="n"/>
      <c r="R153" s="8">
        <f>IF($A153="","",COUNTIF(INV_Product,$A153))</f>
        <v/>
      </c>
      <c r="S153" s="8">
        <f>IF($A153="","",COUNTIFS(INV_Product,$A153,INV_Status,"Available"))</f>
        <v/>
      </c>
      <c r="T153" s="8">
        <f>IF($D153="","",IF(COUNTIFS(DD_PairCategory,$C153,DD_Subcategory,$D153)&gt;0,"ok","✗ "&amp;$D153&amp;" is not under "&amp;$C153))</f>
        <v/>
      </c>
      <c r="U153" s="8">
        <f>IF($F153="","",IF(COUNTIFS(PM_Brand,$E153,PM_Model,$F153)&gt;1,"⚠ duplicate product",IF(AND($B153&lt;&gt;"",COUNTIF(PM_Short,$B153)&gt;1),"⚠ short code reused","")))</f>
        <v/>
      </c>
      <c r="V153" s="5" t="n"/>
    </row>
    <row r="154">
      <c r="A154" s="8">
        <f>IF($F154="","","PRD-"&amp;TEXT(ROW()-3,"0000"))</f>
        <v/>
      </c>
      <c r="B154" s="5" t="n"/>
      <c r="C154" s="5" t="n"/>
      <c r="D154" s="5" t="n"/>
      <c r="E154" s="5" t="n"/>
      <c r="F154" s="5" t="n"/>
      <c r="G154" s="5" t="n"/>
      <c r="H154" s="5" t="n"/>
      <c r="I154" s="5" t="n"/>
      <c r="J154" s="5" t="n"/>
      <c r="K154" s="5" t="n"/>
      <c r="L154" s="5" t="n"/>
      <c r="M154" s="9" t="n"/>
      <c r="N154" s="9" t="n"/>
      <c r="O154" s="9" t="n"/>
      <c r="P154" s="9" t="n"/>
      <c r="Q154" s="9" t="n"/>
      <c r="R154" s="8">
        <f>IF($A154="","",COUNTIF(INV_Product,$A154))</f>
        <v/>
      </c>
      <c r="S154" s="8">
        <f>IF($A154="","",COUNTIFS(INV_Product,$A154,INV_Status,"Available"))</f>
        <v/>
      </c>
      <c r="T154" s="8">
        <f>IF($D154="","",IF(COUNTIFS(DD_PairCategory,$C154,DD_Subcategory,$D154)&gt;0,"ok","✗ "&amp;$D154&amp;" is not under "&amp;$C154))</f>
        <v/>
      </c>
      <c r="U154" s="8">
        <f>IF($F154="","",IF(COUNTIFS(PM_Brand,$E154,PM_Model,$F154)&gt;1,"⚠ duplicate product",IF(AND($B154&lt;&gt;"",COUNTIF(PM_Short,$B154)&gt;1),"⚠ short code reused","")))</f>
        <v/>
      </c>
      <c r="V154" s="5" t="n"/>
    </row>
    <row r="155">
      <c r="A155" s="8">
        <f>IF($F155="","","PRD-"&amp;TEXT(ROW()-3,"0000"))</f>
        <v/>
      </c>
      <c r="B155" s="5" t="n"/>
      <c r="C155" s="5" t="n"/>
      <c r="D155" s="5" t="n"/>
      <c r="E155" s="5" t="n"/>
      <c r="F155" s="5" t="n"/>
      <c r="G155" s="5" t="n"/>
      <c r="H155" s="5" t="n"/>
      <c r="I155" s="5" t="n"/>
      <c r="J155" s="5" t="n"/>
      <c r="K155" s="5" t="n"/>
      <c r="L155" s="5" t="n"/>
      <c r="M155" s="9" t="n"/>
      <c r="N155" s="9" t="n"/>
      <c r="O155" s="9" t="n"/>
      <c r="P155" s="9" t="n"/>
      <c r="Q155" s="9" t="n"/>
      <c r="R155" s="8">
        <f>IF($A155="","",COUNTIF(INV_Product,$A155))</f>
        <v/>
      </c>
      <c r="S155" s="8">
        <f>IF($A155="","",COUNTIFS(INV_Product,$A155,INV_Status,"Available"))</f>
        <v/>
      </c>
      <c r="T155" s="8">
        <f>IF($D155="","",IF(COUNTIFS(DD_PairCategory,$C155,DD_Subcategory,$D155)&gt;0,"ok","✗ "&amp;$D155&amp;" is not under "&amp;$C155))</f>
        <v/>
      </c>
      <c r="U155" s="8">
        <f>IF($F155="","",IF(COUNTIFS(PM_Brand,$E155,PM_Model,$F155)&gt;1,"⚠ duplicate product",IF(AND($B155&lt;&gt;"",COUNTIF(PM_Short,$B155)&gt;1),"⚠ short code reused","")))</f>
        <v/>
      </c>
      <c r="V155" s="5" t="n"/>
    </row>
    <row r="156">
      <c r="A156" s="8">
        <f>IF($F156="","","PRD-"&amp;TEXT(ROW()-3,"0000"))</f>
        <v/>
      </c>
      <c r="B156" s="5" t="n"/>
      <c r="C156" s="5" t="n"/>
      <c r="D156" s="5" t="n"/>
      <c r="E156" s="5" t="n"/>
      <c r="F156" s="5" t="n"/>
      <c r="G156" s="5" t="n"/>
      <c r="H156" s="5" t="n"/>
      <c r="I156" s="5" t="n"/>
      <c r="J156" s="5" t="n"/>
      <c r="K156" s="5" t="n"/>
      <c r="L156" s="5" t="n"/>
      <c r="M156" s="9" t="n"/>
      <c r="N156" s="9" t="n"/>
      <c r="O156" s="9" t="n"/>
      <c r="P156" s="9" t="n"/>
      <c r="Q156" s="9" t="n"/>
      <c r="R156" s="8">
        <f>IF($A156="","",COUNTIF(INV_Product,$A156))</f>
        <v/>
      </c>
      <c r="S156" s="8">
        <f>IF($A156="","",COUNTIFS(INV_Product,$A156,INV_Status,"Available"))</f>
        <v/>
      </c>
      <c r="T156" s="8">
        <f>IF($D156="","",IF(COUNTIFS(DD_PairCategory,$C156,DD_Subcategory,$D156)&gt;0,"ok","✗ "&amp;$D156&amp;" is not under "&amp;$C156))</f>
        <v/>
      </c>
      <c r="U156" s="8">
        <f>IF($F156="","",IF(COUNTIFS(PM_Brand,$E156,PM_Model,$F156)&gt;1,"⚠ duplicate product",IF(AND($B156&lt;&gt;"",COUNTIF(PM_Short,$B156)&gt;1),"⚠ short code reused","")))</f>
        <v/>
      </c>
      <c r="V156" s="5" t="n"/>
    </row>
    <row r="157">
      <c r="A157" s="8">
        <f>IF($F157="","","PRD-"&amp;TEXT(ROW()-3,"0000"))</f>
        <v/>
      </c>
      <c r="B157" s="5" t="n"/>
      <c r="C157" s="5" t="n"/>
      <c r="D157" s="5" t="n"/>
      <c r="E157" s="5" t="n"/>
      <c r="F157" s="5" t="n"/>
      <c r="G157" s="5" t="n"/>
      <c r="H157" s="5" t="n"/>
      <c r="I157" s="5" t="n"/>
      <c r="J157" s="5" t="n"/>
      <c r="K157" s="5" t="n"/>
      <c r="L157" s="5" t="n"/>
      <c r="M157" s="9" t="n"/>
      <c r="N157" s="9" t="n"/>
      <c r="O157" s="9" t="n"/>
      <c r="P157" s="9" t="n"/>
      <c r="Q157" s="9" t="n"/>
      <c r="R157" s="8">
        <f>IF($A157="","",COUNTIF(INV_Product,$A157))</f>
        <v/>
      </c>
      <c r="S157" s="8">
        <f>IF($A157="","",COUNTIFS(INV_Product,$A157,INV_Status,"Available"))</f>
        <v/>
      </c>
      <c r="T157" s="8">
        <f>IF($D157="","",IF(COUNTIFS(DD_PairCategory,$C157,DD_Subcategory,$D157)&gt;0,"ok","✗ "&amp;$D157&amp;" is not under "&amp;$C157))</f>
        <v/>
      </c>
      <c r="U157" s="8">
        <f>IF($F157="","",IF(COUNTIFS(PM_Brand,$E157,PM_Model,$F157)&gt;1,"⚠ duplicate product",IF(AND($B157&lt;&gt;"",COUNTIF(PM_Short,$B157)&gt;1),"⚠ short code reused","")))</f>
        <v/>
      </c>
      <c r="V157" s="5" t="n"/>
    </row>
    <row r="158">
      <c r="A158" s="8">
        <f>IF($F158="","","PRD-"&amp;TEXT(ROW()-3,"0000"))</f>
        <v/>
      </c>
      <c r="B158" s="5" t="n"/>
      <c r="C158" s="5" t="n"/>
      <c r="D158" s="5" t="n"/>
      <c r="E158" s="5" t="n"/>
      <c r="F158" s="5" t="n"/>
      <c r="G158" s="5" t="n"/>
      <c r="H158" s="5" t="n"/>
      <c r="I158" s="5" t="n"/>
      <c r="J158" s="5" t="n"/>
      <c r="K158" s="5" t="n"/>
      <c r="L158" s="5" t="n"/>
      <c r="M158" s="9" t="n"/>
      <c r="N158" s="9" t="n"/>
      <c r="O158" s="9" t="n"/>
      <c r="P158" s="9" t="n"/>
      <c r="Q158" s="9" t="n"/>
      <c r="R158" s="8">
        <f>IF($A158="","",COUNTIF(INV_Product,$A158))</f>
        <v/>
      </c>
      <c r="S158" s="8">
        <f>IF($A158="","",COUNTIFS(INV_Product,$A158,INV_Status,"Available"))</f>
        <v/>
      </c>
      <c r="T158" s="8">
        <f>IF($D158="","",IF(COUNTIFS(DD_PairCategory,$C158,DD_Subcategory,$D158)&gt;0,"ok","✗ "&amp;$D158&amp;" is not under "&amp;$C158))</f>
        <v/>
      </c>
      <c r="U158" s="8">
        <f>IF($F158="","",IF(COUNTIFS(PM_Brand,$E158,PM_Model,$F158)&gt;1,"⚠ duplicate product",IF(AND($B158&lt;&gt;"",COUNTIF(PM_Short,$B158)&gt;1),"⚠ short code reused","")))</f>
        <v/>
      </c>
      <c r="V158" s="5" t="n"/>
    </row>
    <row r="159">
      <c r="A159" s="8">
        <f>IF($F159="","","PRD-"&amp;TEXT(ROW()-3,"0000"))</f>
        <v/>
      </c>
      <c r="B159" s="5" t="n"/>
      <c r="C159" s="5" t="n"/>
      <c r="D159" s="5" t="n"/>
      <c r="E159" s="5" t="n"/>
      <c r="F159" s="5" t="n"/>
      <c r="G159" s="5" t="n"/>
      <c r="H159" s="5" t="n"/>
      <c r="I159" s="5" t="n"/>
      <c r="J159" s="5" t="n"/>
      <c r="K159" s="5" t="n"/>
      <c r="L159" s="5" t="n"/>
      <c r="M159" s="9" t="n"/>
      <c r="N159" s="9" t="n"/>
      <c r="O159" s="9" t="n"/>
      <c r="P159" s="9" t="n"/>
      <c r="Q159" s="9" t="n"/>
      <c r="R159" s="8">
        <f>IF($A159="","",COUNTIF(INV_Product,$A159))</f>
        <v/>
      </c>
      <c r="S159" s="8">
        <f>IF($A159="","",COUNTIFS(INV_Product,$A159,INV_Status,"Available"))</f>
        <v/>
      </c>
      <c r="T159" s="8">
        <f>IF($D159="","",IF(COUNTIFS(DD_PairCategory,$C159,DD_Subcategory,$D159)&gt;0,"ok","✗ "&amp;$D159&amp;" is not under "&amp;$C159))</f>
        <v/>
      </c>
      <c r="U159" s="8">
        <f>IF($F159="","",IF(COUNTIFS(PM_Brand,$E159,PM_Model,$F159)&gt;1,"⚠ duplicate product",IF(AND($B159&lt;&gt;"",COUNTIF(PM_Short,$B159)&gt;1),"⚠ short code reused","")))</f>
        <v/>
      </c>
      <c r="V159" s="5" t="n"/>
    </row>
    <row r="160">
      <c r="A160" s="8">
        <f>IF($F160="","","PRD-"&amp;TEXT(ROW()-3,"0000"))</f>
        <v/>
      </c>
      <c r="B160" s="5" t="n"/>
      <c r="C160" s="5" t="n"/>
      <c r="D160" s="5" t="n"/>
      <c r="E160" s="5" t="n"/>
      <c r="F160" s="5" t="n"/>
      <c r="G160" s="5" t="n"/>
      <c r="H160" s="5" t="n"/>
      <c r="I160" s="5" t="n"/>
      <c r="J160" s="5" t="n"/>
      <c r="K160" s="5" t="n"/>
      <c r="L160" s="5" t="n"/>
      <c r="M160" s="9" t="n"/>
      <c r="N160" s="9" t="n"/>
      <c r="O160" s="9" t="n"/>
      <c r="P160" s="9" t="n"/>
      <c r="Q160" s="9" t="n"/>
      <c r="R160" s="8">
        <f>IF($A160="","",COUNTIF(INV_Product,$A160))</f>
        <v/>
      </c>
      <c r="S160" s="8">
        <f>IF($A160="","",COUNTIFS(INV_Product,$A160,INV_Status,"Available"))</f>
        <v/>
      </c>
      <c r="T160" s="8">
        <f>IF($D160="","",IF(COUNTIFS(DD_PairCategory,$C160,DD_Subcategory,$D160)&gt;0,"ok","✗ "&amp;$D160&amp;" is not under "&amp;$C160))</f>
        <v/>
      </c>
      <c r="U160" s="8">
        <f>IF($F160="","",IF(COUNTIFS(PM_Brand,$E160,PM_Model,$F160)&gt;1,"⚠ duplicate product",IF(AND($B160&lt;&gt;"",COUNTIF(PM_Short,$B160)&gt;1),"⚠ short code reused","")))</f>
        <v/>
      </c>
      <c r="V160" s="5" t="n"/>
    </row>
    <row r="161">
      <c r="A161" s="8">
        <f>IF($F161="","","PRD-"&amp;TEXT(ROW()-3,"0000"))</f>
        <v/>
      </c>
      <c r="B161" s="5" t="n"/>
      <c r="C161" s="5" t="n"/>
      <c r="D161" s="5" t="n"/>
      <c r="E161" s="5" t="n"/>
      <c r="F161" s="5" t="n"/>
      <c r="G161" s="5" t="n"/>
      <c r="H161" s="5" t="n"/>
      <c r="I161" s="5" t="n"/>
      <c r="J161" s="5" t="n"/>
      <c r="K161" s="5" t="n"/>
      <c r="L161" s="5" t="n"/>
      <c r="M161" s="9" t="n"/>
      <c r="N161" s="9" t="n"/>
      <c r="O161" s="9" t="n"/>
      <c r="P161" s="9" t="n"/>
      <c r="Q161" s="9" t="n"/>
      <c r="R161" s="8">
        <f>IF($A161="","",COUNTIF(INV_Product,$A161))</f>
        <v/>
      </c>
      <c r="S161" s="8">
        <f>IF($A161="","",COUNTIFS(INV_Product,$A161,INV_Status,"Available"))</f>
        <v/>
      </c>
      <c r="T161" s="8">
        <f>IF($D161="","",IF(COUNTIFS(DD_PairCategory,$C161,DD_Subcategory,$D161)&gt;0,"ok","✗ "&amp;$D161&amp;" is not under "&amp;$C161))</f>
        <v/>
      </c>
      <c r="U161" s="8">
        <f>IF($F161="","",IF(COUNTIFS(PM_Brand,$E161,PM_Model,$F161)&gt;1,"⚠ duplicate product",IF(AND($B161&lt;&gt;"",COUNTIF(PM_Short,$B161)&gt;1),"⚠ short code reused","")))</f>
        <v/>
      </c>
      <c r="V161" s="5" t="n"/>
    </row>
    <row r="162">
      <c r="A162" s="8">
        <f>IF($F162="","","PRD-"&amp;TEXT(ROW()-3,"0000"))</f>
        <v/>
      </c>
      <c r="B162" s="5" t="n"/>
      <c r="C162" s="5" t="n"/>
      <c r="D162" s="5" t="n"/>
      <c r="E162" s="5" t="n"/>
      <c r="F162" s="5" t="n"/>
      <c r="G162" s="5" t="n"/>
      <c r="H162" s="5" t="n"/>
      <c r="I162" s="5" t="n"/>
      <c r="J162" s="5" t="n"/>
      <c r="K162" s="5" t="n"/>
      <c r="L162" s="5" t="n"/>
      <c r="M162" s="9" t="n"/>
      <c r="N162" s="9" t="n"/>
      <c r="O162" s="9" t="n"/>
      <c r="P162" s="9" t="n"/>
      <c r="Q162" s="9" t="n"/>
      <c r="R162" s="8">
        <f>IF($A162="","",COUNTIF(INV_Product,$A162))</f>
        <v/>
      </c>
      <c r="S162" s="8">
        <f>IF($A162="","",COUNTIFS(INV_Product,$A162,INV_Status,"Available"))</f>
        <v/>
      </c>
      <c r="T162" s="8">
        <f>IF($D162="","",IF(COUNTIFS(DD_PairCategory,$C162,DD_Subcategory,$D162)&gt;0,"ok","✗ "&amp;$D162&amp;" is not under "&amp;$C162))</f>
        <v/>
      </c>
      <c r="U162" s="8">
        <f>IF($F162="","",IF(COUNTIFS(PM_Brand,$E162,PM_Model,$F162)&gt;1,"⚠ duplicate product",IF(AND($B162&lt;&gt;"",COUNTIF(PM_Short,$B162)&gt;1),"⚠ short code reused","")))</f>
        <v/>
      </c>
      <c r="V162" s="5" t="n"/>
    </row>
    <row r="163">
      <c r="A163" s="8">
        <f>IF($F163="","","PRD-"&amp;TEXT(ROW()-3,"0000"))</f>
        <v/>
      </c>
      <c r="B163" s="5" t="n"/>
      <c r="C163" s="5" t="n"/>
      <c r="D163" s="5" t="n"/>
      <c r="E163" s="5" t="n"/>
      <c r="F163" s="5" t="n"/>
      <c r="G163" s="5" t="n"/>
      <c r="H163" s="5" t="n"/>
      <c r="I163" s="5" t="n"/>
      <c r="J163" s="5" t="n"/>
      <c r="K163" s="5" t="n"/>
      <c r="L163" s="5" t="n"/>
      <c r="M163" s="9" t="n"/>
      <c r="N163" s="9" t="n"/>
      <c r="O163" s="9" t="n"/>
      <c r="P163" s="9" t="n"/>
      <c r="Q163" s="9" t="n"/>
      <c r="R163" s="8">
        <f>IF($A163="","",COUNTIF(INV_Product,$A163))</f>
        <v/>
      </c>
      <c r="S163" s="8">
        <f>IF($A163="","",COUNTIFS(INV_Product,$A163,INV_Status,"Available"))</f>
        <v/>
      </c>
      <c r="T163" s="8">
        <f>IF($D163="","",IF(COUNTIFS(DD_PairCategory,$C163,DD_Subcategory,$D163)&gt;0,"ok","✗ "&amp;$D163&amp;" is not under "&amp;$C163))</f>
        <v/>
      </c>
      <c r="U163" s="8">
        <f>IF($F163="","",IF(COUNTIFS(PM_Brand,$E163,PM_Model,$F163)&gt;1,"⚠ duplicate product",IF(AND($B163&lt;&gt;"",COUNTIF(PM_Short,$B163)&gt;1),"⚠ short code reused","")))</f>
        <v/>
      </c>
      <c r="V163" s="5" t="n"/>
    </row>
    <row r="164">
      <c r="A164" s="8">
        <f>IF($F164="","","PRD-"&amp;TEXT(ROW()-3,"0000"))</f>
        <v/>
      </c>
      <c r="B164" s="5" t="n"/>
      <c r="C164" s="5" t="n"/>
      <c r="D164" s="5" t="n"/>
      <c r="E164" s="5" t="n"/>
      <c r="F164" s="5" t="n"/>
      <c r="G164" s="5" t="n"/>
      <c r="H164" s="5" t="n"/>
      <c r="I164" s="5" t="n"/>
      <c r="J164" s="5" t="n"/>
      <c r="K164" s="5" t="n"/>
      <c r="L164" s="5" t="n"/>
      <c r="M164" s="9" t="n"/>
      <c r="N164" s="9" t="n"/>
      <c r="O164" s="9" t="n"/>
      <c r="P164" s="9" t="n"/>
      <c r="Q164" s="9" t="n"/>
      <c r="R164" s="8">
        <f>IF($A164="","",COUNTIF(INV_Product,$A164))</f>
        <v/>
      </c>
      <c r="S164" s="8">
        <f>IF($A164="","",COUNTIFS(INV_Product,$A164,INV_Status,"Available"))</f>
        <v/>
      </c>
      <c r="T164" s="8">
        <f>IF($D164="","",IF(COUNTIFS(DD_PairCategory,$C164,DD_Subcategory,$D164)&gt;0,"ok","✗ "&amp;$D164&amp;" is not under "&amp;$C164))</f>
        <v/>
      </c>
      <c r="U164" s="8">
        <f>IF($F164="","",IF(COUNTIFS(PM_Brand,$E164,PM_Model,$F164)&gt;1,"⚠ duplicate product",IF(AND($B164&lt;&gt;"",COUNTIF(PM_Short,$B164)&gt;1),"⚠ short code reused","")))</f>
        <v/>
      </c>
      <c r="V164" s="5" t="n"/>
    </row>
    <row r="165">
      <c r="A165" s="8">
        <f>IF($F165="","","PRD-"&amp;TEXT(ROW()-3,"0000"))</f>
        <v/>
      </c>
      <c r="B165" s="5" t="n"/>
      <c r="C165" s="5" t="n"/>
      <c r="D165" s="5" t="n"/>
      <c r="E165" s="5" t="n"/>
      <c r="F165" s="5" t="n"/>
      <c r="G165" s="5" t="n"/>
      <c r="H165" s="5" t="n"/>
      <c r="I165" s="5" t="n"/>
      <c r="J165" s="5" t="n"/>
      <c r="K165" s="5" t="n"/>
      <c r="L165" s="5" t="n"/>
      <c r="M165" s="9" t="n"/>
      <c r="N165" s="9" t="n"/>
      <c r="O165" s="9" t="n"/>
      <c r="P165" s="9" t="n"/>
      <c r="Q165" s="9" t="n"/>
      <c r="R165" s="8">
        <f>IF($A165="","",COUNTIF(INV_Product,$A165))</f>
        <v/>
      </c>
      <c r="S165" s="8">
        <f>IF($A165="","",COUNTIFS(INV_Product,$A165,INV_Status,"Available"))</f>
        <v/>
      </c>
      <c r="T165" s="8">
        <f>IF($D165="","",IF(COUNTIFS(DD_PairCategory,$C165,DD_Subcategory,$D165)&gt;0,"ok","✗ "&amp;$D165&amp;" is not under "&amp;$C165))</f>
        <v/>
      </c>
      <c r="U165" s="8">
        <f>IF($F165="","",IF(COUNTIFS(PM_Brand,$E165,PM_Model,$F165)&gt;1,"⚠ duplicate product",IF(AND($B165&lt;&gt;"",COUNTIF(PM_Short,$B165)&gt;1),"⚠ short code reused","")))</f>
        <v/>
      </c>
      <c r="V165" s="5" t="n"/>
    </row>
    <row r="166">
      <c r="A166" s="8">
        <f>IF($F166="","","PRD-"&amp;TEXT(ROW()-3,"0000"))</f>
        <v/>
      </c>
      <c r="B166" s="5" t="n"/>
      <c r="C166" s="5" t="n"/>
      <c r="D166" s="5" t="n"/>
      <c r="E166" s="5" t="n"/>
      <c r="F166" s="5" t="n"/>
      <c r="G166" s="5" t="n"/>
      <c r="H166" s="5" t="n"/>
      <c r="I166" s="5" t="n"/>
      <c r="J166" s="5" t="n"/>
      <c r="K166" s="5" t="n"/>
      <c r="L166" s="5" t="n"/>
      <c r="M166" s="9" t="n"/>
      <c r="N166" s="9" t="n"/>
      <c r="O166" s="9" t="n"/>
      <c r="P166" s="9" t="n"/>
      <c r="Q166" s="9" t="n"/>
      <c r="R166" s="8">
        <f>IF($A166="","",COUNTIF(INV_Product,$A166))</f>
        <v/>
      </c>
      <c r="S166" s="8">
        <f>IF($A166="","",COUNTIFS(INV_Product,$A166,INV_Status,"Available"))</f>
        <v/>
      </c>
      <c r="T166" s="8">
        <f>IF($D166="","",IF(COUNTIFS(DD_PairCategory,$C166,DD_Subcategory,$D166)&gt;0,"ok","✗ "&amp;$D166&amp;" is not under "&amp;$C166))</f>
        <v/>
      </c>
      <c r="U166" s="8">
        <f>IF($F166="","",IF(COUNTIFS(PM_Brand,$E166,PM_Model,$F166)&gt;1,"⚠ duplicate product",IF(AND($B166&lt;&gt;"",COUNTIF(PM_Short,$B166)&gt;1),"⚠ short code reused","")))</f>
        <v/>
      </c>
      <c r="V166" s="5" t="n"/>
    </row>
    <row r="167">
      <c r="A167" s="8">
        <f>IF($F167="","","PRD-"&amp;TEXT(ROW()-3,"0000"))</f>
        <v/>
      </c>
      <c r="B167" s="5" t="n"/>
      <c r="C167" s="5" t="n"/>
      <c r="D167" s="5" t="n"/>
      <c r="E167" s="5" t="n"/>
      <c r="F167" s="5" t="n"/>
      <c r="G167" s="5" t="n"/>
      <c r="H167" s="5" t="n"/>
      <c r="I167" s="5" t="n"/>
      <c r="J167" s="5" t="n"/>
      <c r="K167" s="5" t="n"/>
      <c r="L167" s="5" t="n"/>
      <c r="M167" s="9" t="n"/>
      <c r="N167" s="9" t="n"/>
      <c r="O167" s="9" t="n"/>
      <c r="P167" s="9" t="n"/>
      <c r="Q167" s="9" t="n"/>
      <c r="R167" s="8">
        <f>IF($A167="","",COUNTIF(INV_Product,$A167))</f>
        <v/>
      </c>
      <c r="S167" s="8">
        <f>IF($A167="","",COUNTIFS(INV_Product,$A167,INV_Status,"Available"))</f>
        <v/>
      </c>
      <c r="T167" s="8">
        <f>IF($D167="","",IF(COUNTIFS(DD_PairCategory,$C167,DD_Subcategory,$D167)&gt;0,"ok","✗ "&amp;$D167&amp;" is not under "&amp;$C167))</f>
        <v/>
      </c>
      <c r="U167" s="8">
        <f>IF($F167="","",IF(COUNTIFS(PM_Brand,$E167,PM_Model,$F167)&gt;1,"⚠ duplicate product",IF(AND($B167&lt;&gt;"",COUNTIF(PM_Short,$B167)&gt;1),"⚠ short code reused","")))</f>
        <v/>
      </c>
      <c r="V167" s="5" t="n"/>
    </row>
    <row r="168">
      <c r="A168" s="8">
        <f>IF($F168="","","PRD-"&amp;TEXT(ROW()-3,"0000"))</f>
        <v/>
      </c>
      <c r="B168" s="5" t="n"/>
      <c r="C168" s="5" t="n"/>
      <c r="D168" s="5" t="n"/>
      <c r="E168" s="5" t="n"/>
      <c r="F168" s="5" t="n"/>
      <c r="G168" s="5" t="n"/>
      <c r="H168" s="5" t="n"/>
      <c r="I168" s="5" t="n"/>
      <c r="J168" s="5" t="n"/>
      <c r="K168" s="5" t="n"/>
      <c r="L168" s="5" t="n"/>
      <c r="M168" s="9" t="n"/>
      <c r="N168" s="9" t="n"/>
      <c r="O168" s="9" t="n"/>
      <c r="P168" s="9" t="n"/>
      <c r="Q168" s="9" t="n"/>
      <c r="R168" s="8">
        <f>IF($A168="","",COUNTIF(INV_Product,$A168))</f>
        <v/>
      </c>
      <c r="S168" s="8">
        <f>IF($A168="","",COUNTIFS(INV_Product,$A168,INV_Status,"Available"))</f>
        <v/>
      </c>
      <c r="T168" s="8">
        <f>IF($D168="","",IF(COUNTIFS(DD_PairCategory,$C168,DD_Subcategory,$D168)&gt;0,"ok","✗ "&amp;$D168&amp;" is not under "&amp;$C168))</f>
        <v/>
      </c>
      <c r="U168" s="8">
        <f>IF($F168="","",IF(COUNTIFS(PM_Brand,$E168,PM_Model,$F168)&gt;1,"⚠ duplicate product",IF(AND($B168&lt;&gt;"",COUNTIF(PM_Short,$B168)&gt;1),"⚠ short code reused","")))</f>
        <v/>
      </c>
      <c r="V168" s="5" t="n"/>
    </row>
    <row r="169">
      <c r="A169" s="8">
        <f>IF($F169="","","PRD-"&amp;TEXT(ROW()-3,"0000"))</f>
        <v/>
      </c>
      <c r="B169" s="5" t="n"/>
      <c r="C169" s="5" t="n"/>
      <c r="D169" s="5" t="n"/>
      <c r="E169" s="5" t="n"/>
      <c r="F169" s="5" t="n"/>
      <c r="G169" s="5" t="n"/>
      <c r="H169" s="5" t="n"/>
      <c r="I169" s="5" t="n"/>
      <c r="J169" s="5" t="n"/>
      <c r="K169" s="5" t="n"/>
      <c r="L169" s="5" t="n"/>
      <c r="M169" s="9" t="n"/>
      <c r="N169" s="9" t="n"/>
      <c r="O169" s="9" t="n"/>
      <c r="P169" s="9" t="n"/>
      <c r="Q169" s="9" t="n"/>
      <c r="R169" s="8">
        <f>IF($A169="","",COUNTIF(INV_Product,$A169))</f>
        <v/>
      </c>
      <c r="S169" s="8">
        <f>IF($A169="","",COUNTIFS(INV_Product,$A169,INV_Status,"Available"))</f>
        <v/>
      </c>
      <c r="T169" s="8">
        <f>IF($D169="","",IF(COUNTIFS(DD_PairCategory,$C169,DD_Subcategory,$D169)&gt;0,"ok","✗ "&amp;$D169&amp;" is not under "&amp;$C169))</f>
        <v/>
      </c>
      <c r="U169" s="8">
        <f>IF($F169="","",IF(COUNTIFS(PM_Brand,$E169,PM_Model,$F169)&gt;1,"⚠ duplicate product",IF(AND($B169&lt;&gt;"",COUNTIF(PM_Short,$B169)&gt;1),"⚠ short code reused","")))</f>
        <v/>
      </c>
      <c r="V169" s="5" t="n"/>
    </row>
    <row r="170">
      <c r="A170" s="8">
        <f>IF($F170="","","PRD-"&amp;TEXT(ROW()-3,"0000"))</f>
        <v/>
      </c>
      <c r="B170" s="5" t="n"/>
      <c r="C170" s="5" t="n"/>
      <c r="D170" s="5" t="n"/>
      <c r="E170" s="5" t="n"/>
      <c r="F170" s="5" t="n"/>
      <c r="G170" s="5" t="n"/>
      <c r="H170" s="5" t="n"/>
      <c r="I170" s="5" t="n"/>
      <c r="J170" s="5" t="n"/>
      <c r="K170" s="5" t="n"/>
      <c r="L170" s="5" t="n"/>
      <c r="M170" s="9" t="n"/>
      <c r="N170" s="9" t="n"/>
      <c r="O170" s="9" t="n"/>
      <c r="P170" s="9" t="n"/>
      <c r="Q170" s="9" t="n"/>
      <c r="R170" s="8">
        <f>IF($A170="","",COUNTIF(INV_Product,$A170))</f>
        <v/>
      </c>
      <c r="S170" s="8">
        <f>IF($A170="","",COUNTIFS(INV_Product,$A170,INV_Status,"Available"))</f>
        <v/>
      </c>
      <c r="T170" s="8">
        <f>IF($D170="","",IF(COUNTIFS(DD_PairCategory,$C170,DD_Subcategory,$D170)&gt;0,"ok","✗ "&amp;$D170&amp;" is not under "&amp;$C170))</f>
        <v/>
      </c>
      <c r="U170" s="8">
        <f>IF($F170="","",IF(COUNTIFS(PM_Brand,$E170,PM_Model,$F170)&gt;1,"⚠ duplicate product",IF(AND($B170&lt;&gt;"",COUNTIF(PM_Short,$B170)&gt;1),"⚠ short code reused","")))</f>
        <v/>
      </c>
      <c r="V170" s="5" t="n"/>
    </row>
    <row r="171">
      <c r="A171" s="8">
        <f>IF($F171="","","PRD-"&amp;TEXT(ROW()-3,"0000"))</f>
        <v/>
      </c>
      <c r="B171" s="5" t="n"/>
      <c r="C171" s="5" t="n"/>
      <c r="D171" s="5" t="n"/>
      <c r="E171" s="5" t="n"/>
      <c r="F171" s="5" t="n"/>
      <c r="G171" s="5" t="n"/>
      <c r="H171" s="5" t="n"/>
      <c r="I171" s="5" t="n"/>
      <c r="J171" s="5" t="n"/>
      <c r="K171" s="5" t="n"/>
      <c r="L171" s="5" t="n"/>
      <c r="M171" s="9" t="n"/>
      <c r="N171" s="9" t="n"/>
      <c r="O171" s="9" t="n"/>
      <c r="P171" s="9" t="n"/>
      <c r="Q171" s="9" t="n"/>
      <c r="R171" s="8">
        <f>IF($A171="","",COUNTIF(INV_Product,$A171))</f>
        <v/>
      </c>
      <c r="S171" s="8">
        <f>IF($A171="","",COUNTIFS(INV_Product,$A171,INV_Status,"Available"))</f>
        <v/>
      </c>
      <c r="T171" s="8">
        <f>IF($D171="","",IF(COUNTIFS(DD_PairCategory,$C171,DD_Subcategory,$D171)&gt;0,"ok","✗ "&amp;$D171&amp;" is not under "&amp;$C171))</f>
        <v/>
      </c>
      <c r="U171" s="8">
        <f>IF($F171="","",IF(COUNTIFS(PM_Brand,$E171,PM_Model,$F171)&gt;1,"⚠ duplicate product",IF(AND($B171&lt;&gt;"",COUNTIF(PM_Short,$B171)&gt;1),"⚠ short code reused","")))</f>
        <v/>
      </c>
      <c r="V171" s="5" t="n"/>
    </row>
    <row r="172">
      <c r="A172" s="8">
        <f>IF($F172="","","PRD-"&amp;TEXT(ROW()-3,"0000"))</f>
        <v/>
      </c>
      <c r="B172" s="5" t="n"/>
      <c r="C172" s="5" t="n"/>
      <c r="D172" s="5" t="n"/>
      <c r="E172" s="5" t="n"/>
      <c r="F172" s="5" t="n"/>
      <c r="G172" s="5" t="n"/>
      <c r="H172" s="5" t="n"/>
      <c r="I172" s="5" t="n"/>
      <c r="J172" s="5" t="n"/>
      <c r="K172" s="5" t="n"/>
      <c r="L172" s="5" t="n"/>
      <c r="M172" s="9" t="n"/>
      <c r="N172" s="9" t="n"/>
      <c r="O172" s="9" t="n"/>
      <c r="P172" s="9" t="n"/>
      <c r="Q172" s="9" t="n"/>
      <c r="R172" s="8">
        <f>IF($A172="","",COUNTIF(INV_Product,$A172))</f>
        <v/>
      </c>
      <c r="S172" s="8">
        <f>IF($A172="","",COUNTIFS(INV_Product,$A172,INV_Status,"Available"))</f>
        <v/>
      </c>
      <c r="T172" s="8">
        <f>IF($D172="","",IF(COUNTIFS(DD_PairCategory,$C172,DD_Subcategory,$D172)&gt;0,"ok","✗ "&amp;$D172&amp;" is not under "&amp;$C172))</f>
        <v/>
      </c>
      <c r="U172" s="8">
        <f>IF($F172="","",IF(COUNTIFS(PM_Brand,$E172,PM_Model,$F172)&gt;1,"⚠ duplicate product",IF(AND($B172&lt;&gt;"",COUNTIF(PM_Short,$B172)&gt;1),"⚠ short code reused","")))</f>
        <v/>
      </c>
      <c r="V172" s="5" t="n"/>
    </row>
    <row r="173">
      <c r="A173" s="8">
        <f>IF($F173="","","PRD-"&amp;TEXT(ROW()-3,"0000"))</f>
        <v/>
      </c>
      <c r="B173" s="5" t="n"/>
      <c r="C173" s="5" t="n"/>
      <c r="D173" s="5" t="n"/>
      <c r="E173" s="5" t="n"/>
      <c r="F173" s="5" t="n"/>
      <c r="G173" s="5" t="n"/>
      <c r="H173" s="5" t="n"/>
      <c r="I173" s="5" t="n"/>
      <c r="J173" s="5" t="n"/>
      <c r="K173" s="5" t="n"/>
      <c r="L173" s="5" t="n"/>
      <c r="M173" s="9" t="n"/>
      <c r="N173" s="9" t="n"/>
      <c r="O173" s="9" t="n"/>
      <c r="P173" s="9" t="n"/>
      <c r="Q173" s="9" t="n"/>
      <c r="R173" s="8">
        <f>IF($A173="","",COUNTIF(INV_Product,$A173))</f>
        <v/>
      </c>
      <c r="S173" s="8">
        <f>IF($A173="","",COUNTIFS(INV_Product,$A173,INV_Status,"Available"))</f>
        <v/>
      </c>
      <c r="T173" s="8">
        <f>IF($D173="","",IF(COUNTIFS(DD_PairCategory,$C173,DD_Subcategory,$D173)&gt;0,"ok","✗ "&amp;$D173&amp;" is not under "&amp;$C173))</f>
        <v/>
      </c>
      <c r="U173" s="8">
        <f>IF($F173="","",IF(COUNTIFS(PM_Brand,$E173,PM_Model,$F173)&gt;1,"⚠ duplicate product",IF(AND($B173&lt;&gt;"",COUNTIF(PM_Short,$B173)&gt;1),"⚠ short code reused","")))</f>
        <v/>
      </c>
      <c r="V173" s="5" t="n"/>
    </row>
    <row r="174">
      <c r="A174" s="8">
        <f>IF($F174="","","PRD-"&amp;TEXT(ROW()-3,"0000"))</f>
        <v/>
      </c>
      <c r="B174" s="5" t="n"/>
      <c r="C174" s="5" t="n"/>
      <c r="D174" s="5" t="n"/>
      <c r="E174" s="5" t="n"/>
      <c r="F174" s="5" t="n"/>
      <c r="G174" s="5" t="n"/>
      <c r="H174" s="5" t="n"/>
      <c r="I174" s="5" t="n"/>
      <c r="J174" s="5" t="n"/>
      <c r="K174" s="5" t="n"/>
      <c r="L174" s="5" t="n"/>
      <c r="M174" s="9" t="n"/>
      <c r="N174" s="9" t="n"/>
      <c r="O174" s="9" t="n"/>
      <c r="P174" s="9" t="n"/>
      <c r="Q174" s="9" t="n"/>
      <c r="R174" s="8">
        <f>IF($A174="","",COUNTIF(INV_Product,$A174))</f>
        <v/>
      </c>
      <c r="S174" s="8">
        <f>IF($A174="","",COUNTIFS(INV_Product,$A174,INV_Status,"Available"))</f>
        <v/>
      </c>
      <c r="T174" s="8">
        <f>IF($D174="","",IF(COUNTIFS(DD_PairCategory,$C174,DD_Subcategory,$D174)&gt;0,"ok","✗ "&amp;$D174&amp;" is not under "&amp;$C174))</f>
        <v/>
      </c>
      <c r="U174" s="8">
        <f>IF($F174="","",IF(COUNTIFS(PM_Brand,$E174,PM_Model,$F174)&gt;1,"⚠ duplicate product",IF(AND($B174&lt;&gt;"",COUNTIF(PM_Short,$B174)&gt;1),"⚠ short code reused","")))</f>
        <v/>
      </c>
      <c r="V174" s="5" t="n"/>
    </row>
    <row r="175">
      <c r="A175" s="8">
        <f>IF($F175="","","PRD-"&amp;TEXT(ROW()-3,"0000"))</f>
        <v/>
      </c>
      <c r="B175" s="5" t="n"/>
      <c r="C175" s="5" t="n"/>
      <c r="D175" s="5" t="n"/>
      <c r="E175" s="5" t="n"/>
      <c r="F175" s="5" t="n"/>
      <c r="G175" s="5" t="n"/>
      <c r="H175" s="5" t="n"/>
      <c r="I175" s="5" t="n"/>
      <c r="J175" s="5" t="n"/>
      <c r="K175" s="5" t="n"/>
      <c r="L175" s="5" t="n"/>
      <c r="M175" s="9" t="n"/>
      <c r="N175" s="9" t="n"/>
      <c r="O175" s="9" t="n"/>
      <c r="P175" s="9" t="n"/>
      <c r="Q175" s="9" t="n"/>
      <c r="R175" s="8">
        <f>IF($A175="","",COUNTIF(INV_Product,$A175))</f>
        <v/>
      </c>
      <c r="S175" s="8">
        <f>IF($A175="","",COUNTIFS(INV_Product,$A175,INV_Status,"Available"))</f>
        <v/>
      </c>
      <c r="T175" s="8">
        <f>IF($D175="","",IF(COUNTIFS(DD_PairCategory,$C175,DD_Subcategory,$D175)&gt;0,"ok","✗ "&amp;$D175&amp;" is not under "&amp;$C175))</f>
        <v/>
      </c>
      <c r="U175" s="8">
        <f>IF($F175="","",IF(COUNTIFS(PM_Brand,$E175,PM_Model,$F175)&gt;1,"⚠ duplicate product",IF(AND($B175&lt;&gt;"",COUNTIF(PM_Short,$B175)&gt;1),"⚠ short code reused","")))</f>
        <v/>
      </c>
      <c r="V175" s="5" t="n"/>
    </row>
    <row r="176">
      <c r="A176" s="8">
        <f>IF($F176="","","PRD-"&amp;TEXT(ROW()-3,"0000"))</f>
        <v/>
      </c>
      <c r="B176" s="5" t="n"/>
      <c r="C176" s="5" t="n"/>
      <c r="D176" s="5" t="n"/>
      <c r="E176" s="5" t="n"/>
      <c r="F176" s="5" t="n"/>
      <c r="G176" s="5" t="n"/>
      <c r="H176" s="5" t="n"/>
      <c r="I176" s="5" t="n"/>
      <c r="J176" s="5" t="n"/>
      <c r="K176" s="5" t="n"/>
      <c r="L176" s="5" t="n"/>
      <c r="M176" s="9" t="n"/>
      <c r="N176" s="9" t="n"/>
      <c r="O176" s="9" t="n"/>
      <c r="P176" s="9" t="n"/>
      <c r="Q176" s="9" t="n"/>
      <c r="R176" s="8">
        <f>IF($A176="","",COUNTIF(INV_Product,$A176))</f>
        <v/>
      </c>
      <c r="S176" s="8">
        <f>IF($A176="","",COUNTIFS(INV_Product,$A176,INV_Status,"Available"))</f>
        <v/>
      </c>
      <c r="T176" s="8">
        <f>IF($D176="","",IF(COUNTIFS(DD_PairCategory,$C176,DD_Subcategory,$D176)&gt;0,"ok","✗ "&amp;$D176&amp;" is not under "&amp;$C176))</f>
        <v/>
      </c>
      <c r="U176" s="8">
        <f>IF($F176="","",IF(COUNTIFS(PM_Brand,$E176,PM_Model,$F176)&gt;1,"⚠ duplicate product",IF(AND($B176&lt;&gt;"",COUNTIF(PM_Short,$B176)&gt;1),"⚠ short code reused","")))</f>
        <v/>
      </c>
      <c r="V176" s="5" t="n"/>
    </row>
    <row r="177">
      <c r="A177" s="8">
        <f>IF($F177="","","PRD-"&amp;TEXT(ROW()-3,"0000"))</f>
        <v/>
      </c>
      <c r="B177" s="5" t="n"/>
      <c r="C177" s="5" t="n"/>
      <c r="D177" s="5" t="n"/>
      <c r="E177" s="5" t="n"/>
      <c r="F177" s="5" t="n"/>
      <c r="G177" s="5" t="n"/>
      <c r="H177" s="5" t="n"/>
      <c r="I177" s="5" t="n"/>
      <c r="J177" s="5" t="n"/>
      <c r="K177" s="5" t="n"/>
      <c r="L177" s="5" t="n"/>
      <c r="M177" s="9" t="n"/>
      <c r="N177" s="9" t="n"/>
      <c r="O177" s="9" t="n"/>
      <c r="P177" s="9" t="n"/>
      <c r="Q177" s="9" t="n"/>
      <c r="R177" s="8">
        <f>IF($A177="","",COUNTIF(INV_Product,$A177))</f>
        <v/>
      </c>
      <c r="S177" s="8">
        <f>IF($A177="","",COUNTIFS(INV_Product,$A177,INV_Status,"Available"))</f>
        <v/>
      </c>
      <c r="T177" s="8">
        <f>IF($D177="","",IF(COUNTIFS(DD_PairCategory,$C177,DD_Subcategory,$D177)&gt;0,"ok","✗ "&amp;$D177&amp;" is not under "&amp;$C177))</f>
        <v/>
      </c>
      <c r="U177" s="8">
        <f>IF($F177="","",IF(COUNTIFS(PM_Brand,$E177,PM_Model,$F177)&gt;1,"⚠ duplicate product",IF(AND($B177&lt;&gt;"",COUNTIF(PM_Short,$B177)&gt;1),"⚠ short code reused","")))</f>
        <v/>
      </c>
      <c r="V177" s="5" t="n"/>
    </row>
    <row r="178">
      <c r="A178" s="8">
        <f>IF($F178="","","PRD-"&amp;TEXT(ROW()-3,"0000"))</f>
        <v/>
      </c>
      <c r="B178" s="5" t="n"/>
      <c r="C178" s="5" t="n"/>
      <c r="D178" s="5" t="n"/>
      <c r="E178" s="5" t="n"/>
      <c r="F178" s="5" t="n"/>
      <c r="G178" s="5" t="n"/>
      <c r="H178" s="5" t="n"/>
      <c r="I178" s="5" t="n"/>
      <c r="J178" s="5" t="n"/>
      <c r="K178" s="5" t="n"/>
      <c r="L178" s="5" t="n"/>
      <c r="M178" s="9" t="n"/>
      <c r="N178" s="9" t="n"/>
      <c r="O178" s="9" t="n"/>
      <c r="P178" s="9" t="n"/>
      <c r="Q178" s="9" t="n"/>
      <c r="R178" s="8">
        <f>IF($A178="","",COUNTIF(INV_Product,$A178))</f>
        <v/>
      </c>
      <c r="S178" s="8">
        <f>IF($A178="","",COUNTIFS(INV_Product,$A178,INV_Status,"Available"))</f>
        <v/>
      </c>
      <c r="T178" s="8">
        <f>IF($D178="","",IF(COUNTIFS(DD_PairCategory,$C178,DD_Subcategory,$D178)&gt;0,"ok","✗ "&amp;$D178&amp;" is not under "&amp;$C178))</f>
        <v/>
      </c>
      <c r="U178" s="8">
        <f>IF($F178="","",IF(COUNTIFS(PM_Brand,$E178,PM_Model,$F178)&gt;1,"⚠ duplicate product",IF(AND($B178&lt;&gt;"",COUNTIF(PM_Short,$B178)&gt;1),"⚠ short code reused","")))</f>
        <v/>
      </c>
      <c r="V178" s="5" t="n"/>
    </row>
    <row r="179">
      <c r="A179" s="8">
        <f>IF($F179="","","PRD-"&amp;TEXT(ROW()-3,"0000"))</f>
        <v/>
      </c>
      <c r="B179" s="5" t="n"/>
      <c r="C179" s="5" t="n"/>
      <c r="D179" s="5" t="n"/>
      <c r="E179" s="5" t="n"/>
      <c r="F179" s="5" t="n"/>
      <c r="G179" s="5" t="n"/>
      <c r="H179" s="5" t="n"/>
      <c r="I179" s="5" t="n"/>
      <c r="J179" s="5" t="n"/>
      <c r="K179" s="5" t="n"/>
      <c r="L179" s="5" t="n"/>
      <c r="M179" s="9" t="n"/>
      <c r="N179" s="9" t="n"/>
      <c r="O179" s="9" t="n"/>
      <c r="P179" s="9" t="n"/>
      <c r="Q179" s="9" t="n"/>
      <c r="R179" s="8">
        <f>IF($A179="","",COUNTIF(INV_Product,$A179))</f>
        <v/>
      </c>
      <c r="S179" s="8">
        <f>IF($A179="","",COUNTIFS(INV_Product,$A179,INV_Status,"Available"))</f>
        <v/>
      </c>
      <c r="T179" s="8">
        <f>IF($D179="","",IF(COUNTIFS(DD_PairCategory,$C179,DD_Subcategory,$D179)&gt;0,"ok","✗ "&amp;$D179&amp;" is not under "&amp;$C179))</f>
        <v/>
      </c>
      <c r="U179" s="8">
        <f>IF($F179="","",IF(COUNTIFS(PM_Brand,$E179,PM_Model,$F179)&gt;1,"⚠ duplicate product",IF(AND($B179&lt;&gt;"",COUNTIF(PM_Short,$B179)&gt;1),"⚠ short code reused","")))</f>
        <v/>
      </c>
      <c r="V179" s="5" t="n"/>
    </row>
    <row r="180">
      <c r="A180" s="8">
        <f>IF($F180="","","PRD-"&amp;TEXT(ROW()-3,"0000"))</f>
        <v/>
      </c>
      <c r="B180" s="5" t="n"/>
      <c r="C180" s="5" t="n"/>
      <c r="D180" s="5" t="n"/>
      <c r="E180" s="5" t="n"/>
      <c r="F180" s="5" t="n"/>
      <c r="G180" s="5" t="n"/>
      <c r="H180" s="5" t="n"/>
      <c r="I180" s="5" t="n"/>
      <c r="J180" s="5" t="n"/>
      <c r="K180" s="5" t="n"/>
      <c r="L180" s="5" t="n"/>
      <c r="M180" s="9" t="n"/>
      <c r="N180" s="9" t="n"/>
      <c r="O180" s="9" t="n"/>
      <c r="P180" s="9" t="n"/>
      <c r="Q180" s="9" t="n"/>
      <c r="R180" s="8">
        <f>IF($A180="","",COUNTIF(INV_Product,$A180))</f>
        <v/>
      </c>
      <c r="S180" s="8">
        <f>IF($A180="","",COUNTIFS(INV_Product,$A180,INV_Status,"Available"))</f>
        <v/>
      </c>
      <c r="T180" s="8">
        <f>IF($D180="","",IF(COUNTIFS(DD_PairCategory,$C180,DD_Subcategory,$D180)&gt;0,"ok","✗ "&amp;$D180&amp;" is not under "&amp;$C180))</f>
        <v/>
      </c>
      <c r="U180" s="8">
        <f>IF($F180="","",IF(COUNTIFS(PM_Brand,$E180,PM_Model,$F180)&gt;1,"⚠ duplicate product",IF(AND($B180&lt;&gt;"",COUNTIF(PM_Short,$B180)&gt;1),"⚠ short code reused","")))</f>
        <v/>
      </c>
      <c r="V180" s="5" t="n"/>
    </row>
    <row r="181">
      <c r="A181" s="8">
        <f>IF($F181="","","PRD-"&amp;TEXT(ROW()-3,"0000"))</f>
        <v/>
      </c>
      <c r="B181" s="5" t="n"/>
      <c r="C181" s="5" t="n"/>
      <c r="D181" s="5" t="n"/>
      <c r="E181" s="5" t="n"/>
      <c r="F181" s="5" t="n"/>
      <c r="G181" s="5" t="n"/>
      <c r="H181" s="5" t="n"/>
      <c r="I181" s="5" t="n"/>
      <c r="J181" s="5" t="n"/>
      <c r="K181" s="5" t="n"/>
      <c r="L181" s="5" t="n"/>
      <c r="M181" s="9" t="n"/>
      <c r="N181" s="9" t="n"/>
      <c r="O181" s="9" t="n"/>
      <c r="P181" s="9" t="n"/>
      <c r="Q181" s="9" t="n"/>
      <c r="R181" s="8">
        <f>IF($A181="","",COUNTIF(INV_Product,$A181))</f>
        <v/>
      </c>
      <c r="S181" s="8">
        <f>IF($A181="","",COUNTIFS(INV_Product,$A181,INV_Status,"Available"))</f>
        <v/>
      </c>
      <c r="T181" s="8">
        <f>IF($D181="","",IF(COUNTIFS(DD_PairCategory,$C181,DD_Subcategory,$D181)&gt;0,"ok","✗ "&amp;$D181&amp;" is not under "&amp;$C181))</f>
        <v/>
      </c>
      <c r="U181" s="8">
        <f>IF($F181="","",IF(COUNTIFS(PM_Brand,$E181,PM_Model,$F181)&gt;1,"⚠ duplicate product",IF(AND($B181&lt;&gt;"",COUNTIF(PM_Short,$B181)&gt;1),"⚠ short code reused","")))</f>
        <v/>
      </c>
      <c r="V181" s="5" t="n"/>
    </row>
    <row r="182">
      <c r="A182" s="8">
        <f>IF($F182="","","PRD-"&amp;TEXT(ROW()-3,"0000"))</f>
        <v/>
      </c>
      <c r="B182" s="5" t="n"/>
      <c r="C182" s="5" t="n"/>
      <c r="D182" s="5" t="n"/>
      <c r="E182" s="5" t="n"/>
      <c r="F182" s="5" t="n"/>
      <c r="G182" s="5" t="n"/>
      <c r="H182" s="5" t="n"/>
      <c r="I182" s="5" t="n"/>
      <c r="J182" s="5" t="n"/>
      <c r="K182" s="5" t="n"/>
      <c r="L182" s="5" t="n"/>
      <c r="M182" s="9" t="n"/>
      <c r="N182" s="9" t="n"/>
      <c r="O182" s="9" t="n"/>
      <c r="P182" s="9" t="n"/>
      <c r="Q182" s="9" t="n"/>
      <c r="R182" s="8">
        <f>IF($A182="","",COUNTIF(INV_Product,$A182))</f>
        <v/>
      </c>
      <c r="S182" s="8">
        <f>IF($A182="","",COUNTIFS(INV_Product,$A182,INV_Status,"Available"))</f>
        <v/>
      </c>
      <c r="T182" s="8">
        <f>IF($D182="","",IF(COUNTIFS(DD_PairCategory,$C182,DD_Subcategory,$D182)&gt;0,"ok","✗ "&amp;$D182&amp;" is not under "&amp;$C182))</f>
        <v/>
      </c>
      <c r="U182" s="8">
        <f>IF($F182="","",IF(COUNTIFS(PM_Brand,$E182,PM_Model,$F182)&gt;1,"⚠ duplicate product",IF(AND($B182&lt;&gt;"",COUNTIF(PM_Short,$B182)&gt;1),"⚠ short code reused","")))</f>
        <v/>
      </c>
      <c r="V182" s="5" t="n"/>
    </row>
    <row r="183">
      <c r="A183" s="8">
        <f>IF($F183="","","PRD-"&amp;TEXT(ROW()-3,"0000"))</f>
        <v/>
      </c>
      <c r="B183" s="5" t="n"/>
      <c r="C183" s="5" t="n"/>
      <c r="D183" s="5" t="n"/>
      <c r="E183" s="5" t="n"/>
      <c r="F183" s="5" t="n"/>
      <c r="G183" s="5" t="n"/>
      <c r="H183" s="5" t="n"/>
      <c r="I183" s="5" t="n"/>
      <c r="J183" s="5" t="n"/>
      <c r="K183" s="5" t="n"/>
      <c r="L183" s="5" t="n"/>
      <c r="M183" s="9" t="n"/>
      <c r="N183" s="9" t="n"/>
      <c r="O183" s="9" t="n"/>
      <c r="P183" s="9" t="n"/>
      <c r="Q183" s="9" t="n"/>
      <c r="R183" s="8">
        <f>IF($A183="","",COUNTIF(INV_Product,$A183))</f>
        <v/>
      </c>
      <c r="S183" s="8">
        <f>IF($A183="","",COUNTIFS(INV_Product,$A183,INV_Status,"Available"))</f>
        <v/>
      </c>
      <c r="T183" s="8">
        <f>IF($D183="","",IF(COUNTIFS(DD_PairCategory,$C183,DD_Subcategory,$D183)&gt;0,"ok","✗ "&amp;$D183&amp;" is not under "&amp;$C183))</f>
        <v/>
      </c>
      <c r="U183" s="8">
        <f>IF($F183="","",IF(COUNTIFS(PM_Brand,$E183,PM_Model,$F183)&gt;1,"⚠ duplicate product",IF(AND($B183&lt;&gt;"",COUNTIF(PM_Short,$B183)&gt;1),"⚠ short code reused","")))</f>
        <v/>
      </c>
      <c r="V183" s="5" t="n"/>
    </row>
    <row r="184">
      <c r="A184" s="8">
        <f>IF($F184="","","PRD-"&amp;TEXT(ROW()-3,"0000"))</f>
        <v/>
      </c>
      <c r="B184" s="5" t="n"/>
      <c r="C184" s="5" t="n"/>
      <c r="D184" s="5" t="n"/>
      <c r="E184" s="5" t="n"/>
      <c r="F184" s="5" t="n"/>
      <c r="G184" s="5" t="n"/>
      <c r="H184" s="5" t="n"/>
      <c r="I184" s="5" t="n"/>
      <c r="J184" s="5" t="n"/>
      <c r="K184" s="5" t="n"/>
      <c r="L184" s="5" t="n"/>
      <c r="M184" s="9" t="n"/>
      <c r="N184" s="9" t="n"/>
      <c r="O184" s="9" t="n"/>
      <c r="P184" s="9" t="n"/>
      <c r="Q184" s="9" t="n"/>
      <c r="R184" s="8">
        <f>IF($A184="","",COUNTIF(INV_Product,$A184))</f>
        <v/>
      </c>
      <c r="S184" s="8">
        <f>IF($A184="","",COUNTIFS(INV_Product,$A184,INV_Status,"Available"))</f>
        <v/>
      </c>
      <c r="T184" s="8">
        <f>IF($D184="","",IF(COUNTIFS(DD_PairCategory,$C184,DD_Subcategory,$D184)&gt;0,"ok","✗ "&amp;$D184&amp;" is not under "&amp;$C184))</f>
        <v/>
      </c>
      <c r="U184" s="8">
        <f>IF($F184="","",IF(COUNTIFS(PM_Brand,$E184,PM_Model,$F184)&gt;1,"⚠ duplicate product",IF(AND($B184&lt;&gt;"",COUNTIF(PM_Short,$B184)&gt;1),"⚠ short code reused","")))</f>
        <v/>
      </c>
      <c r="V184" s="5" t="n"/>
    </row>
    <row r="185">
      <c r="A185" s="8">
        <f>IF($F185="","","PRD-"&amp;TEXT(ROW()-3,"0000"))</f>
        <v/>
      </c>
      <c r="B185" s="5" t="n"/>
      <c r="C185" s="5" t="n"/>
      <c r="D185" s="5" t="n"/>
      <c r="E185" s="5" t="n"/>
      <c r="F185" s="5" t="n"/>
      <c r="G185" s="5" t="n"/>
      <c r="H185" s="5" t="n"/>
      <c r="I185" s="5" t="n"/>
      <c r="J185" s="5" t="n"/>
      <c r="K185" s="5" t="n"/>
      <c r="L185" s="5" t="n"/>
      <c r="M185" s="9" t="n"/>
      <c r="N185" s="9" t="n"/>
      <c r="O185" s="9" t="n"/>
      <c r="P185" s="9" t="n"/>
      <c r="Q185" s="9" t="n"/>
      <c r="R185" s="8">
        <f>IF($A185="","",COUNTIF(INV_Product,$A185))</f>
        <v/>
      </c>
      <c r="S185" s="8">
        <f>IF($A185="","",COUNTIFS(INV_Product,$A185,INV_Status,"Available"))</f>
        <v/>
      </c>
      <c r="T185" s="8">
        <f>IF($D185="","",IF(COUNTIFS(DD_PairCategory,$C185,DD_Subcategory,$D185)&gt;0,"ok","✗ "&amp;$D185&amp;" is not under "&amp;$C185))</f>
        <v/>
      </c>
      <c r="U185" s="8">
        <f>IF($F185="","",IF(COUNTIFS(PM_Brand,$E185,PM_Model,$F185)&gt;1,"⚠ duplicate product",IF(AND($B185&lt;&gt;"",COUNTIF(PM_Short,$B185)&gt;1),"⚠ short code reused","")))</f>
        <v/>
      </c>
      <c r="V185" s="5" t="n"/>
    </row>
    <row r="186">
      <c r="A186" s="8">
        <f>IF($F186="","","PRD-"&amp;TEXT(ROW()-3,"0000"))</f>
        <v/>
      </c>
      <c r="B186" s="5" t="n"/>
      <c r="C186" s="5" t="n"/>
      <c r="D186" s="5" t="n"/>
      <c r="E186" s="5" t="n"/>
      <c r="F186" s="5" t="n"/>
      <c r="G186" s="5" t="n"/>
      <c r="H186" s="5" t="n"/>
      <c r="I186" s="5" t="n"/>
      <c r="J186" s="5" t="n"/>
      <c r="K186" s="5" t="n"/>
      <c r="L186" s="5" t="n"/>
      <c r="M186" s="9" t="n"/>
      <c r="N186" s="9" t="n"/>
      <c r="O186" s="9" t="n"/>
      <c r="P186" s="9" t="n"/>
      <c r="Q186" s="9" t="n"/>
      <c r="R186" s="8">
        <f>IF($A186="","",COUNTIF(INV_Product,$A186))</f>
        <v/>
      </c>
      <c r="S186" s="8">
        <f>IF($A186="","",COUNTIFS(INV_Product,$A186,INV_Status,"Available"))</f>
        <v/>
      </c>
      <c r="T186" s="8">
        <f>IF($D186="","",IF(COUNTIFS(DD_PairCategory,$C186,DD_Subcategory,$D186)&gt;0,"ok","✗ "&amp;$D186&amp;" is not under "&amp;$C186))</f>
        <v/>
      </c>
      <c r="U186" s="8">
        <f>IF($F186="","",IF(COUNTIFS(PM_Brand,$E186,PM_Model,$F186)&gt;1,"⚠ duplicate product",IF(AND($B186&lt;&gt;"",COUNTIF(PM_Short,$B186)&gt;1),"⚠ short code reused","")))</f>
        <v/>
      </c>
      <c r="V186" s="5" t="n"/>
    </row>
    <row r="187">
      <c r="A187" s="8">
        <f>IF($F187="","","PRD-"&amp;TEXT(ROW()-3,"0000"))</f>
        <v/>
      </c>
      <c r="B187" s="5" t="n"/>
      <c r="C187" s="5" t="n"/>
      <c r="D187" s="5" t="n"/>
      <c r="E187" s="5" t="n"/>
      <c r="F187" s="5" t="n"/>
      <c r="G187" s="5" t="n"/>
      <c r="H187" s="5" t="n"/>
      <c r="I187" s="5" t="n"/>
      <c r="J187" s="5" t="n"/>
      <c r="K187" s="5" t="n"/>
      <c r="L187" s="5" t="n"/>
      <c r="M187" s="9" t="n"/>
      <c r="N187" s="9" t="n"/>
      <c r="O187" s="9" t="n"/>
      <c r="P187" s="9" t="n"/>
      <c r="Q187" s="9" t="n"/>
      <c r="R187" s="8">
        <f>IF($A187="","",COUNTIF(INV_Product,$A187))</f>
        <v/>
      </c>
      <c r="S187" s="8">
        <f>IF($A187="","",COUNTIFS(INV_Product,$A187,INV_Status,"Available"))</f>
        <v/>
      </c>
      <c r="T187" s="8">
        <f>IF($D187="","",IF(COUNTIFS(DD_PairCategory,$C187,DD_Subcategory,$D187)&gt;0,"ok","✗ "&amp;$D187&amp;" is not under "&amp;$C187))</f>
        <v/>
      </c>
      <c r="U187" s="8">
        <f>IF($F187="","",IF(COUNTIFS(PM_Brand,$E187,PM_Model,$F187)&gt;1,"⚠ duplicate product",IF(AND($B187&lt;&gt;"",COUNTIF(PM_Short,$B187)&gt;1),"⚠ short code reused","")))</f>
        <v/>
      </c>
      <c r="V187" s="5" t="n"/>
    </row>
    <row r="188">
      <c r="A188" s="8">
        <f>IF($F188="","","PRD-"&amp;TEXT(ROW()-3,"0000"))</f>
        <v/>
      </c>
      <c r="B188" s="5" t="n"/>
      <c r="C188" s="5" t="n"/>
      <c r="D188" s="5" t="n"/>
      <c r="E188" s="5" t="n"/>
      <c r="F188" s="5" t="n"/>
      <c r="G188" s="5" t="n"/>
      <c r="H188" s="5" t="n"/>
      <c r="I188" s="5" t="n"/>
      <c r="J188" s="5" t="n"/>
      <c r="K188" s="5" t="n"/>
      <c r="L188" s="5" t="n"/>
      <c r="M188" s="9" t="n"/>
      <c r="N188" s="9" t="n"/>
      <c r="O188" s="9" t="n"/>
      <c r="P188" s="9" t="n"/>
      <c r="Q188" s="9" t="n"/>
      <c r="R188" s="8">
        <f>IF($A188="","",COUNTIF(INV_Product,$A188))</f>
        <v/>
      </c>
      <c r="S188" s="8">
        <f>IF($A188="","",COUNTIFS(INV_Product,$A188,INV_Status,"Available"))</f>
        <v/>
      </c>
      <c r="T188" s="8">
        <f>IF($D188="","",IF(COUNTIFS(DD_PairCategory,$C188,DD_Subcategory,$D188)&gt;0,"ok","✗ "&amp;$D188&amp;" is not under "&amp;$C188))</f>
        <v/>
      </c>
      <c r="U188" s="8">
        <f>IF($F188="","",IF(COUNTIFS(PM_Brand,$E188,PM_Model,$F188)&gt;1,"⚠ duplicate product",IF(AND($B188&lt;&gt;"",COUNTIF(PM_Short,$B188)&gt;1),"⚠ short code reused","")))</f>
        <v/>
      </c>
      <c r="V188" s="5" t="n"/>
    </row>
    <row r="189">
      <c r="A189" s="8">
        <f>IF($F189="","","PRD-"&amp;TEXT(ROW()-3,"0000"))</f>
        <v/>
      </c>
      <c r="B189" s="5" t="n"/>
      <c r="C189" s="5" t="n"/>
      <c r="D189" s="5" t="n"/>
      <c r="E189" s="5" t="n"/>
      <c r="F189" s="5" t="n"/>
      <c r="G189" s="5" t="n"/>
      <c r="H189" s="5" t="n"/>
      <c r="I189" s="5" t="n"/>
      <c r="J189" s="5" t="n"/>
      <c r="K189" s="5" t="n"/>
      <c r="L189" s="5" t="n"/>
      <c r="M189" s="9" t="n"/>
      <c r="N189" s="9" t="n"/>
      <c r="O189" s="9" t="n"/>
      <c r="P189" s="9" t="n"/>
      <c r="Q189" s="9" t="n"/>
      <c r="R189" s="8">
        <f>IF($A189="","",COUNTIF(INV_Product,$A189))</f>
        <v/>
      </c>
      <c r="S189" s="8">
        <f>IF($A189="","",COUNTIFS(INV_Product,$A189,INV_Status,"Available"))</f>
        <v/>
      </c>
      <c r="T189" s="8">
        <f>IF($D189="","",IF(COUNTIFS(DD_PairCategory,$C189,DD_Subcategory,$D189)&gt;0,"ok","✗ "&amp;$D189&amp;" is not under "&amp;$C189))</f>
        <v/>
      </c>
      <c r="U189" s="8">
        <f>IF($F189="","",IF(COUNTIFS(PM_Brand,$E189,PM_Model,$F189)&gt;1,"⚠ duplicate product",IF(AND($B189&lt;&gt;"",COUNTIF(PM_Short,$B189)&gt;1),"⚠ short code reused","")))</f>
        <v/>
      </c>
      <c r="V189" s="5" t="n"/>
    </row>
    <row r="190">
      <c r="A190" s="8">
        <f>IF($F190="","","PRD-"&amp;TEXT(ROW()-3,"0000"))</f>
        <v/>
      </c>
      <c r="B190" s="5" t="n"/>
      <c r="C190" s="5" t="n"/>
      <c r="D190" s="5" t="n"/>
      <c r="E190" s="5" t="n"/>
      <c r="F190" s="5" t="n"/>
      <c r="G190" s="5" t="n"/>
      <c r="H190" s="5" t="n"/>
      <c r="I190" s="5" t="n"/>
      <c r="J190" s="5" t="n"/>
      <c r="K190" s="5" t="n"/>
      <c r="L190" s="5" t="n"/>
      <c r="M190" s="9" t="n"/>
      <c r="N190" s="9" t="n"/>
      <c r="O190" s="9" t="n"/>
      <c r="P190" s="9" t="n"/>
      <c r="Q190" s="9" t="n"/>
      <c r="R190" s="8">
        <f>IF($A190="","",COUNTIF(INV_Product,$A190))</f>
        <v/>
      </c>
      <c r="S190" s="8">
        <f>IF($A190="","",COUNTIFS(INV_Product,$A190,INV_Status,"Available"))</f>
        <v/>
      </c>
      <c r="T190" s="8">
        <f>IF($D190="","",IF(COUNTIFS(DD_PairCategory,$C190,DD_Subcategory,$D190)&gt;0,"ok","✗ "&amp;$D190&amp;" is not under "&amp;$C190))</f>
        <v/>
      </c>
      <c r="U190" s="8">
        <f>IF($F190="","",IF(COUNTIFS(PM_Brand,$E190,PM_Model,$F190)&gt;1,"⚠ duplicate product",IF(AND($B190&lt;&gt;"",COUNTIF(PM_Short,$B190)&gt;1),"⚠ short code reused","")))</f>
        <v/>
      </c>
      <c r="V190" s="5" t="n"/>
    </row>
    <row r="191">
      <c r="A191" s="8">
        <f>IF($F191="","","PRD-"&amp;TEXT(ROW()-3,"0000"))</f>
        <v/>
      </c>
      <c r="B191" s="5" t="n"/>
      <c r="C191" s="5" t="n"/>
      <c r="D191" s="5" t="n"/>
      <c r="E191" s="5" t="n"/>
      <c r="F191" s="5" t="n"/>
      <c r="G191" s="5" t="n"/>
      <c r="H191" s="5" t="n"/>
      <c r="I191" s="5" t="n"/>
      <c r="J191" s="5" t="n"/>
      <c r="K191" s="5" t="n"/>
      <c r="L191" s="5" t="n"/>
      <c r="M191" s="9" t="n"/>
      <c r="N191" s="9" t="n"/>
      <c r="O191" s="9" t="n"/>
      <c r="P191" s="9" t="n"/>
      <c r="Q191" s="9" t="n"/>
      <c r="R191" s="8">
        <f>IF($A191="","",COUNTIF(INV_Product,$A191))</f>
        <v/>
      </c>
      <c r="S191" s="8">
        <f>IF($A191="","",COUNTIFS(INV_Product,$A191,INV_Status,"Available"))</f>
        <v/>
      </c>
      <c r="T191" s="8">
        <f>IF($D191="","",IF(COUNTIFS(DD_PairCategory,$C191,DD_Subcategory,$D191)&gt;0,"ok","✗ "&amp;$D191&amp;" is not under "&amp;$C191))</f>
        <v/>
      </c>
      <c r="U191" s="8">
        <f>IF($F191="","",IF(COUNTIFS(PM_Brand,$E191,PM_Model,$F191)&gt;1,"⚠ duplicate product",IF(AND($B191&lt;&gt;"",COUNTIF(PM_Short,$B191)&gt;1),"⚠ short code reused","")))</f>
        <v/>
      </c>
      <c r="V191" s="5" t="n"/>
    </row>
    <row r="192">
      <c r="A192" s="8">
        <f>IF($F192="","","PRD-"&amp;TEXT(ROW()-3,"0000"))</f>
        <v/>
      </c>
      <c r="B192" s="5" t="n"/>
      <c r="C192" s="5" t="n"/>
      <c r="D192" s="5" t="n"/>
      <c r="E192" s="5" t="n"/>
      <c r="F192" s="5" t="n"/>
      <c r="G192" s="5" t="n"/>
      <c r="H192" s="5" t="n"/>
      <c r="I192" s="5" t="n"/>
      <c r="J192" s="5" t="n"/>
      <c r="K192" s="5" t="n"/>
      <c r="L192" s="5" t="n"/>
      <c r="M192" s="9" t="n"/>
      <c r="N192" s="9" t="n"/>
      <c r="O192" s="9" t="n"/>
      <c r="P192" s="9" t="n"/>
      <c r="Q192" s="9" t="n"/>
      <c r="R192" s="8">
        <f>IF($A192="","",COUNTIF(INV_Product,$A192))</f>
        <v/>
      </c>
      <c r="S192" s="8">
        <f>IF($A192="","",COUNTIFS(INV_Product,$A192,INV_Status,"Available"))</f>
        <v/>
      </c>
      <c r="T192" s="8">
        <f>IF($D192="","",IF(COUNTIFS(DD_PairCategory,$C192,DD_Subcategory,$D192)&gt;0,"ok","✗ "&amp;$D192&amp;" is not under "&amp;$C192))</f>
        <v/>
      </c>
      <c r="U192" s="8">
        <f>IF($F192="","",IF(COUNTIFS(PM_Brand,$E192,PM_Model,$F192)&gt;1,"⚠ duplicate product",IF(AND($B192&lt;&gt;"",COUNTIF(PM_Short,$B192)&gt;1),"⚠ short code reused","")))</f>
        <v/>
      </c>
      <c r="V192" s="5" t="n"/>
    </row>
    <row r="193">
      <c r="A193" s="8">
        <f>IF($F193="","","PRD-"&amp;TEXT(ROW()-3,"0000"))</f>
        <v/>
      </c>
      <c r="B193" s="5" t="n"/>
      <c r="C193" s="5" t="n"/>
      <c r="D193" s="5" t="n"/>
      <c r="E193" s="5" t="n"/>
      <c r="F193" s="5" t="n"/>
      <c r="G193" s="5" t="n"/>
      <c r="H193" s="5" t="n"/>
      <c r="I193" s="5" t="n"/>
      <c r="J193" s="5" t="n"/>
      <c r="K193" s="5" t="n"/>
      <c r="L193" s="5" t="n"/>
      <c r="M193" s="9" t="n"/>
      <c r="N193" s="9" t="n"/>
      <c r="O193" s="9" t="n"/>
      <c r="P193" s="9" t="n"/>
      <c r="Q193" s="9" t="n"/>
      <c r="R193" s="8">
        <f>IF($A193="","",COUNTIF(INV_Product,$A193))</f>
        <v/>
      </c>
      <c r="S193" s="8">
        <f>IF($A193="","",COUNTIFS(INV_Product,$A193,INV_Status,"Available"))</f>
        <v/>
      </c>
      <c r="T193" s="8">
        <f>IF($D193="","",IF(COUNTIFS(DD_PairCategory,$C193,DD_Subcategory,$D193)&gt;0,"ok","✗ "&amp;$D193&amp;" is not under "&amp;$C193))</f>
        <v/>
      </c>
      <c r="U193" s="8">
        <f>IF($F193="","",IF(COUNTIFS(PM_Brand,$E193,PM_Model,$F193)&gt;1,"⚠ duplicate product",IF(AND($B193&lt;&gt;"",COUNTIF(PM_Short,$B193)&gt;1),"⚠ short code reused","")))</f>
        <v/>
      </c>
      <c r="V193" s="5" t="n"/>
    </row>
    <row r="194">
      <c r="A194" s="8">
        <f>IF($F194="","","PRD-"&amp;TEXT(ROW()-3,"0000"))</f>
        <v/>
      </c>
      <c r="B194" s="5" t="n"/>
      <c r="C194" s="5" t="n"/>
      <c r="D194" s="5" t="n"/>
      <c r="E194" s="5" t="n"/>
      <c r="F194" s="5" t="n"/>
      <c r="G194" s="5" t="n"/>
      <c r="H194" s="5" t="n"/>
      <c r="I194" s="5" t="n"/>
      <c r="J194" s="5" t="n"/>
      <c r="K194" s="5" t="n"/>
      <c r="L194" s="5" t="n"/>
      <c r="M194" s="9" t="n"/>
      <c r="N194" s="9" t="n"/>
      <c r="O194" s="9" t="n"/>
      <c r="P194" s="9" t="n"/>
      <c r="Q194" s="9" t="n"/>
      <c r="R194" s="8">
        <f>IF($A194="","",COUNTIF(INV_Product,$A194))</f>
        <v/>
      </c>
      <c r="S194" s="8">
        <f>IF($A194="","",COUNTIFS(INV_Product,$A194,INV_Status,"Available"))</f>
        <v/>
      </c>
      <c r="T194" s="8">
        <f>IF($D194="","",IF(COUNTIFS(DD_PairCategory,$C194,DD_Subcategory,$D194)&gt;0,"ok","✗ "&amp;$D194&amp;" is not under "&amp;$C194))</f>
        <v/>
      </c>
      <c r="U194" s="8">
        <f>IF($F194="","",IF(COUNTIFS(PM_Brand,$E194,PM_Model,$F194)&gt;1,"⚠ duplicate product",IF(AND($B194&lt;&gt;"",COUNTIF(PM_Short,$B194)&gt;1),"⚠ short code reused","")))</f>
        <v/>
      </c>
      <c r="V194" s="5" t="n"/>
    </row>
    <row r="195">
      <c r="A195" s="8">
        <f>IF($F195="","","PRD-"&amp;TEXT(ROW()-3,"0000"))</f>
        <v/>
      </c>
      <c r="B195" s="5" t="n"/>
      <c r="C195" s="5" t="n"/>
      <c r="D195" s="5" t="n"/>
      <c r="E195" s="5" t="n"/>
      <c r="F195" s="5" t="n"/>
      <c r="G195" s="5" t="n"/>
      <c r="H195" s="5" t="n"/>
      <c r="I195" s="5" t="n"/>
      <c r="J195" s="5" t="n"/>
      <c r="K195" s="5" t="n"/>
      <c r="L195" s="5" t="n"/>
      <c r="M195" s="9" t="n"/>
      <c r="N195" s="9" t="n"/>
      <c r="O195" s="9" t="n"/>
      <c r="P195" s="9" t="n"/>
      <c r="Q195" s="9" t="n"/>
      <c r="R195" s="8">
        <f>IF($A195="","",COUNTIF(INV_Product,$A195))</f>
        <v/>
      </c>
      <c r="S195" s="8">
        <f>IF($A195="","",COUNTIFS(INV_Product,$A195,INV_Status,"Available"))</f>
        <v/>
      </c>
      <c r="T195" s="8">
        <f>IF($D195="","",IF(COUNTIFS(DD_PairCategory,$C195,DD_Subcategory,$D195)&gt;0,"ok","✗ "&amp;$D195&amp;" is not under "&amp;$C195))</f>
        <v/>
      </c>
      <c r="U195" s="8">
        <f>IF($F195="","",IF(COUNTIFS(PM_Brand,$E195,PM_Model,$F195)&gt;1,"⚠ duplicate product",IF(AND($B195&lt;&gt;"",COUNTIF(PM_Short,$B195)&gt;1),"⚠ short code reused","")))</f>
        <v/>
      </c>
      <c r="V195" s="5" t="n"/>
    </row>
    <row r="196">
      <c r="A196" s="8">
        <f>IF($F196="","","PRD-"&amp;TEXT(ROW()-3,"0000"))</f>
        <v/>
      </c>
      <c r="B196" s="5" t="n"/>
      <c r="C196" s="5" t="n"/>
      <c r="D196" s="5" t="n"/>
      <c r="E196" s="5" t="n"/>
      <c r="F196" s="5" t="n"/>
      <c r="G196" s="5" t="n"/>
      <c r="H196" s="5" t="n"/>
      <c r="I196" s="5" t="n"/>
      <c r="J196" s="5" t="n"/>
      <c r="K196" s="5" t="n"/>
      <c r="L196" s="5" t="n"/>
      <c r="M196" s="9" t="n"/>
      <c r="N196" s="9" t="n"/>
      <c r="O196" s="9" t="n"/>
      <c r="P196" s="9" t="n"/>
      <c r="Q196" s="9" t="n"/>
      <c r="R196" s="8">
        <f>IF($A196="","",COUNTIF(INV_Product,$A196))</f>
        <v/>
      </c>
      <c r="S196" s="8">
        <f>IF($A196="","",COUNTIFS(INV_Product,$A196,INV_Status,"Available"))</f>
        <v/>
      </c>
      <c r="T196" s="8">
        <f>IF($D196="","",IF(COUNTIFS(DD_PairCategory,$C196,DD_Subcategory,$D196)&gt;0,"ok","✗ "&amp;$D196&amp;" is not under "&amp;$C196))</f>
        <v/>
      </c>
      <c r="U196" s="8">
        <f>IF($F196="","",IF(COUNTIFS(PM_Brand,$E196,PM_Model,$F196)&gt;1,"⚠ duplicate product",IF(AND($B196&lt;&gt;"",COUNTIF(PM_Short,$B196)&gt;1),"⚠ short code reused","")))</f>
        <v/>
      </c>
      <c r="V196" s="5" t="n"/>
    </row>
    <row r="197">
      <c r="A197" s="8">
        <f>IF($F197="","","PRD-"&amp;TEXT(ROW()-3,"0000"))</f>
        <v/>
      </c>
      <c r="B197" s="5" t="n"/>
      <c r="C197" s="5" t="n"/>
      <c r="D197" s="5" t="n"/>
      <c r="E197" s="5" t="n"/>
      <c r="F197" s="5" t="n"/>
      <c r="G197" s="5" t="n"/>
      <c r="H197" s="5" t="n"/>
      <c r="I197" s="5" t="n"/>
      <c r="J197" s="5" t="n"/>
      <c r="K197" s="5" t="n"/>
      <c r="L197" s="5" t="n"/>
      <c r="M197" s="9" t="n"/>
      <c r="N197" s="9" t="n"/>
      <c r="O197" s="9" t="n"/>
      <c r="P197" s="9" t="n"/>
      <c r="Q197" s="9" t="n"/>
      <c r="R197" s="8">
        <f>IF($A197="","",COUNTIF(INV_Product,$A197))</f>
        <v/>
      </c>
      <c r="S197" s="8">
        <f>IF($A197="","",COUNTIFS(INV_Product,$A197,INV_Status,"Available"))</f>
        <v/>
      </c>
      <c r="T197" s="8">
        <f>IF($D197="","",IF(COUNTIFS(DD_PairCategory,$C197,DD_Subcategory,$D197)&gt;0,"ok","✗ "&amp;$D197&amp;" is not under "&amp;$C197))</f>
        <v/>
      </c>
      <c r="U197" s="8">
        <f>IF($F197="","",IF(COUNTIFS(PM_Brand,$E197,PM_Model,$F197)&gt;1,"⚠ duplicate product",IF(AND($B197&lt;&gt;"",COUNTIF(PM_Short,$B197)&gt;1),"⚠ short code reused","")))</f>
        <v/>
      </c>
      <c r="V197" s="5" t="n"/>
    </row>
    <row r="198">
      <c r="A198" s="8">
        <f>IF($F198="","","PRD-"&amp;TEXT(ROW()-3,"0000"))</f>
        <v/>
      </c>
      <c r="B198" s="5" t="n"/>
      <c r="C198" s="5" t="n"/>
      <c r="D198" s="5" t="n"/>
      <c r="E198" s="5" t="n"/>
      <c r="F198" s="5" t="n"/>
      <c r="G198" s="5" t="n"/>
      <c r="H198" s="5" t="n"/>
      <c r="I198" s="5" t="n"/>
      <c r="J198" s="5" t="n"/>
      <c r="K198" s="5" t="n"/>
      <c r="L198" s="5" t="n"/>
      <c r="M198" s="9" t="n"/>
      <c r="N198" s="9" t="n"/>
      <c r="O198" s="9" t="n"/>
      <c r="P198" s="9" t="n"/>
      <c r="Q198" s="9" t="n"/>
      <c r="R198" s="8">
        <f>IF($A198="","",COUNTIF(INV_Product,$A198))</f>
        <v/>
      </c>
      <c r="S198" s="8">
        <f>IF($A198="","",COUNTIFS(INV_Product,$A198,INV_Status,"Available"))</f>
        <v/>
      </c>
      <c r="T198" s="8">
        <f>IF($D198="","",IF(COUNTIFS(DD_PairCategory,$C198,DD_Subcategory,$D198)&gt;0,"ok","✗ "&amp;$D198&amp;" is not under "&amp;$C198))</f>
        <v/>
      </c>
      <c r="U198" s="8">
        <f>IF($F198="","",IF(COUNTIFS(PM_Brand,$E198,PM_Model,$F198)&gt;1,"⚠ duplicate product",IF(AND($B198&lt;&gt;"",COUNTIF(PM_Short,$B198)&gt;1),"⚠ short code reused","")))</f>
        <v/>
      </c>
      <c r="V198" s="5" t="n"/>
    </row>
    <row r="199">
      <c r="A199" s="8">
        <f>IF($F199="","","PRD-"&amp;TEXT(ROW()-3,"0000"))</f>
        <v/>
      </c>
      <c r="B199" s="5" t="n"/>
      <c r="C199" s="5" t="n"/>
      <c r="D199" s="5" t="n"/>
      <c r="E199" s="5" t="n"/>
      <c r="F199" s="5" t="n"/>
      <c r="G199" s="5" t="n"/>
      <c r="H199" s="5" t="n"/>
      <c r="I199" s="5" t="n"/>
      <c r="J199" s="5" t="n"/>
      <c r="K199" s="5" t="n"/>
      <c r="L199" s="5" t="n"/>
      <c r="M199" s="9" t="n"/>
      <c r="N199" s="9" t="n"/>
      <c r="O199" s="9" t="n"/>
      <c r="P199" s="9" t="n"/>
      <c r="Q199" s="9" t="n"/>
      <c r="R199" s="8">
        <f>IF($A199="","",COUNTIF(INV_Product,$A199))</f>
        <v/>
      </c>
      <c r="S199" s="8">
        <f>IF($A199="","",COUNTIFS(INV_Product,$A199,INV_Status,"Available"))</f>
        <v/>
      </c>
      <c r="T199" s="8">
        <f>IF($D199="","",IF(COUNTIFS(DD_PairCategory,$C199,DD_Subcategory,$D199)&gt;0,"ok","✗ "&amp;$D199&amp;" is not under "&amp;$C199))</f>
        <v/>
      </c>
      <c r="U199" s="8">
        <f>IF($F199="","",IF(COUNTIFS(PM_Brand,$E199,PM_Model,$F199)&gt;1,"⚠ duplicate product",IF(AND($B199&lt;&gt;"",COUNTIF(PM_Short,$B199)&gt;1),"⚠ short code reused","")))</f>
        <v/>
      </c>
      <c r="V199" s="5" t="n"/>
    </row>
    <row r="200">
      <c r="A200" s="8">
        <f>IF($F200="","","PRD-"&amp;TEXT(ROW()-3,"0000"))</f>
        <v/>
      </c>
      <c r="B200" s="5" t="n"/>
      <c r="C200" s="5" t="n"/>
      <c r="D200" s="5" t="n"/>
      <c r="E200" s="5" t="n"/>
      <c r="F200" s="5" t="n"/>
      <c r="G200" s="5" t="n"/>
      <c r="H200" s="5" t="n"/>
      <c r="I200" s="5" t="n"/>
      <c r="J200" s="5" t="n"/>
      <c r="K200" s="5" t="n"/>
      <c r="L200" s="5" t="n"/>
      <c r="M200" s="9" t="n"/>
      <c r="N200" s="9" t="n"/>
      <c r="O200" s="9" t="n"/>
      <c r="P200" s="9" t="n"/>
      <c r="Q200" s="9" t="n"/>
      <c r="R200" s="8">
        <f>IF($A200="","",COUNTIF(INV_Product,$A200))</f>
        <v/>
      </c>
      <c r="S200" s="8">
        <f>IF($A200="","",COUNTIFS(INV_Product,$A200,INV_Status,"Available"))</f>
        <v/>
      </c>
      <c r="T200" s="8">
        <f>IF($D200="","",IF(COUNTIFS(DD_PairCategory,$C200,DD_Subcategory,$D200)&gt;0,"ok","✗ "&amp;$D200&amp;" is not under "&amp;$C200))</f>
        <v/>
      </c>
      <c r="U200" s="8">
        <f>IF($F200="","",IF(COUNTIFS(PM_Brand,$E200,PM_Model,$F200)&gt;1,"⚠ duplicate product",IF(AND($B200&lt;&gt;"",COUNTIF(PM_Short,$B200)&gt;1),"⚠ short code reused","")))</f>
        <v/>
      </c>
      <c r="V200" s="5" t="n"/>
    </row>
    <row r="201">
      <c r="A201" s="8">
        <f>IF($F201="","","PRD-"&amp;TEXT(ROW()-3,"0000"))</f>
        <v/>
      </c>
      <c r="B201" s="5" t="n"/>
      <c r="C201" s="5" t="n"/>
      <c r="D201" s="5" t="n"/>
      <c r="E201" s="5" t="n"/>
      <c r="F201" s="5" t="n"/>
      <c r="G201" s="5" t="n"/>
      <c r="H201" s="5" t="n"/>
      <c r="I201" s="5" t="n"/>
      <c r="J201" s="5" t="n"/>
      <c r="K201" s="5" t="n"/>
      <c r="L201" s="5" t="n"/>
      <c r="M201" s="9" t="n"/>
      <c r="N201" s="9" t="n"/>
      <c r="O201" s="9" t="n"/>
      <c r="P201" s="9" t="n"/>
      <c r="Q201" s="9" t="n"/>
      <c r="R201" s="8">
        <f>IF($A201="","",COUNTIF(INV_Product,$A201))</f>
        <v/>
      </c>
      <c r="S201" s="8">
        <f>IF($A201="","",COUNTIFS(INV_Product,$A201,INV_Status,"Available"))</f>
        <v/>
      </c>
      <c r="T201" s="8">
        <f>IF($D201="","",IF(COUNTIFS(DD_PairCategory,$C201,DD_Subcategory,$D201)&gt;0,"ok","✗ "&amp;$D201&amp;" is not under "&amp;$C201))</f>
        <v/>
      </c>
      <c r="U201" s="8">
        <f>IF($F201="","",IF(COUNTIFS(PM_Brand,$E201,PM_Model,$F201)&gt;1,"⚠ duplicate product",IF(AND($B201&lt;&gt;"",COUNTIF(PM_Short,$B201)&gt;1),"⚠ short code reused","")))</f>
        <v/>
      </c>
      <c r="V201" s="5" t="n"/>
    </row>
    <row r="202">
      <c r="A202" s="8">
        <f>IF($F202="","","PRD-"&amp;TEXT(ROW()-3,"0000"))</f>
        <v/>
      </c>
      <c r="B202" s="5" t="n"/>
      <c r="C202" s="5" t="n"/>
      <c r="D202" s="5" t="n"/>
      <c r="E202" s="5" t="n"/>
      <c r="F202" s="5" t="n"/>
      <c r="G202" s="5" t="n"/>
      <c r="H202" s="5" t="n"/>
      <c r="I202" s="5" t="n"/>
      <c r="J202" s="5" t="n"/>
      <c r="K202" s="5" t="n"/>
      <c r="L202" s="5" t="n"/>
      <c r="M202" s="9" t="n"/>
      <c r="N202" s="9" t="n"/>
      <c r="O202" s="9" t="n"/>
      <c r="P202" s="9" t="n"/>
      <c r="Q202" s="9" t="n"/>
      <c r="R202" s="8">
        <f>IF($A202="","",COUNTIF(INV_Product,$A202))</f>
        <v/>
      </c>
      <c r="S202" s="8">
        <f>IF($A202="","",COUNTIFS(INV_Product,$A202,INV_Status,"Available"))</f>
        <v/>
      </c>
      <c r="T202" s="8">
        <f>IF($D202="","",IF(COUNTIFS(DD_PairCategory,$C202,DD_Subcategory,$D202)&gt;0,"ok","✗ "&amp;$D202&amp;" is not under "&amp;$C202))</f>
        <v/>
      </c>
      <c r="U202" s="8">
        <f>IF($F202="","",IF(COUNTIFS(PM_Brand,$E202,PM_Model,$F202)&gt;1,"⚠ duplicate product",IF(AND($B202&lt;&gt;"",COUNTIF(PM_Short,$B202)&gt;1),"⚠ short code reused","")))</f>
        <v/>
      </c>
      <c r="V202" s="5" t="n"/>
    </row>
    <row r="203">
      <c r="A203" s="8">
        <f>IF($F203="","","PRD-"&amp;TEXT(ROW()-3,"0000"))</f>
        <v/>
      </c>
      <c r="B203" s="5" t="n"/>
      <c r="C203" s="5" t="n"/>
      <c r="D203" s="5" t="n"/>
      <c r="E203" s="5" t="n"/>
      <c r="F203" s="5" t="n"/>
      <c r="G203" s="5" t="n"/>
      <c r="H203" s="5" t="n"/>
      <c r="I203" s="5" t="n"/>
      <c r="J203" s="5" t="n"/>
      <c r="K203" s="5" t="n"/>
      <c r="L203" s="5" t="n"/>
      <c r="M203" s="9" t="n"/>
      <c r="N203" s="9" t="n"/>
      <c r="O203" s="9" t="n"/>
      <c r="P203" s="9" t="n"/>
      <c r="Q203" s="9" t="n"/>
      <c r="R203" s="8">
        <f>IF($A203="","",COUNTIF(INV_Product,$A203))</f>
        <v/>
      </c>
      <c r="S203" s="8">
        <f>IF($A203="","",COUNTIFS(INV_Product,$A203,INV_Status,"Available"))</f>
        <v/>
      </c>
      <c r="T203" s="8">
        <f>IF($D203="","",IF(COUNTIFS(DD_PairCategory,$C203,DD_Subcategory,$D203)&gt;0,"ok","✗ "&amp;$D203&amp;" is not under "&amp;$C203))</f>
        <v/>
      </c>
      <c r="U203" s="8">
        <f>IF($F203="","",IF(COUNTIFS(PM_Brand,$E203,PM_Model,$F203)&gt;1,"⚠ duplicate product",IF(AND($B203&lt;&gt;"",COUNTIF(PM_Short,$B203)&gt;1),"⚠ short code reused","")))</f>
        <v/>
      </c>
      <c r="V203" s="5" t="n"/>
    </row>
    <row r="204">
      <c r="A204" s="8">
        <f>IF($F204="","","PRD-"&amp;TEXT(ROW()-3,"0000"))</f>
        <v/>
      </c>
      <c r="B204" s="5" t="n"/>
      <c r="C204" s="5" t="n"/>
      <c r="D204" s="5" t="n"/>
      <c r="E204" s="5" t="n"/>
      <c r="F204" s="5" t="n"/>
      <c r="G204" s="5" t="n"/>
      <c r="H204" s="5" t="n"/>
      <c r="I204" s="5" t="n"/>
      <c r="J204" s="5" t="n"/>
      <c r="K204" s="5" t="n"/>
      <c r="L204" s="5" t="n"/>
      <c r="M204" s="9" t="n"/>
      <c r="N204" s="9" t="n"/>
      <c r="O204" s="9" t="n"/>
      <c r="P204" s="9" t="n"/>
      <c r="Q204" s="9" t="n"/>
      <c r="R204" s="8">
        <f>IF($A204="","",COUNTIF(INV_Product,$A204))</f>
        <v/>
      </c>
      <c r="S204" s="8">
        <f>IF($A204="","",COUNTIFS(INV_Product,$A204,INV_Status,"Available"))</f>
        <v/>
      </c>
      <c r="T204" s="8">
        <f>IF($D204="","",IF(COUNTIFS(DD_PairCategory,$C204,DD_Subcategory,$D204)&gt;0,"ok","✗ "&amp;$D204&amp;" is not under "&amp;$C204))</f>
        <v/>
      </c>
      <c r="U204" s="8">
        <f>IF($F204="","",IF(COUNTIFS(PM_Brand,$E204,PM_Model,$F204)&gt;1,"⚠ duplicate product",IF(AND($B204&lt;&gt;"",COUNTIF(PM_Short,$B204)&gt;1),"⚠ short code reused","")))</f>
        <v/>
      </c>
      <c r="V204" s="5" t="n"/>
    </row>
    <row r="205">
      <c r="A205" s="8">
        <f>IF($F205="","","PRD-"&amp;TEXT(ROW()-3,"0000"))</f>
        <v/>
      </c>
      <c r="B205" s="5" t="n"/>
      <c r="C205" s="5" t="n"/>
      <c r="D205" s="5" t="n"/>
      <c r="E205" s="5" t="n"/>
      <c r="F205" s="5" t="n"/>
      <c r="G205" s="5" t="n"/>
      <c r="H205" s="5" t="n"/>
      <c r="I205" s="5" t="n"/>
      <c r="J205" s="5" t="n"/>
      <c r="K205" s="5" t="n"/>
      <c r="L205" s="5" t="n"/>
      <c r="M205" s="9" t="n"/>
      <c r="N205" s="9" t="n"/>
      <c r="O205" s="9" t="n"/>
      <c r="P205" s="9" t="n"/>
      <c r="Q205" s="9" t="n"/>
      <c r="R205" s="8">
        <f>IF($A205="","",COUNTIF(INV_Product,$A205))</f>
        <v/>
      </c>
      <c r="S205" s="8">
        <f>IF($A205="","",COUNTIFS(INV_Product,$A205,INV_Status,"Available"))</f>
        <v/>
      </c>
      <c r="T205" s="8">
        <f>IF($D205="","",IF(COUNTIFS(DD_PairCategory,$C205,DD_Subcategory,$D205)&gt;0,"ok","✗ "&amp;$D205&amp;" is not under "&amp;$C205))</f>
        <v/>
      </c>
      <c r="U205" s="8">
        <f>IF($F205="","",IF(COUNTIFS(PM_Brand,$E205,PM_Model,$F205)&gt;1,"⚠ duplicate product",IF(AND($B205&lt;&gt;"",COUNTIF(PM_Short,$B205)&gt;1),"⚠ short code reused","")))</f>
        <v/>
      </c>
      <c r="V205" s="5" t="n"/>
    </row>
    <row r="206">
      <c r="A206" s="8">
        <f>IF($F206="","","PRD-"&amp;TEXT(ROW()-3,"0000"))</f>
        <v/>
      </c>
      <c r="B206" s="5" t="n"/>
      <c r="C206" s="5" t="n"/>
      <c r="D206" s="5" t="n"/>
      <c r="E206" s="5" t="n"/>
      <c r="F206" s="5" t="n"/>
      <c r="G206" s="5" t="n"/>
      <c r="H206" s="5" t="n"/>
      <c r="I206" s="5" t="n"/>
      <c r="J206" s="5" t="n"/>
      <c r="K206" s="5" t="n"/>
      <c r="L206" s="5" t="n"/>
      <c r="M206" s="9" t="n"/>
      <c r="N206" s="9" t="n"/>
      <c r="O206" s="9" t="n"/>
      <c r="P206" s="9" t="n"/>
      <c r="Q206" s="9" t="n"/>
      <c r="R206" s="8">
        <f>IF($A206="","",COUNTIF(INV_Product,$A206))</f>
        <v/>
      </c>
      <c r="S206" s="8">
        <f>IF($A206="","",COUNTIFS(INV_Product,$A206,INV_Status,"Available"))</f>
        <v/>
      </c>
      <c r="T206" s="8">
        <f>IF($D206="","",IF(COUNTIFS(DD_PairCategory,$C206,DD_Subcategory,$D206)&gt;0,"ok","✗ "&amp;$D206&amp;" is not under "&amp;$C206))</f>
        <v/>
      </c>
      <c r="U206" s="8">
        <f>IF($F206="","",IF(COUNTIFS(PM_Brand,$E206,PM_Model,$F206)&gt;1,"⚠ duplicate product",IF(AND($B206&lt;&gt;"",COUNTIF(PM_Short,$B206)&gt;1),"⚠ short code reused","")))</f>
        <v/>
      </c>
      <c r="V206" s="5" t="n"/>
    </row>
    <row r="207">
      <c r="A207" s="8">
        <f>IF($F207="","","PRD-"&amp;TEXT(ROW()-3,"0000"))</f>
        <v/>
      </c>
      <c r="B207" s="5" t="n"/>
      <c r="C207" s="5" t="n"/>
      <c r="D207" s="5" t="n"/>
      <c r="E207" s="5" t="n"/>
      <c r="F207" s="5" t="n"/>
      <c r="G207" s="5" t="n"/>
      <c r="H207" s="5" t="n"/>
      <c r="I207" s="5" t="n"/>
      <c r="J207" s="5" t="n"/>
      <c r="K207" s="5" t="n"/>
      <c r="L207" s="5" t="n"/>
      <c r="M207" s="9" t="n"/>
      <c r="N207" s="9" t="n"/>
      <c r="O207" s="9" t="n"/>
      <c r="P207" s="9" t="n"/>
      <c r="Q207" s="9" t="n"/>
      <c r="R207" s="8">
        <f>IF($A207="","",COUNTIF(INV_Product,$A207))</f>
        <v/>
      </c>
      <c r="S207" s="8">
        <f>IF($A207="","",COUNTIFS(INV_Product,$A207,INV_Status,"Available"))</f>
        <v/>
      </c>
      <c r="T207" s="8">
        <f>IF($D207="","",IF(COUNTIFS(DD_PairCategory,$C207,DD_Subcategory,$D207)&gt;0,"ok","✗ "&amp;$D207&amp;" is not under "&amp;$C207))</f>
        <v/>
      </c>
      <c r="U207" s="8">
        <f>IF($F207="","",IF(COUNTIFS(PM_Brand,$E207,PM_Model,$F207)&gt;1,"⚠ duplicate product",IF(AND($B207&lt;&gt;"",COUNTIF(PM_Short,$B207)&gt;1),"⚠ short code reused","")))</f>
        <v/>
      </c>
      <c r="V207" s="5" t="n"/>
    </row>
    <row r="208">
      <c r="A208" s="8">
        <f>IF($F208="","","PRD-"&amp;TEXT(ROW()-3,"0000"))</f>
        <v/>
      </c>
      <c r="B208" s="5" t="n"/>
      <c r="C208" s="5" t="n"/>
      <c r="D208" s="5" t="n"/>
      <c r="E208" s="5" t="n"/>
      <c r="F208" s="5" t="n"/>
      <c r="G208" s="5" t="n"/>
      <c r="H208" s="5" t="n"/>
      <c r="I208" s="5" t="n"/>
      <c r="J208" s="5" t="n"/>
      <c r="K208" s="5" t="n"/>
      <c r="L208" s="5" t="n"/>
      <c r="M208" s="9" t="n"/>
      <c r="N208" s="9" t="n"/>
      <c r="O208" s="9" t="n"/>
      <c r="P208" s="9" t="n"/>
      <c r="Q208" s="9" t="n"/>
      <c r="R208" s="8">
        <f>IF($A208="","",COUNTIF(INV_Product,$A208))</f>
        <v/>
      </c>
      <c r="S208" s="8">
        <f>IF($A208="","",COUNTIFS(INV_Product,$A208,INV_Status,"Available"))</f>
        <v/>
      </c>
      <c r="T208" s="8">
        <f>IF($D208="","",IF(COUNTIFS(DD_PairCategory,$C208,DD_Subcategory,$D208)&gt;0,"ok","✗ "&amp;$D208&amp;" is not under "&amp;$C208))</f>
        <v/>
      </c>
      <c r="U208" s="8">
        <f>IF($F208="","",IF(COUNTIFS(PM_Brand,$E208,PM_Model,$F208)&gt;1,"⚠ duplicate product",IF(AND($B208&lt;&gt;"",COUNTIF(PM_Short,$B208)&gt;1),"⚠ short code reused","")))</f>
        <v/>
      </c>
      <c r="V208" s="5" t="n"/>
    </row>
    <row r="209">
      <c r="A209" s="8">
        <f>IF($F209="","","PRD-"&amp;TEXT(ROW()-3,"0000"))</f>
        <v/>
      </c>
      <c r="B209" s="5" t="n"/>
      <c r="C209" s="5" t="n"/>
      <c r="D209" s="5" t="n"/>
      <c r="E209" s="5" t="n"/>
      <c r="F209" s="5" t="n"/>
      <c r="G209" s="5" t="n"/>
      <c r="H209" s="5" t="n"/>
      <c r="I209" s="5" t="n"/>
      <c r="J209" s="5" t="n"/>
      <c r="K209" s="5" t="n"/>
      <c r="L209" s="5" t="n"/>
      <c r="M209" s="9" t="n"/>
      <c r="N209" s="9" t="n"/>
      <c r="O209" s="9" t="n"/>
      <c r="P209" s="9" t="n"/>
      <c r="Q209" s="9" t="n"/>
      <c r="R209" s="8">
        <f>IF($A209="","",COUNTIF(INV_Product,$A209))</f>
        <v/>
      </c>
      <c r="S209" s="8">
        <f>IF($A209="","",COUNTIFS(INV_Product,$A209,INV_Status,"Available"))</f>
        <v/>
      </c>
      <c r="T209" s="8">
        <f>IF($D209="","",IF(COUNTIFS(DD_PairCategory,$C209,DD_Subcategory,$D209)&gt;0,"ok","✗ "&amp;$D209&amp;" is not under "&amp;$C209))</f>
        <v/>
      </c>
      <c r="U209" s="8">
        <f>IF($F209="","",IF(COUNTIFS(PM_Brand,$E209,PM_Model,$F209)&gt;1,"⚠ duplicate product",IF(AND($B209&lt;&gt;"",COUNTIF(PM_Short,$B209)&gt;1),"⚠ short code reused","")))</f>
        <v/>
      </c>
      <c r="V209" s="5" t="n"/>
    </row>
    <row r="210">
      <c r="A210" s="8">
        <f>IF($F210="","","PRD-"&amp;TEXT(ROW()-3,"0000"))</f>
        <v/>
      </c>
      <c r="B210" s="5" t="n"/>
      <c r="C210" s="5" t="n"/>
      <c r="D210" s="5" t="n"/>
      <c r="E210" s="5" t="n"/>
      <c r="F210" s="5" t="n"/>
      <c r="G210" s="5" t="n"/>
      <c r="H210" s="5" t="n"/>
      <c r="I210" s="5" t="n"/>
      <c r="J210" s="5" t="n"/>
      <c r="K210" s="5" t="n"/>
      <c r="L210" s="5" t="n"/>
      <c r="M210" s="9" t="n"/>
      <c r="N210" s="9" t="n"/>
      <c r="O210" s="9" t="n"/>
      <c r="P210" s="9" t="n"/>
      <c r="Q210" s="9" t="n"/>
      <c r="R210" s="8">
        <f>IF($A210="","",COUNTIF(INV_Product,$A210))</f>
        <v/>
      </c>
      <c r="S210" s="8">
        <f>IF($A210="","",COUNTIFS(INV_Product,$A210,INV_Status,"Available"))</f>
        <v/>
      </c>
      <c r="T210" s="8">
        <f>IF($D210="","",IF(COUNTIFS(DD_PairCategory,$C210,DD_Subcategory,$D210)&gt;0,"ok","✗ "&amp;$D210&amp;" is not under "&amp;$C210))</f>
        <v/>
      </c>
      <c r="U210" s="8">
        <f>IF($F210="","",IF(COUNTIFS(PM_Brand,$E210,PM_Model,$F210)&gt;1,"⚠ duplicate product",IF(AND($B210&lt;&gt;"",COUNTIF(PM_Short,$B210)&gt;1),"⚠ short code reused","")))</f>
        <v/>
      </c>
      <c r="V210" s="5" t="n"/>
    </row>
    <row r="211">
      <c r="A211" s="8">
        <f>IF($F211="","","PRD-"&amp;TEXT(ROW()-3,"0000"))</f>
        <v/>
      </c>
      <c r="B211" s="5" t="n"/>
      <c r="C211" s="5" t="n"/>
      <c r="D211" s="5" t="n"/>
      <c r="E211" s="5" t="n"/>
      <c r="F211" s="5" t="n"/>
      <c r="G211" s="5" t="n"/>
      <c r="H211" s="5" t="n"/>
      <c r="I211" s="5" t="n"/>
      <c r="J211" s="5" t="n"/>
      <c r="K211" s="5" t="n"/>
      <c r="L211" s="5" t="n"/>
      <c r="M211" s="9" t="n"/>
      <c r="N211" s="9" t="n"/>
      <c r="O211" s="9" t="n"/>
      <c r="P211" s="9" t="n"/>
      <c r="Q211" s="9" t="n"/>
      <c r="R211" s="8">
        <f>IF($A211="","",COUNTIF(INV_Product,$A211))</f>
        <v/>
      </c>
      <c r="S211" s="8">
        <f>IF($A211="","",COUNTIFS(INV_Product,$A211,INV_Status,"Available"))</f>
        <v/>
      </c>
      <c r="T211" s="8">
        <f>IF($D211="","",IF(COUNTIFS(DD_PairCategory,$C211,DD_Subcategory,$D211)&gt;0,"ok","✗ "&amp;$D211&amp;" is not under "&amp;$C211))</f>
        <v/>
      </c>
      <c r="U211" s="8">
        <f>IF($F211="","",IF(COUNTIFS(PM_Brand,$E211,PM_Model,$F211)&gt;1,"⚠ duplicate product",IF(AND($B211&lt;&gt;"",COUNTIF(PM_Short,$B211)&gt;1),"⚠ short code reused","")))</f>
        <v/>
      </c>
      <c r="V211" s="5" t="n"/>
    </row>
    <row r="212">
      <c r="A212" s="8">
        <f>IF($F212="","","PRD-"&amp;TEXT(ROW()-3,"0000"))</f>
        <v/>
      </c>
      <c r="B212" s="5" t="n"/>
      <c r="C212" s="5" t="n"/>
      <c r="D212" s="5" t="n"/>
      <c r="E212" s="5" t="n"/>
      <c r="F212" s="5" t="n"/>
      <c r="G212" s="5" t="n"/>
      <c r="H212" s="5" t="n"/>
      <c r="I212" s="5" t="n"/>
      <c r="J212" s="5" t="n"/>
      <c r="K212" s="5" t="n"/>
      <c r="L212" s="5" t="n"/>
      <c r="M212" s="9" t="n"/>
      <c r="N212" s="9" t="n"/>
      <c r="O212" s="9" t="n"/>
      <c r="P212" s="9" t="n"/>
      <c r="Q212" s="9" t="n"/>
      <c r="R212" s="8">
        <f>IF($A212="","",COUNTIF(INV_Product,$A212))</f>
        <v/>
      </c>
      <c r="S212" s="8">
        <f>IF($A212="","",COUNTIFS(INV_Product,$A212,INV_Status,"Available"))</f>
        <v/>
      </c>
      <c r="T212" s="8">
        <f>IF($D212="","",IF(COUNTIFS(DD_PairCategory,$C212,DD_Subcategory,$D212)&gt;0,"ok","✗ "&amp;$D212&amp;" is not under "&amp;$C212))</f>
        <v/>
      </c>
      <c r="U212" s="8">
        <f>IF($F212="","",IF(COUNTIFS(PM_Brand,$E212,PM_Model,$F212)&gt;1,"⚠ duplicate product",IF(AND($B212&lt;&gt;"",COUNTIF(PM_Short,$B212)&gt;1),"⚠ short code reused","")))</f>
        <v/>
      </c>
      <c r="V212" s="5" t="n"/>
    </row>
    <row r="213">
      <c r="A213" s="8">
        <f>IF($F213="","","PRD-"&amp;TEXT(ROW()-3,"0000"))</f>
        <v/>
      </c>
      <c r="B213" s="5" t="n"/>
      <c r="C213" s="5" t="n"/>
      <c r="D213" s="5" t="n"/>
      <c r="E213" s="5" t="n"/>
      <c r="F213" s="5" t="n"/>
      <c r="G213" s="5" t="n"/>
      <c r="H213" s="5" t="n"/>
      <c r="I213" s="5" t="n"/>
      <c r="J213" s="5" t="n"/>
      <c r="K213" s="5" t="n"/>
      <c r="L213" s="5" t="n"/>
      <c r="M213" s="9" t="n"/>
      <c r="N213" s="9" t="n"/>
      <c r="O213" s="9" t="n"/>
      <c r="P213" s="9" t="n"/>
      <c r="Q213" s="9" t="n"/>
      <c r="R213" s="8">
        <f>IF($A213="","",COUNTIF(INV_Product,$A213))</f>
        <v/>
      </c>
      <c r="S213" s="8">
        <f>IF($A213="","",COUNTIFS(INV_Product,$A213,INV_Status,"Available"))</f>
        <v/>
      </c>
      <c r="T213" s="8">
        <f>IF($D213="","",IF(COUNTIFS(DD_PairCategory,$C213,DD_Subcategory,$D213)&gt;0,"ok","✗ "&amp;$D213&amp;" is not under "&amp;$C213))</f>
        <v/>
      </c>
      <c r="U213" s="8">
        <f>IF($F213="","",IF(COUNTIFS(PM_Brand,$E213,PM_Model,$F213)&gt;1,"⚠ duplicate product",IF(AND($B213&lt;&gt;"",COUNTIF(PM_Short,$B213)&gt;1),"⚠ short code reused","")))</f>
        <v/>
      </c>
      <c r="V213" s="5" t="n"/>
    </row>
    <row r="214">
      <c r="A214" s="8">
        <f>IF($F214="","","PRD-"&amp;TEXT(ROW()-3,"0000"))</f>
        <v/>
      </c>
      <c r="B214" s="5" t="n"/>
      <c r="C214" s="5" t="n"/>
      <c r="D214" s="5" t="n"/>
      <c r="E214" s="5" t="n"/>
      <c r="F214" s="5" t="n"/>
      <c r="G214" s="5" t="n"/>
      <c r="H214" s="5" t="n"/>
      <c r="I214" s="5" t="n"/>
      <c r="J214" s="5" t="n"/>
      <c r="K214" s="5" t="n"/>
      <c r="L214" s="5" t="n"/>
      <c r="M214" s="9" t="n"/>
      <c r="N214" s="9" t="n"/>
      <c r="O214" s="9" t="n"/>
      <c r="P214" s="9" t="n"/>
      <c r="Q214" s="9" t="n"/>
      <c r="R214" s="8">
        <f>IF($A214="","",COUNTIF(INV_Product,$A214))</f>
        <v/>
      </c>
      <c r="S214" s="8">
        <f>IF($A214="","",COUNTIFS(INV_Product,$A214,INV_Status,"Available"))</f>
        <v/>
      </c>
      <c r="T214" s="8">
        <f>IF($D214="","",IF(COUNTIFS(DD_PairCategory,$C214,DD_Subcategory,$D214)&gt;0,"ok","✗ "&amp;$D214&amp;" is not under "&amp;$C214))</f>
        <v/>
      </c>
      <c r="U214" s="8">
        <f>IF($F214="","",IF(COUNTIFS(PM_Brand,$E214,PM_Model,$F214)&gt;1,"⚠ duplicate product",IF(AND($B214&lt;&gt;"",COUNTIF(PM_Short,$B214)&gt;1),"⚠ short code reused","")))</f>
        <v/>
      </c>
      <c r="V214" s="5" t="n"/>
    </row>
    <row r="215">
      <c r="A215" s="8">
        <f>IF($F215="","","PRD-"&amp;TEXT(ROW()-3,"0000"))</f>
        <v/>
      </c>
      <c r="B215" s="5" t="n"/>
      <c r="C215" s="5" t="n"/>
      <c r="D215" s="5" t="n"/>
      <c r="E215" s="5" t="n"/>
      <c r="F215" s="5" t="n"/>
      <c r="G215" s="5" t="n"/>
      <c r="H215" s="5" t="n"/>
      <c r="I215" s="5" t="n"/>
      <c r="J215" s="5" t="n"/>
      <c r="K215" s="5" t="n"/>
      <c r="L215" s="5" t="n"/>
      <c r="M215" s="9" t="n"/>
      <c r="N215" s="9" t="n"/>
      <c r="O215" s="9" t="n"/>
      <c r="P215" s="9" t="n"/>
      <c r="Q215" s="9" t="n"/>
      <c r="R215" s="8">
        <f>IF($A215="","",COUNTIF(INV_Product,$A215))</f>
        <v/>
      </c>
      <c r="S215" s="8">
        <f>IF($A215="","",COUNTIFS(INV_Product,$A215,INV_Status,"Available"))</f>
        <v/>
      </c>
      <c r="T215" s="8">
        <f>IF($D215="","",IF(COUNTIFS(DD_PairCategory,$C215,DD_Subcategory,$D215)&gt;0,"ok","✗ "&amp;$D215&amp;" is not under "&amp;$C215))</f>
        <v/>
      </c>
      <c r="U215" s="8">
        <f>IF($F215="","",IF(COUNTIFS(PM_Brand,$E215,PM_Model,$F215)&gt;1,"⚠ duplicate product",IF(AND($B215&lt;&gt;"",COUNTIF(PM_Short,$B215)&gt;1),"⚠ short code reused","")))</f>
        <v/>
      </c>
      <c r="V215" s="5" t="n"/>
    </row>
    <row r="216">
      <c r="A216" s="8">
        <f>IF($F216="","","PRD-"&amp;TEXT(ROW()-3,"0000"))</f>
        <v/>
      </c>
      <c r="B216" s="5" t="n"/>
      <c r="C216" s="5" t="n"/>
      <c r="D216" s="5" t="n"/>
      <c r="E216" s="5" t="n"/>
      <c r="F216" s="5" t="n"/>
      <c r="G216" s="5" t="n"/>
      <c r="H216" s="5" t="n"/>
      <c r="I216" s="5" t="n"/>
      <c r="J216" s="5" t="n"/>
      <c r="K216" s="5" t="n"/>
      <c r="L216" s="5" t="n"/>
      <c r="M216" s="9" t="n"/>
      <c r="N216" s="9" t="n"/>
      <c r="O216" s="9" t="n"/>
      <c r="P216" s="9" t="n"/>
      <c r="Q216" s="9" t="n"/>
      <c r="R216" s="8">
        <f>IF($A216="","",COUNTIF(INV_Product,$A216))</f>
        <v/>
      </c>
      <c r="S216" s="8">
        <f>IF($A216="","",COUNTIFS(INV_Product,$A216,INV_Status,"Available"))</f>
        <v/>
      </c>
      <c r="T216" s="8">
        <f>IF($D216="","",IF(COUNTIFS(DD_PairCategory,$C216,DD_Subcategory,$D216)&gt;0,"ok","✗ "&amp;$D216&amp;" is not under "&amp;$C216))</f>
        <v/>
      </c>
      <c r="U216" s="8">
        <f>IF($F216="","",IF(COUNTIFS(PM_Brand,$E216,PM_Model,$F216)&gt;1,"⚠ duplicate product",IF(AND($B216&lt;&gt;"",COUNTIF(PM_Short,$B216)&gt;1),"⚠ short code reused","")))</f>
        <v/>
      </c>
      <c r="V216" s="5" t="n"/>
    </row>
    <row r="217">
      <c r="A217" s="8">
        <f>IF($F217="","","PRD-"&amp;TEXT(ROW()-3,"0000"))</f>
        <v/>
      </c>
      <c r="B217" s="5" t="n"/>
      <c r="C217" s="5" t="n"/>
      <c r="D217" s="5" t="n"/>
      <c r="E217" s="5" t="n"/>
      <c r="F217" s="5" t="n"/>
      <c r="G217" s="5" t="n"/>
      <c r="H217" s="5" t="n"/>
      <c r="I217" s="5" t="n"/>
      <c r="J217" s="5" t="n"/>
      <c r="K217" s="5" t="n"/>
      <c r="L217" s="5" t="n"/>
      <c r="M217" s="9" t="n"/>
      <c r="N217" s="9" t="n"/>
      <c r="O217" s="9" t="n"/>
      <c r="P217" s="9" t="n"/>
      <c r="Q217" s="9" t="n"/>
      <c r="R217" s="8">
        <f>IF($A217="","",COUNTIF(INV_Product,$A217))</f>
        <v/>
      </c>
      <c r="S217" s="8">
        <f>IF($A217="","",COUNTIFS(INV_Product,$A217,INV_Status,"Available"))</f>
        <v/>
      </c>
      <c r="T217" s="8">
        <f>IF($D217="","",IF(COUNTIFS(DD_PairCategory,$C217,DD_Subcategory,$D217)&gt;0,"ok","✗ "&amp;$D217&amp;" is not under "&amp;$C217))</f>
        <v/>
      </c>
      <c r="U217" s="8">
        <f>IF($F217="","",IF(COUNTIFS(PM_Brand,$E217,PM_Model,$F217)&gt;1,"⚠ duplicate product",IF(AND($B217&lt;&gt;"",COUNTIF(PM_Short,$B217)&gt;1),"⚠ short code reused","")))</f>
        <v/>
      </c>
      <c r="V217" s="5" t="n"/>
    </row>
    <row r="218">
      <c r="A218" s="8">
        <f>IF($F218="","","PRD-"&amp;TEXT(ROW()-3,"0000"))</f>
        <v/>
      </c>
      <c r="B218" s="5" t="n"/>
      <c r="C218" s="5" t="n"/>
      <c r="D218" s="5" t="n"/>
      <c r="E218" s="5" t="n"/>
      <c r="F218" s="5" t="n"/>
      <c r="G218" s="5" t="n"/>
      <c r="H218" s="5" t="n"/>
      <c r="I218" s="5" t="n"/>
      <c r="J218" s="5" t="n"/>
      <c r="K218" s="5" t="n"/>
      <c r="L218" s="5" t="n"/>
      <c r="M218" s="9" t="n"/>
      <c r="N218" s="9" t="n"/>
      <c r="O218" s="9" t="n"/>
      <c r="P218" s="9" t="n"/>
      <c r="Q218" s="9" t="n"/>
      <c r="R218" s="8">
        <f>IF($A218="","",COUNTIF(INV_Product,$A218))</f>
        <v/>
      </c>
      <c r="S218" s="8">
        <f>IF($A218="","",COUNTIFS(INV_Product,$A218,INV_Status,"Available"))</f>
        <v/>
      </c>
      <c r="T218" s="8">
        <f>IF($D218="","",IF(COUNTIFS(DD_PairCategory,$C218,DD_Subcategory,$D218)&gt;0,"ok","✗ "&amp;$D218&amp;" is not under "&amp;$C218))</f>
        <v/>
      </c>
      <c r="U218" s="8">
        <f>IF($F218="","",IF(COUNTIFS(PM_Brand,$E218,PM_Model,$F218)&gt;1,"⚠ duplicate product",IF(AND($B218&lt;&gt;"",COUNTIF(PM_Short,$B218)&gt;1),"⚠ short code reused","")))</f>
        <v/>
      </c>
      <c r="V218" s="5" t="n"/>
    </row>
    <row r="219">
      <c r="A219" s="8">
        <f>IF($F219="","","PRD-"&amp;TEXT(ROW()-3,"0000"))</f>
        <v/>
      </c>
      <c r="B219" s="5" t="n"/>
      <c r="C219" s="5" t="n"/>
      <c r="D219" s="5" t="n"/>
      <c r="E219" s="5" t="n"/>
      <c r="F219" s="5" t="n"/>
      <c r="G219" s="5" t="n"/>
      <c r="H219" s="5" t="n"/>
      <c r="I219" s="5" t="n"/>
      <c r="J219" s="5" t="n"/>
      <c r="K219" s="5" t="n"/>
      <c r="L219" s="5" t="n"/>
      <c r="M219" s="9" t="n"/>
      <c r="N219" s="9" t="n"/>
      <c r="O219" s="9" t="n"/>
      <c r="P219" s="9" t="n"/>
      <c r="Q219" s="9" t="n"/>
      <c r="R219" s="8">
        <f>IF($A219="","",COUNTIF(INV_Product,$A219))</f>
        <v/>
      </c>
      <c r="S219" s="8">
        <f>IF($A219="","",COUNTIFS(INV_Product,$A219,INV_Status,"Available"))</f>
        <v/>
      </c>
      <c r="T219" s="8">
        <f>IF($D219="","",IF(COUNTIFS(DD_PairCategory,$C219,DD_Subcategory,$D219)&gt;0,"ok","✗ "&amp;$D219&amp;" is not under "&amp;$C219))</f>
        <v/>
      </c>
      <c r="U219" s="8">
        <f>IF($F219="","",IF(COUNTIFS(PM_Brand,$E219,PM_Model,$F219)&gt;1,"⚠ duplicate product",IF(AND($B219&lt;&gt;"",COUNTIF(PM_Short,$B219)&gt;1),"⚠ short code reused","")))</f>
        <v/>
      </c>
      <c r="V219" s="5" t="n"/>
    </row>
    <row r="220">
      <c r="A220" s="8">
        <f>IF($F220="","","PRD-"&amp;TEXT(ROW()-3,"0000"))</f>
        <v/>
      </c>
      <c r="B220" s="5" t="n"/>
      <c r="C220" s="5" t="n"/>
      <c r="D220" s="5" t="n"/>
      <c r="E220" s="5" t="n"/>
      <c r="F220" s="5" t="n"/>
      <c r="G220" s="5" t="n"/>
      <c r="H220" s="5" t="n"/>
      <c r="I220" s="5" t="n"/>
      <c r="J220" s="5" t="n"/>
      <c r="K220" s="5" t="n"/>
      <c r="L220" s="5" t="n"/>
      <c r="M220" s="9" t="n"/>
      <c r="N220" s="9" t="n"/>
      <c r="O220" s="9" t="n"/>
      <c r="P220" s="9" t="n"/>
      <c r="Q220" s="9" t="n"/>
      <c r="R220" s="8">
        <f>IF($A220="","",COUNTIF(INV_Product,$A220))</f>
        <v/>
      </c>
      <c r="S220" s="8">
        <f>IF($A220="","",COUNTIFS(INV_Product,$A220,INV_Status,"Available"))</f>
        <v/>
      </c>
      <c r="T220" s="8">
        <f>IF($D220="","",IF(COUNTIFS(DD_PairCategory,$C220,DD_Subcategory,$D220)&gt;0,"ok","✗ "&amp;$D220&amp;" is not under "&amp;$C220))</f>
        <v/>
      </c>
      <c r="U220" s="8">
        <f>IF($F220="","",IF(COUNTIFS(PM_Brand,$E220,PM_Model,$F220)&gt;1,"⚠ duplicate product",IF(AND($B220&lt;&gt;"",COUNTIF(PM_Short,$B220)&gt;1),"⚠ short code reused","")))</f>
        <v/>
      </c>
      <c r="V220" s="5" t="n"/>
    </row>
    <row r="221">
      <c r="A221" s="8">
        <f>IF($F221="","","PRD-"&amp;TEXT(ROW()-3,"0000"))</f>
        <v/>
      </c>
      <c r="B221" s="5" t="n"/>
      <c r="C221" s="5" t="n"/>
      <c r="D221" s="5" t="n"/>
      <c r="E221" s="5" t="n"/>
      <c r="F221" s="5" t="n"/>
      <c r="G221" s="5" t="n"/>
      <c r="H221" s="5" t="n"/>
      <c r="I221" s="5" t="n"/>
      <c r="J221" s="5" t="n"/>
      <c r="K221" s="5" t="n"/>
      <c r="L221" s="5" t="n"/>
      <c r="M221" s="9" t="n"/>
      <c r="N221" s="9" t="n"/>
      <c r="O221" s="9" t="n"/>
      <c r="P221" s="9" t="n"/>
      <c r="Q221" s="9" t="n"/>
      <c r="R221" s="8">
        <f>IF($A221="","",COUNTIF(INV_Product,$A221))</f>
        <v/>
      </c>
      <c r="S221" s="8">
        <f>IF($A221="","",COUNTIFS(INV_Product,$A221,INV_Status,"Available"))</f>
        <v/>
      </c>
      <c r="T221" s="8">
        <f>IF($D221="","",IF(COUNTIFS(DD_PairCategory,$C221,DD_Subcategory,$D221)&gt;0,"ok","✗ "&amp;$D221&amp;" is not under "&amp;$C221))</f>
        <v/>
      </c>
      <c r="U221" s="8">
        <f>IF($F221="","",IF(COUNTIFS(PM_Brand,$E221,PM_Model,$F221)&gt;1,"⚠ duplicate product",IF(AND($B221&lt;&gt;"",COUNTIF(PM_Short,$B221)&gt;1),"⚠ short code reused","")))</f>
        <v/>
      </c>
      <c r="V221" s="5" t="n"/>
    </row>
    <row r="222">
      <c r="A222" s="8">
        <f>IF($F222="","","PRD-"&amp;TEXT(ROW()-3,"0000"))</f>
        <v/>
      </c>
      <c r="B222" s="5" t="n"/>
      <c r="C222" s="5" t="n"/>
      <c r="D222" s="5" t="n"/>
      <c r="E222" s="5" t="n"/>
      <c r="F222" s="5" t="n"/>
      <c r="G222" s="5" t="n"/>
      <c r="H222" s="5" t="n"/>
      <c r="I222" s="5" t="n"/>
      <c r="J222" s="5" t="n"/>
      <c r="K222" s="5" t="n"/>
      <c r="L222" s="5" t="n"/>
      <c r="M222" s="9" t="n"/>
      <c r="N222" s="9" t="n"/>
      <c r="O222" s="9" t="n"/>
      <c r="P222" s="9" t="n"/>
      <c r="Q222" s="9" t="n"/>
      <c r="R222" s="8">
        <f>IF($A222="","",COUNTIF(INV_Product,$A222))</f>
        <v/>
      </c>
      <c r="S222" s="8">
        <f>IF($A222="","",COUNTIFS(INV_Product,$A222,INV_Status,"Available"))</f>
        <v/>
      </c>
      <c r="T222" s="8">
        <f>IF($D222="","",IF(COUNTIFS(DD_PairCategory,$C222,DD_Subcategory,$D222)&gt;0,"ok","✗ "&amp;$D222&amp;" is not under "&amp;$C222))</f>
        <v/>
      </c>
      <c r="U222" s="8">
        <f>IF($F222="","",IF(COUNTIFS(PM_Brand,$E222,PM_Model,$F222)&gt;1,"⚠ duplicate product",IF(AND($B222&lt;&gt;"",COUNTIF(PM_Short,$B222)&gt;1),"⚠ short code reused","")))</f>
        <v/>
      </c>
      <c r="V222" s="5" t="n"/>
    </row>
    <row r="223">
      <c r="A223" s="8">
        <f>IF($F223="","","PRD-"&amp;TEXT(ROW()-3,"0000"))</f>
        <v/>
      </c>
      <c r="B223" s="5" t="n"/>
      <c r="C223" s="5" t="n"/>
      <c r="D223" s="5" t="n"/>
      <c r="E223" s="5" t="n"/>
      <c r="F223" s="5" t="n"/>
      <c r="G223" s="5" t="n"/>
      <c r="H223" s="5" t="n"/>
      <c r="I223" s="5" t="n"/>
      <c r="J223" s="5" t="n"/>
      <c r="K223" s="5" t="n"/>
      <c r="L223" s="5" t="n"/>
      <c r="M223" s="9" t="n"/>
      <c r="N223" s="9" t="n"/>
      <c r="O223" s="9" t="n"/>
      <c r="P223" s="9" t="n"/>
      <c r="Q223" s="9" t="n"/>
      <c r="R223" s="8">
        <f>IF($A223="","",COUNTIF(INV_Product,$A223))</f>
        <v/>
      </c>
      <c r="S223" s="8">
        <f>IF($A223="","",COUNTIFS(INV_Product,$A223,INV_Status,"Available"))</f>
        <v/>
      </c>
      <c r="T223" s="8">
        <f>IF($D223="","",IF(COUNTIFS(DD_PairCategory,$C223,DD_Subcategory,$D223)&gt;0,"ok","✗ "&amp;$D223&amp;" is not under "&amp;$C223))</f>
        <v/>
      </c>
      <c r="U223" s="8">
        <f>IF($F223="","",IF(COUNTIFS(PM_Brand,$E223,PM_Model,$F223)&gt;1,"⚠ duplicate product",IF(AND($B223&lt;&gt;"",COUNTIF(PM_Short,$B223)&gt;1),"⚠ short code reused","")))</f>
        <v/>
      </c>
      <c r="V223" s="5" t="n"/>
    </row>
    <row r="224">
      <c r="A224" s="8">
        <f>IF($F224="","","PRD-"&amp;TEXT(ROW()-3,"0000"))</f>
        <v/>
      </c>
      <c r="B224" s="5" t="n"/>
      <c r="C224" s="5" t="n"/>
      <c r="D224" s="5" t="n"/>
      <c r="E224" s="5" t="n"/>
      <c r="F224" s="5" t="n"/>
      <c r="G224" s="5" t="n"/>
      <c r="H224" s="5" t="n"/>
      <c r="I224" s="5" t="n"/>
      <c r="J224" s="5" t="n"/>
      <c r="K224" s="5" t="n"/>
      <c r="L224" s="5" t="n"/>
      <c r="M224" s="9" t="n"/>
      <c r="N224" s="9" t="n"/>
      <c r="O224" s="9" t="n"/>
      <c r="P224" s="9" t="n"/>
      <c r="Q224" s="9" t="n"/>
      <c r="R224" s="8">
        <f>IF($A224="","",COUNTIF(INV_Product,$A224))</f>
        <v/>
      </c>
      <c r="S224" s="8">
        <f>IF($A224="","",COUNTIFS(INV_Product,$A224,INV_Status,"Available"))</f>
        <v/>
      </c>
      <c r="T224" s="8">
        <f>IF($D224="","",IF(COUNTIFS(DD_PairCategory,$C224,DD_Subcategory,$D224)&gt;0,"ok","✗ "&amp;$D224&amp;" is not under "&amp;$C224))</f>
        <v/>
      </c>
      <c r="U224" s="8">
        <f>IF($F224="","",IF(COUNTIFS(PM_Brand,$E224,PM_Model,$F224)&gt;1,"⚠ duplicate product",IF(AND($B224&lt;&gt;"",COUNTIF(PM_Short,$B224)&gt;1),"⚠ short code reused","")))</f>
        <v/>
      </c>
      <c r="V224" s="5" t="n"/>
    </row>
    <row r="225">
      <c r="A225" s="8">
        <f>IF($F225="","","PRD-"&amp;TEXT(ROW()-3,"0000"))</f>
        <v/>
      </c>
      <c r="B225" s="5" t="n"/>
      <c r="C225" s="5" t="n"/>
      <c r="D225" s="5" t="n"/>
      <c r="E225" s="5" t="n"/>
      <c r="F225" s="5" t="n"/>
      <c r="G225" s="5" t="n"/>
      <c r="H225" s="5" t="n"/>
      <c r="I225" s="5" t="n"/>
      <c r="J225" s="5" t="n"/>
      <c r="K225" s="5" t="n"/>
      <c r="L225" s="5" t="n"/>
      <c r="M225" s="9" t="n"/>
      <c r="N225" s="9" t="n"/>
      <c r="O225" s="9" t="n"/>
      <c r="P225" s="9" t="n"/>
      <c r="Q225" s="9" t="n"/>
      <c r="R225" s="8">
        <f>IF($A225="","",COUNTIF(INV_Product,$A225))</f>
        <v/>
      </c>
      <c r="S225" s="8">
        <f>IF($A225="","",COUNTIFS(INV_Product,$A225,INV_Status,"Available"))</f>
        <v/>
      </c>
      <c r="T225" s="8">
        <f>IF($D225="","",IF(COUNTIFS(DD_PairCategory,$C225,DD_Subcategory,$D225)&gt;0,"ok","✗ "&amp;$D225&amp;" is not under "&amp;$C225))</f>
        <v/>
      </c>
      <c r="U225" s="8">
        <f>IF($F225="","",IF(COUNTIFS(PM_Brand,$E225,PM_Model,$F225)&gt;1,"⚠ duplicate product",IF(AND($B225&lt;&gt;"",COUNTIF(PM_Short,$B225)&gt;1),"⚠ short code reused","")))</f>
        <v/>
      </c>
      <c r="V225" s="5" t="n"/>
    </row>
    <row r="226">
      <c r="A226" s="8">
        <f>IF($F226="","","PRD-"&amp;TEXT(ROW()-3,"0000"))</f>
        <v/>
      </c>
      <c r="B226" s="5" t="n"/>
      <c r="C226" s="5" t="n"/>
      <c r="D226" s="5" t="n"/>
      <c r="E226" s="5" t="n"/>
      <c r="F226" s="5" t="n"/>
      <c r="G226" s="5" t="n"/>
      <c r="H226" s="5" t="n"/>
      <c r="I226" s="5" t="n"/>
      <c r="J226" s="5" t="n"/>
      <c r="K226" s="5" t="n"/>
      <c r="L226" s="5" t="n"/>
      <c r="M226" s="9" t="n"/>
      <c r="N226" s="9" t="n"/>
      <c r="O226" s="9" t="n"/>
      <c r="P226" s="9" t="n"/>
      <c r="Q226" s="9" t="n"/>
      <c r="R226" s="8">
        <f>IF($A226="","",COUNTIF(INV_Product,$A226))</f>
        <v/>
      </c>
      <c r="S226" s="8">
        <f>IF($A226="","",COUNTIFS(INV_Product,$A226,INV_Status,"Available"))</f>
        <v/>
      </c>
      <c r="T226" s="8">
        <f>IF($D226="","",IF(COUNTIFS(DD_PairCategory,$C226,DD_Subcategory,$D226)&gt;0,"ok","✗ "&amp;$D226&amp;" is not under "&amp;$C226))</f>
        <v/>
      </c>
      <c r="U226" s="8">
        <f>IF($F226="","",IF(COUNTIFS(PM_Brand,$E226,PM_Model,$F226)&gt;1,"⚠ duplicate product",IF(AND($B226&lt;&gt;"",COUNTIF(PM_Short,$B226)&gt;1),"⚠ short code reused","")))</f>
        <v/>
      </c>
      <c r="V226" s="5" t="n"/>
    </row>
    <row r="227">
      <c r="A227" s="8">
        <f>IF($F227="","","PRD-"&amp;TEXT(ROW()-3,"0000"))</f>
        <v/>
      </c>
      <c r="B227" s="5" t="n"/>
      <c r="C227" s="5" t="n"/>
      <c r="D227" s="5" t="n"/>
      <c r="E227" s="5" t="n"/>
      <c r="F227" s="5" t="n"/>
      <c r="G227" s="5" t="n"/>
      <c r="H227" s="5" t="n"/>
      <c r="I227" s="5" t="n"/>
      <c r="J227" s="5" t="n"/>
      <c r="K227" s="5" t="n"/>
      <c r="L227" s="5" t="n"/>
      <c r="M227" s="9" t="n"/>
      <c r="N227" s="9" t="n"/>
      <c r="O227" s="9" t="n"/>
      <c r="P227" s="9" t="n"/>
      <c r="Q227" s="9" t="n"/>
      <c r="R227" s="8">
        <f>IF($A227="","",COUNTIF(INV_Product,$A227))</f>
        <v/>
      </c>
      <c r="S227" s="8">
        <f>IF($A227="","",COUNTIFS(INV_Product,$A227,INV_Status,"Available"))</f>
        <v/>
      </c>
      <c r="T227" s="8">
        <f>IF($D227="","",IF(COUNTIFS(DD_PairCategory,$C227,DD_Subcategory,$D227)&gt;0,"ok","✗ "&amp;$D227&amp;" is not under "&amp;$C227))</f>
        <v/>
      </c>
      <c r="U227" s="8">
        <f>IF($F227="","",IF(COUNTIFS(PM_Brand,$E227,PM_Model,$F227)&gt;1,"⚠ duplicate product",IF(AND($B227&lt;&gt;"",COUNTIF(PM_Short,$B227)&gt;1),"⚠ short code reused","")))</f>
        <v/>
      </c>
      <c r="V227" s="5" t="n"/>
    </row>
    <row r="228">
      <c r="A228" s="8">
        <f>IF($F228="","","PRD-"&amp;TEXT(ROW()-3,"0000"))</f>
        <v/>
      </c>
      <c r="B228" s="5" t="n"/>
      <c r="C228" s="5" t="n"/>
      <c r="D228" s="5" t="n"/>
      <c r="E228" s="5" t="n"/>
      <c r="F228" s="5" t="n"/>
      <c r="G228" s="5" t="n"/>
      <c r="H228" s="5" t="n"/>
      <c r="I228" s="5" t="n"/>
      <c r="J228" s="5" t="n"/>
      <c r="K228" s="5" t="n"/>
      <c r="L228" s="5" t="n"/>
      <c r="M228" s="9" t="n"/>
      <c r="N228" s="9" t="n"/>
      <c r="O228" s="9" t="n"/>
      <c r="P228" s="9" t="n"/>
      <c r="Q228" s="9" t="n"/>
      <c r="R228" s="8">
        <f>IF($A228="","",COUNTIF(INV_Product,$A228))</f>
        <v/>
      </c>
      <c r="S228" s="8">
        <f>IF($A228="","",COUNTIFS(INV_Product,$A228,INV_Status,"Available"))</f>
        <v/>
      </c>
      <c r="T228" s="8">
        <f>IF($D228="","",IF(COUNTIFS(DD_PairCategory,$C228,DD_Subcategory,$D228)&gt;0,"ok","✗ "&amp;$D228&amp;" is not under "&amp;$C228))</f>
        <v/>
      </c>
      <c r="U228" s="8">
        <f>IF($F228="","",IF(COUNTIFS(PM_Brand,$E228,PM_Model,$F228)&gt;1,"⚠ duplicate product",IF(AND($B228&lt;&gt;"",COUNTIF(PM_Short,$B228)&gt;1),"⚠ short code reused","")))</f>
        <v/>
      </c>
      <c r="V228" s="5" t="n"/>
    </row>
    <row r="229">
      <c r="A229" s="8">
        <f>IF($F229="","","PRD-"&amp;TEXT(ROW()-3,"0000"))</f>
        <v/>
      </c>
      <c r="B229" s="5" t="n"/>
      <c r="C229" s="5" t="n"/>
      <c r="D229" s="5" t="n"/>
      <c r="E229" s="5" t="n"/>
      <c r="F229" s="5" t="n"/>
      <c r="G229" s="5" t="n"/>
      <c r="H229" s="5" t="n"/>
      <c r="I229" s="5" t="n"/>
      <c r="J229" s="5" t="n"/>
      <c r="K229" s="5" t="n"/>
      <c r="L229" s="5" t="n"/>
      <c r="M229" s="9" t="n"/>
      <c r="N229" s="9" t="n"/>
      <c r="O229" s="9" t="n"/>
      <c r="P229" s="9" t="n"/>
      <c r="Q229" s="9" t="n"/>
      <c r="R229" s="8">
        <f>IF($A229="","",COUNTIF(INV_Product,$A229))</f>
        <v/>
      </c>
      <c r="S229" s="8">
        <f>IF($A229="","",COUNTIFS(INV_Product,$A229,INV_Status,"Available"))</f>
        <v/>
      </c>
      <c r="T229" s="8">
        <f>IF($D229="","",IF(COUNTIFS(DD_PairCategory,$C229,DD_Subcategory,$D229)&gt;0,"ok","✗ "&amp;$D229&amp;" is not under "&amp;$C229))</f>
        <v/>
      </c>
      <c r="U229" s="8">
        <f>IF($F229="","",IF(COUNTIFS(PM_Brand,$E229,PM_Model,$F229)&gt;1,"⚠ duplicate product",IF(AND($B229&lt;&gt;"",COUNTIF(PM_Short,$B229)&gt;1),"⚠ short code reused","")))</f>
        <v/>
      </c>
      <c r="V229" s="5" t="n"/>
    </row>
    <row r="230">
      <c r="A230" s="8">
        <f>IF($F230="","","PRD-"&amp;TEXT(ROW()-3,"0000"))</f>
        <v/>
      </c>
      <c r="B230" s="5" t="n"/>
      <c r="C230" s="5" t="n"/>
      <c r="D230" s="5" t="n"/>
      <c r="E230" s="5" t="n"/>
      <c r="F230" s="5" t="n"/>
      <c r="G230" s="5" t="n"/>
      <c r="H230" s="5" t="n"/>
      <c r="I230" s="5" t="n"/>
      <c r="J230" s="5" t="n"/>
      <c r="K230" s="5" t="n"/>
      <c r="L230" s="5" t="n"/>
      <c r="M230" s="9" t="n"/>
      <c r="N230" s="9" t="n"/>
      <c r="O230" s="9" t="n"/>
      <c r="P230" s="9" t="n"/>
      <c r="Q230" s="9" t="n"/>
      <c r="R230" s="8">
        <f>IF($A230="","",COUNTIF(INV_Product,$A230))</f>
        <v/>
      </c>
      <c r="S230" s="8">
        <f>IF($A230="","",COUNTIFS(INV_Product,$A230,INV_Status,"Available"))</f>
        <v/>
      </c>
      <c r="T230" s="8">
        <f>IF($D230="","",IF(COUNTIFS(DD_PairCategory,$C230,DD_Subcategory,$D230)&gt;0,"ok","✗ "&amp;$D230&amp;" is not under "&amp;$C230))</f>
        <v/>
      </c>
      <c r="U230" s="8">
        <f>IF($F230="","",IF(COUNTIFS(PM_Brand,$E230,PM_Model,$F230)&gt;1,"⚠ duplicate product",IF(AND($B230&lt;&gt;"",COUNTIF(PM_Short,$B230)&gt;1),"⚠ short code reused","")))</f>
        <v/>
      </c>
      <c r="V230" s="5" t="n"/>
    </row>
    <row r="231">
      <c r="A231" s="8">
        <f>IF($F231="","","PRD-"&amp;TEXT(ROW()-3,"0000"))</f>
        <v/>
      </c>
      <c r="B231" s="5" t="n"/>
      <c r="C231" s="5" t="n"/>
      <c r="D231" s="5" t="n"/>
      <c r="E231" s="5" t="n"/>
      <c r="F231" s="5" t="n"/>
      <c r="G231" s="5" t="n"/>
      <c r="H231" s="5" t="n"/>
      <c r="I231" s="5" t="n"/>
      <c r="J231" s="5" t="n"/>
      <c r="K231" s="5" t="n"/>
      <c r="L231" s="5" t="n"/>
      <c r="M231" s="9" t="n"/>
      <c r="N231" s="9" t="n"/>
      <c r="O231" s="9" t="n"/>
      <c r="P231" s="9" t="n"/>
      <c r="Q231" s="9" t="n"/>
      <c r="R231" s="8">
        <f>IF($A231="","",COUNTIF(INV_Product,$A231))</f>
        <v/>
      </c>
      <c r="S231" s="8">
        <f>IF($A231="","",COUNTIFS(INV_Product,$A231,INV_Status,"Available"))</f>
        <v/>
      </c>
      <c r="T231" s="8">
        <f>IF($D231="","",IF(COUNTIFS(DD_PairCategory,$C231,DD_Subcategory,$D231)&gt;0,"ok","✗ "&amp;$D231&amp;" is not under "&amp;$C231))</f>
        <v/>
      </c>
      <c r="U231" s="8">
        <f>IF($F231="","",IF(COUNTIFS(PM_Brand,$E231,PM_Model,$F231)&gt;1,"⚠ duplicate product",IF(AND($B231&lt;&gt;"",COUNTIF(PM_Short,$B231)&gt;1),"⚠ short code reused","")))</f>
        <v/>
      </c>
      <c r="V231" s="5" t="n"/>
    </row>
    <row r="232">
      <c r="A232" s="8">
        <f>IF($F232="","","PRD-"&amp;TEXT(ROW()-3,"0000"))</f>
        <v/>
      </c>
      <c r="B232" s="5" t="n"/>
      <c r="C232" s="5" t="n"/>
      <c r="D232" s="5" t="n"/>
      <c r="E232" s="5" t="n"/>
      <c r="F232" s="5" t="n"/>
      <c r="G232" s="5" t="n"/>
      <c r="H232" s="5" t="n"/>
      <c r="I232" s="5" t="n"/>
      <c r="J232" s="5" t="n"/>
      <c r="K232" s="5" t="n"/>
      <c r="L232" s="5" t="n"/>
      <c r="M232" s="9" t="n"/>
      <c r="N232" s="9" t="n"/>
      <c r="O232" s="9" t="n"/>
      <c r="P232" s="9" t="n"/>
      <c r="Q232" s="9" t="n"/>
      <c r="R232" s="8">
        <f>IF($A232="","",COUNTIF(INV_Product,$A232))</f>
        <v/>
      </c>
      <c r="S232" s="8">
        <f>IF($A232="","",COUNTIFS(INV_Product,$A232,INV_Status,"Available"))</f>
        <v/>
      </c>
      <c r="T232" s="8">
        <f>IF($D232="","",IF(COUNTIFS(DD_PairCategory,$C232,DD_Subcategory,$D232)&gt;0,"ok","✗ "&amp;$D232&amp;" is not under "&amp;$C232))</f>
        <v/>
      </c>
      <c r="U232" s="8">
        <f>IF($F232="","",IF(COUNTIFS(PM_Brand,$E232,PM_Model,$F232)&gt;1,"⚠ duplicate product",IF(AND($B232&lt;&gt;"",COUNTIF(PM_Short,$B232)&gt;1),"⚠ short code reused","")))</f>
        <v/>
      </c>
      <c r="V232" s="5" t="n"/>
    </row>
    <row r="233">
      <c r="A233" s="8">
        <f>IF($F233="","","PRD-"&amp;TEXT(ROW()-3,"0000"))</f>
        <v/>
      </c>
      <c r="B233" s="5" t="n"/>
      <c r="C233" s="5" t="n"/>
      <c r="D233" s="5" t="n"/>
      <c r="E233" s="5" t="n"/>
      <c r="F233" s="5" t="n"/>
      <c r="G233" s="5" t="n"/>
      <c r="H233" s="5" t="n"/>
      <c r="I233" s="5" t="n"/>
      <c r="J233" s="5" t="n"/>
      <c r="K233" s="5" t="n"/>
      <c r="L233" s="5" t="n"/>
      <c r="M233" s="9" t="n"/>
      <c r="N233" s="9" t="n"/>
      <c r="O233" s="9" t="n"/>
      <c r="P233" s="9" t="n"/>
      <c r="Q233" s="9" t="n"/>
      <c r="R233" s="8">
        <f>IF($A233="","",COUNTIF(INV_Product,$A233))</f>
        <v/>
      </c>
      <c r="S233" s="8">
        <f>IF($A233="","",COUNTIFS(INV_Product,$A233,INV_Status,"Available"))</f>
        <v/>
      </c>
      <c r="T233" s="8">
        <f>IF($D233="","",IF(COUNTIFS(DD_PairCategory,$C233,DD_Subcategory,$D233)&gt;0,"ok","✗ "&amp;$D233&amp;" is not under "&amp;$C233))</f>
        <v/>
      </c>
      <c r="U233" s="8">
        <f>IF($F233="","",IF(COUNTIFS(PM_Brand,$E233,PM_Model,$F233)&gt;1,"⚠ duplicate product",IF(AND($B233&lt;&gt;"",COUNTIF(PM_Short,$B233)&gt;1),"⚠ short code reused","")))</f>
        <v/>
      </c>
      <c r="V233" s="5" t="n"/>
    </row>
    <row r="234">
      <c r="A234" s="8">
        <f>IF($F234="","","PRD-"&amp;TEXT(ROW()-3,"0000"))</f>
        <v/>
      </c>
      <c r="B234" s="5" t="n"/>
      <c r="C234" s="5" t="n"/>
      <c r="D234" s="5" t="n"/>
      <c r="E234" s="5" t="n"/>
      <c r="F234" s="5" t="n"/>
      <c r="G234" s="5" t="n"/>
      <c r="H234" s="5" t="n"/>
      <c r="I234" s="5" t="n"/>
      <c r="J234" s="5" t="n"/>
      <c r="K234" s="5" t="n"/>
      <c r="L234" s="5" t="n"/>
      <c r="M234" s="9" t="n"/>
      <c r="N234" s="9" t="n"/>
      <c r="O234" s="9" t="n"/>
      <c r="P234" s="9" t="n"/>
      <c r="Q234" s="9" t="n"/>
      <c r="R234" s="8">
        <f>IF($A234="","",COUNTIF(INV_Product,$A234))</f>
        <v/>
      </c>
      <c r="S234" s="8">
        <f>IF($A234="","",COUNTIFS(INV_Product,$A234,INV_Status,"Available"))</f>
        <v/>
      </c>
      <c r="T234" s="8">
        <f>IF($D234="","",IF(COUNTIFS(DD_PairCategory,$C234,DD_Subcategory,$D234)&gt;0,"ok","✗ "&amp;$D234&amp;" is not under "&amp;$C234))</f>
        <v/>
      </c>
      <c r="U234" s="8">
        <f>IF($F234="","",IF(COUNTIFS(PM_Brand,$E234,PM_Model,$F234)&gt;1,"⚠ duplicate product",IF(AND($B234&lt;&gt;"",COUNTIF(PM_Short,$B234)&gt;1),"⚠ short code reused","")))</f>
        <v/>
      </c>
      <c r="V234" s="5" t="n"/>
    </row>
    <row r="235">
      <c r="A235" s="8">
        <f>IF($F235="","","PRD-"&amp;TEXT(ROW()-3,"0000"))</f>
        <v/>
      </c>
      <c r="B235" s="5" t="n"/>
      <c r="C235" s="5" t="n"/>
      <c r="D235" s="5" t="n"/>
      <c r="E235" s="5" t="n"/>
      <c r="F235" s="5" t="n"/>
      <c r="G235" s="5" t="n"/>
      <c r="H235" s="5" t="n"/>
      <c r="I235" s="5" t="n"/>
      <c r="J235" s="5" t="n"/>
      <c r="K235" s="5" t="n"/>
      <c r="L235" s="5" t="n"/>
      <c r="M235" s="9" t="n"/>
      <c r="N235" s="9" t="n"/>
      <c r="O235" s="9" t="n"/>
      <c r="P235" s="9" t="n"/>
      <c r="Q235" s="9" t="n"/>
      <c r="R235" s="8">
        <f>IF($A235="","",COUNTIF(INV_Product,$A235))</f>
        <v/>
      </c>
      <c r="S235" s="8">
        <f>IF($A235="","",COUNTIFS(INV_Product,$A235,INV_Status,"Available"))</f>
        <v/>
      </c>
      <c r="T235" s="8">
        <f>IF($D235="","",IF(COUNTIFS(DD_PairCategory,$C235,DD_Subcategory,$D235)&gt;0,"ok","✗ "&amp;$D235&amp;" is not under "&amp;$C235))</f>
        <v/>
      </c>
      <c r="U235" s="8">
        <f>IF($F235="","",IF(COUNTIFS(PM_Brand,$E235,PM_Model,$F235)&gt;1,"⚠ duplicate product",IF(AND($B235&lt;&gt;"",COUNTIF(PM_Short,$B235)&gt;1),"⚠ short code reused","")))</f>
        <v/>
      </c>
      <c r="V235" s="5" t="n"/>
    </row>
    <row r="236">
      <c r="A236" s="8">
        <f>IF($F236="","","PRD-"&amp;TEXT(ROW()-3,"0000"))</f>
        <v/>
      </c>
      <c r="B236" s="5" t="n"/>
      <c r="C236" s="5" t="n"/>
      <c r="D236" s="5" t="n"/>
      <c r="E236" s="5" t="n"/>
      <c r="F236" s="5" t="n"/>
      <c r="G236" s="5" t="n"/>
      <c r="H236" s="5" t="n"/>
      <c r="I236" s="5" t="n"/>
      <c r="J236" s="5" t="n"/>
      <c r="K236" s="5" t="n"/>
      <c r="L236" s="5" t="n"/>
      <c r="M236" s="9" t="n"/>
      <c r="N236" s="9" t="n"/>
      <c r="O236" s="9" t="n"/>
      <c r="P236" s="9" t="n"/>
      <c r="Q236" s="9" t="n"/>
      <c r="R236" s="8">
        <f>IF($A236="","",COUNTIF(INV_Product,$A236))</f>
        <v/>
      </c>
      <c r="S236" s="8">
        <f>IF($A236="","",COUNTIFS(INV_Product,$A236,INV_Status,"Available"))</f>
        <v/>
      </c>
      <c r="T236" s="8">
        <f>IF($D236="","",IF(COUNTIFS(DD_PairCategory,$C236,DD_Subcategory,$D236)&gt;0,"ok","✗ "&amp;$D236&amp;" is not under "&amp;$C236))</f>
        <v/>
      </c>
      <c r="U236" s="8">
        <f>IF($F236="","",IF(COUNTIFS(PM_Brand,$E236,PM_Model,$F236)&gt;1,"⚠ duplicate product",IF(AND($B236&lt;&gt;"",COUNTIF(PM_Short,$B236)&gt;1),"⚠ short code reused","")))</f>
        <v/>
      </c>
      <c r="V236" s="5" t="n"/>
    </row>
    <row r="237">
      <c r="A237" s="8">
        <f>IF($F237="","","PRD-"&amp;TEXT(ROW()-3,"0000"))</f>
        <v/>
      </c>
      <c r="B237" s="5" t="n"/>
      <c r="C237" s="5" t="n"/>
      <c r="D237" s="5" t="n"/>
      <c r="E237" s="5" t="n"/>
      <c r="F237" s="5" t="n"/>
      <c r="G237" s="5" t="n"/>
      <c r="H237" s="5" t="n"/>
      <c r="I237" s="5" t="n"/>
      <c r="J237" s="5" t="n"/>
      <c r="K237" s="5" t="n"/>
      <c r="L237" s="5" t="n"/>
      <c r="M237" s="9" t="n"/>
      <c r="N237" s="9" t="n"/>
      <c r="O237" s="9" t="n"/>
      <c r="P237" s="9" t="n"/>
      <c r="Q237" s="9" t="n"/>
      <c r="R237" s="8">
        <f>IF($A237="","",COUNTIF(INV_Product,$A237))</f>
        <v/>
      </c>
      <c r="S237" s="8">
        <f>IF($A237="","",COUNTIFS(INV_Product,$A237,INV_Status,"Available"))</f>
        <v/>
      </c>
      <c r="T237" s="8">
        <f>IF($D237="","",IF(COUNTIFS(DD_PairCategory,$C237,DD_Subcategory,$D237)&gt;0,"ok","✗ "&amp;$D237&amp;" is not under "&amp;$C237))</f>
        <v/>
      </c>
      <c r="U237" s="8">
        <f>IF($F237="","",IF(COUNTIFS(PM_Brand,$E237,PM_Model,$F237)&gt;1,"⚠ duplicate product",IF(AND($B237&lt;&gt;"",COUNTIF(PM_Short,$B237)&gt;1),"⚠ short code reused","")))</f>
        <v/>
      </c>
      <c r="V237" s="5" t="n"/>
    </row>
    <row r="238">
      <c r="A238" s="8">
        <f>IF($F238="","","PRD-"&amp;TEXT(ROW()-3,"0000"))</f>
        <v/>
      </c>
      <c r="B238" s="5" t="n"/>
      <c r="C238" s="5" t="n"/>
      <c r="D238" s="5" t="n"/>
      <c r="E238" s="5" t="n"/>
      <c r="F238" s="5" t="n"/>
      <c r="G238" s="5" t="n"/>
      <c r="H238" s="5" t="n"/>
      <c r="I238" s="5" t="n"/>
      <c r="J238" s="5" t="n"/>
      <c r="K238" s="5" t="n"/>
      <c r="L238" s="5" t="n"/>
      <c r="M238" s="9" t="n"/>
      <c r="N238" s="9" t="n"/>
      <c r="O238" s="9" t="n"/>
      <c r="P238" s="9" t="n"/>
      <c r="Q238" s="9" t="n"/>
      <c r="R238" s="8">
        <f>IF($A238="","",COUNTIF(INV_Product,$A238))</f>
        <v/>
      </c>
      <c r="S238" s="8">
        <f>IF($A238="","",COUNTIFS(INV_Product,$A238,INV_Status,"Available"))</f>
        <v/>
      </c>
      <c r="T238" s="8">
        <f>IF($D238="","",IF(COUNTIFS(DD_PairCategory,$C238,DD_Subcategory,$D238)&gt;0,"ok","✗ "&amp;$D238&amp;" is not under "&amp;$C238))</f>
        <v/>
      </c>
      <c r="U238" s="8">
        <f>IF($F238="","",IF(COUNTIFS(PM_Brand,$E238,PM_Model,$F238)&gt;1,"⚠ duplicate product",IF(AND($B238&lt;&gt;"",COUNTIF(PM_Short,$B238)&gt;1),"⚠ short code reused","")))</f>
        <v/>
      </c>
      <c r="V238" s="5" t="n"/>
    </row>
    <row r="239">
      <c r="A239" s="8">
        <f>IF($F239="","","PRD-"&amp;TEXT(ROW()-3,"0000"))</f>
        <v/>
      </c>
      <c r="B239" s="5" t="n"/>
      <c r="C239" s="5" t="n"/>
      <c r="D239" s="5" t="n"/>
      <c r="E239" s="5" t="n"/>
      <c r="F239" s="5" t="n"/>
      <c r="G239" s="5" t="n"/>
      <c r="H239" s="5" t="n"/>
      <c r="I239" s="5" t="n"/>
      <c r="J239" s="5" t="n"/>
      <c r="K239" s="5" t="n"/>
      <c r="L239" s="5" t="n"/>
      <c r="M239" s="9" t="n"/>
      <c r="N239" s="9" t="n"/>
      <c r="O239" s="9" t="n"/>
      <c r="P239" s="9" t="n"/>
      <c r="Q239" s="9" t="n"/>
      <c r="R239" s="8">
        <f>IF($A239="","",COUNTIF(INV_Product,$A239))</f>
        <v/>
      </c>
      <c r="S239" s="8">
        <f>IF($A239="","",COUNTIFS(INV_Product,$A239,INV_Status,"Available"))</f>
        <v/>
      </c>
      <c r="T239" s="8">
        <f>IF($D239="","",IF(COUNTIFS(DD_PairCategory,$C239,DD_Subcategory,$D239)&gt;0,"ok","✗ "&amp;$D239&amp;" is not under "&amp;$C239))</f>
        <v/>
      </c>
      <c r="U239" s="8">
        <f>IF($F239="","",IF(COUNTIFS(PM_Brand,$E239,PM_Model,$F239)&gt;1,"⚠ duplicate product",IF(AND($B239&lt;&gt;"",COUNTIF(PM_Short,$B239)&gt;1),"⚠ short code reused","")))</f>
        <v/>
      </c>
      <c r="V239" s="5" t="n"/>
    </row>
    <row r="240">
      <c r="A240" s="8">
        <f>IF($F240="","","PRD-"&amp;TEXT(ROW()-3,"0000"))</f>
        <v/>
      </c>
      <c r="B240" s="5" t="n"/>
      <c r="C240" s="5" t="n"/>
      <c r="D240" s="5" t="n"/>
      <c r="E240" s="5" t="n"/>
      <c r="F240" s="5" t="n"/>
      <c r="G240" s="5" t="n"/>
      <c r="H240" s="5" t="n"/>
      <c r="I240" s="5" t="n"/>
      <c r="J240" s="5" t="n"/>
      <c r="K240" s="5" t="n"/>
      <c r="L240" s="5" t="n"/>
      <c r="M240" s="9" t="n"/>
      <c r="N240" s="9" t="n"/>
      <c r="O240" s="9" t="n"/>
      <c r="P240" s="9" t="n"/>
      <c r="Q240" s="9" t="n"/>
      <c r="R240" s="8">
        <f>IF($A240="","",COUNTIF(INV_Product,$A240))</f>
        <v/>
      </c>
      <c r="S240" s="8">
        <f>IF($A240="","",COUNTIFS(INV_Product,$A240,INV_Status,"Available"))</f>
        <v/>
      </c>
      <c r="T240" s="8">
        <f>IF($D240="","",IF(COUNTIFS(DD_PairCategory,$C240,DD_Subcategory,$D240)&gt;0,"ok","✗ "&amp;$D240&amp;" is not under "&amp;$C240))</f>
        <v/>
      </c>
      <c r="U240" s="8">
        <f>IF($F240="","",IF(COUNTIFS(PM_Brand,$E240,PM_Model,$F240)&gt;1,"⚠ duplicate product",IF(AND($B240&lt;&gt;"",COUNTIF(PM_Short,$B240)&gt;1),"⚠ short code reused","")))</f>
        <v/>
      </c>
      <c r="V240" s="5" t="n"/>
    </row>
    <row r="241">
      <c r="A241" s="8">
        <f>IF($F241="","","PRD-"&amp;TEXT(ROW()-3,"0000"))</f>
        <v/>
      </c>
      <c r="B241" s="5" t="n"/>
      <c r="C241" s="5" t="n"/>
      <c r="D241" s="5" t="n"/>
      <c r="E241" s="5" t="n"/>
      <c r="F241" s="5" t="n"/>
      <c r="G241" s="5" t="n"/>
      <c r="H241" s="5" t="n"/>
      <c r="I241" s="5" t="n"/>
      <c r="J241" s="5" t="n"/>
      <c r="K241" s="5" t="n"/>
      <c r="L241" s="5" t="n"/>
      <c r="M241" s="9" t="n"/>
      <c r="N241" s="9" t="n"/>
      <c r="O241" s="9" t="n"/>
      <c r="P241" s="9" t="n"/>
      <c r="Q241" s="9" t="n"/>
      <c r="R241" s="8">
        <f>IF($A241="","",COUNTIF(INV_Product,$A241))</f>
        <v/>
      </c>
      <c r="S241" s="8">
        <f>IF($A241="","",COUNTIFS(INV_Product,$A241,INV_Status,"Available"))</f>
        <v/>
      </c>
      <c r="T241" s="8">
        <f>IF($D241="","",IF(COUNTIFS(DD_PairCategory,$C241,DD_Subcategory,$D241)&gt;0,"ok","✗ "&amp;$D241&amp;" is not under "&amp;$C241))</f>
        <v/>
      </c>
      <c r="U241" s="8">
        <f>IF($F241="","",IF(COUNTIFS(PM_Brand,$E241,PM_Model,$F241)&gt;1,"⚠ duplicate product",IF(AND($B241&lt;&gt;"",COUNTIF(PM_Short,$B241)&gt;1),"⚠ short code reused","")))</f>
        <v/>
      </c>
      <c r="V241" s="5" t="n"/>
    </row>
    <row r="242">
      <c r="A242" s="8">
        <f>IF($F242="","","PRD-"&amp;TEXT(ROW()-3,"0000"))</f>
        <v/>
      </c>
      <c r="B242" s="5" t="n"/>
      <c r="C242" s="5" t="n"/>
      <c r="D242" s="5" t="n"/>
      <c r="E242" s="5" t="n"/>
      <c r="F242" s="5" t="n"/>
      <c r="G242" s="5" t="n"/>
      <c r="H242" s="5" t="n"/>
      <c r="I242" s="5" t="n"/>
      <c r="J242" s="5" t="n"/>
      <c r="K242" s="5" t="n"/>
      <c r="L242" s="5" t="n"/>
      <c r="M242" s="9" t="n"/>
      <c r="N242" s="9" t="n"/>
      <c r="O242" s="9" t="n"/>
      <c r="P242" s="9" t="n"/>
      <c r="Q242" s="9" t="n"/>
      <c r="R242" s="8">
        <f>IF($A242="","",COUNTIF(INV_Product,$A242))</f>
        <v/>
      </c>
      <c r="S242" s="8">
        <f>IF($A242="","",COUNTIFS(INV_Product,$A242,INV_Status,"Available"))</f>
        <v/>
      </c>
      <c r="T242" s="8">
        <f>IF($D242="","",IF(COUNTIFS(DD_PairCategory,$C242,DD_Subcategory,$D242)&gt;0,"ok","✗ "&amp;$D242&amp;" is not under "&amp;$C242))</f>
        <v/>
      </c>
      <c r="U242" s="8">
        <f>IF($F242="","",IF(COUNTIFS(PM_Brand,$E242,PM_Model,$F242)&gt;1,"⚠ duplicate product",IF(AND($B242&lt;&gt;"",COUNTIF(PM_Short,$B242)&gt;1),"⚠ short code reused","")))</f>
        <v/>
      </c>
      <c r="V242" s="5" t="n"/>
    </row>
    <row r="243">
      <c r="A243" s="8">
        <f>IF($F243="","","PRD-"&amp;TEXT(ROW()-3,"0000"))</f>
        <v/>
      </c>
      <c r="B243" s="5" t="n"/>
      <c r="C243" s="5" t="n"/>
      <c r="D243" s="5" t="n"/>
      <c r="E243" s="5" t="n"/>
      <c r="F243" s="5" t="n"/>
      <c r="G243" s="5" t="n"/>
      <c r="H243" s="5" t="n"/>
      <c r="I243" s="5" t="n"/>
      <c r="J243" s="5" t="n"/>
      <c r="K243" s="5" t="n"/>
      <c r="L243" s="5" t="n"/>
      <c r="M243" s="9" t="n"/>
      <c r="N243" s="9" t="n"/>
      <c r="O243" s="9" t="n"/>
      <c r="P243" s="9" t="n"/>
      <c r="Q243" s="9" t="n"/>
      <c r="R243" s="8">
        <f>IF($A243="","",COUNTIF(INV_Product,$A243))</f>
        <v/>
      </c>
      <c r="S243" s="8">
        <f>IF($A243="","",COUNTIFS(INV_Product,$A243,INV_Status,"Available"))</f>
        <v/>
      </c>
      <c r="T243" s="8">
        <f>IF($D243="","",IF(COUNTIFS(DD_PairCategory,$C243,DD_Subcategory,$D243)&gt;0,"ok","✗ "&amp;$D243&amp;" is not under "&amp;$C243))</f>
        <v/>
      </c>
      <c r="U243" s="8">
        <f>IF($F243="","",IF(COUNTIFS(PM_Brand,$E243,PM_Model,$F243)&gt;1,"⚠ duplicate product",IF(AND($B243&lt;&gt;"",COUNTIF(PM_Short,$B243)&gt;1),"⚠ short code reused","")))</f>
        <v/>
      </c>
      <c r="V243" s="5" t="n"/>
    </row>
    <row r="244">
      <c r="A244" s="8">
        <f>IF($F244="","","PRD-"&amp;TEXT(ROW()-3,"0000"))</f>
        <v/>
      </c>
      <c r="B244" s="5" t="n"/>
      <c r="C244" s="5" t="n"/>
      <c r="D244" s="5" t="n"/>
      <c r="E244" s="5" t="n"/>
      <c r="F244" s="5" t="n"/>
      <c r="G244" s="5" t="n"/>
      <c r="H244" s="5" t="n"/>
      <c r="I244" s="5" t="n"/>
      <c r="J244" s="5" t="n"/>
      <c r="K244" s="5" t="n"/>
      <c r="L244" s="5" t="n"/>
      <c r="M244" s="9" t="n"/>
      <c r="N244" s="9" t="n"/>
      <c r="O244" s="9" t="n"/>
      <c r="P244" s="9" t="n"/>
      <c r="Q244" s="9" t="n"/>
      <c r="R244" s="8">
        <f>IF($A244="","",COUNTIF(INV_Product,$A244))</f>
        <v/>
      </c>
      <c r="S244" s="8">
        <f>IF($A244="","",COUNTIFS(INV_Product,$A244,INV_Status,"Available"))</f>
        <v/>
      </c>
      <c r="T244" s="8">
        <f>IF($D244="","",IF(COUNTIFS(DD_PairCategory,$C244,DD_Subcategory,$D244)&gt;0,"ok","✗ "&amp;$D244&amp;" is not under "&amp;$C244))</f>
        <v/>
      </c>
      <c r="U244" s="8">
        <f>IF($F244="","",IF(COUNTIFS(PM_Brand,$E244,PM_Model,$F244)&gt;1,"⚠ duplicate product",IF(AND($B244&lt;&gt;"",COUNTIF(PM_Short,$B244)&gt;1),"⚠ short code reused","")))</f>
        <v/>
      </c>
      <c r="V244" s="5" t="n"/>
    </row>
    <row r="245">
      <c r="A245" s="8">
        <f>IF($F245="","","PRD-"&amp;TEXT(ROW()-3,"0000"))</f>
        <v/>
      </c>
      <c r="B245" s="5" t="n"/>
      <c r="C245" s="5" t="n"/>
      <c r="D245" s="5" t="n"/>
      <c r="E245" s="5" t="n"/>
      <c r="F245" s="5" t="n"/>
      <c r="G245" s="5" t="n"/>
      <c r="H245" s="5" t="n"/>
      <c r="I245" s="5" t="n"/>
      <c r="J245" s="5" t="n"/>
      <c r="K245" s="5" t="n"/>
      <c r="L245" s="5" t="n"/>
      <c r="M245" s="9" t="n"/>
      <c r="N245" s="9" t="n"/>
      <c r="O245" s="9" t="n"/>
      <c r="P245" s="9" t="n"/>
      <c r="Q245" s="9" t="n"/>
      <c r="R245" s="8">
        <f>IF($A245="","",COUNTIF(INV_Product,$A245))</f>
        <v/>
      </c>
      <c r="S245" s="8">
        <f>IF($A245="","",COUNTIFS(INV_Product,$A245,INV_Status,"Available"))</f>
        <v/>
      </c>
      <c r="T245" s="8">
        <f>IF($D245="","",IF(COUNTIFS(DD_PairCategory,$C245,DD_Subcategory,$D245)&gt;0,"ok","✗ "&amp;$D245&amp;" is not under "&amp;$C245))</f>
        <v/>
      </c>
      <c r="U245" s="8">
        <f>IF($F245="","",IF(COUNTIFS(PM_Brand,$E245,PM_Model,$F245)&gt;1,"⚠ duplicate product",IF(AND($B245&lt;&gt;"",COUNTIF(PM_Short,$B245)&gt;1),"⚠ short code reused","")))</f>
        <v/>
      </c>
      <c r="V245" s="5" t="n"/>
    </row>
    <row r="246">
      <c r="A246" s="8">
        <f>IF($F246="","","PRD-"&amp;TEXT(ROW()-3,"0000"))</f>
        <v/>
      </c>
      <c r="B246" s="5" t="n"/>
      <c r="C246" s="5" t="n"/>
      <c r="D246" s="5" t="n"/>
      <c r="E246" s="5" t="n"/>
      <c r="F246" s="5" t="n"/>
      <c r="G246" s="5" t="n"/>
      <c r="H246" s="5" t="n"/>
      <c r="I246" s="5" t="n"/>
      <c r="J246" s="5" t="n"/>
      <c r="K246" s="5" t="n"/>
      <c r="L246" s="5" t="n"/>
      <c r="M246" s="9" t="n"/>
      <c r="N246" s="9" t="n"/>
      <c r="O246" s="9" t="n"/>
      <c r="P246" s="9" t="n"/>
      <c r="Q246" s="9" t="n"/>
      <c r="R246" s="8">
        <f>IF($A246="","",COUNTIF(INV_Product,$A246))</f>
        <v/>
      </c>
      <c r="S246" s="8">
        <f>IF($A246="","",COUNTIFS(INV_Product,$A246,INV_Status,"Available"))</f>
        <v/>
      </c>
      <c r="T246" s="8">
        <f>IF($D246="","",IF(COUNTIFS(DD_PairCategory,$C246,DD_Subcategory,$D246)&gt;0,"ok","✗ "&amp;$D246&amp;" is not under "&amp;$C246))</f>
        <v/>
      </c>
      <c r="U246" s="8">
        <f>IF($F246="","",IF(COUNTIFS(PM_Brand,$E246,PM_Model,$F246)&gt;1,"⚠ duplicate product",IF(AND($B246&lt;&gt;"",COUNTIF(PM_Short,$B246)&gt;1),"⚠ short code reused","")))</f>
        <v/>
      </c>
      <c r="V246" s="5" t="n"/>
    </row>
    <row r="247">
      <c r="A247" s="8">
        <f>IF($F247="","","PRD-"&amp;TEXT(ROW()-3,"0000"))</f>
        <v/>
      </c>
      <c r="B247" s="5" t="n"/>
      <c r="C247" s="5" t="n"/>
      <c r="D247" s="5" t="n"/>
      <c r="E247" s="5" t="n"/>
      <c r="F247" s="5" t="n"/>
      <c r="G247" s="5" t="n"/>
      <c r="H247" s="5" t="n"/>
      <c r="I247" s="5" t="n"/>
      <c r="J247" s="5" t="n"/>
      <c r="K247" s="5" t="n"/>
      <c r="L247" s="5" t="n"/>
      <c r="M247" s="9" t="n"/>
      <c r="N247" s="9" t="n"/>
      <c r="O247" s="9" t="n"/>
      <c r="P247" s="9" t="n"/>
      <c r="Q247" s="9" t="n"/>
      <c r="R247" s="8">
        <f>IF($A247="","",COUNTIF(INV_Product,$A247))</f>
        <v/>
      </c>
      <c r="S247" s="8">
        <f>IF($A247="","",COUNTIFS(INV_Product,$A247,INV_Status,"Available"))</f>
        <v/>
      </c>
      <c r="T247" s="8">
        <f>IF($D247="","",IF(COUNTIFS(DD_PairCategory,$C247,DD_Subcategory,$D247)&gt;0,"ok","✗ "&amp;$D247&amp;" is not under "&amp;$C247))</f>
        <v/>
      </c>
      <c r="U247" s="8">
        <f>IF($F247="","",IF(COUNTIFS(PM_Brand,$E247,PM_Model,$F247)&gt;1,"⚠ duplicate product",IF(AND($B247&lt;&gt;"",COUNTIF(PM_Short,$B247)&gt;1),"⚠ short code reused","")))</f>
        <v/>
      </c>
      <c r="V247" s="5" t="n"/>
    </row>
    <row r="248">
      <c r="A248" s="8">
        <f>IF($F248="","","PRD-"&amp;TEXT(ROW()-3,"0000"))</f>
        <v/>
      </c>
      <c r="B248" s="5" t="n"/>
      <c r="C248" s="5" t="n"/>
      <c r="D248" s="5" t="n"/>
      <c r="E248" s="5" t="n"/>
      <c r="F248" s="5" t="n"/>
      <c r="G248" s="5" t="n"/>
      <c r="H248" s="5" t="n"/>
      <c r="I248" s="5" t="n"/>
      <c r="J248" s="5" t="n"/>
      <c r="K248" s="5" t="n"/>
      <c r="L248" s="5" t="n"/>
      <c r="M248" s="9" t="n"/>
      <c r="N248" s="9" t="n"/>
      <c r="O248" s="9" t="n"/>
      <c r="P248" s="9" t="n"/>
      <c r="Q248" s="9" t="n"/>
      <c r="R248" s="8">
        <f>IF($A248="","",COUNTIF(INV_Product,$A248))</f>
        <v/>
      </c>
      <c r="S248" s="8">
        <f>IF($A248="","",COUNTIFS(INV_Product,$A248,INV_Status,"Available"))</f>
        <v/>
      </c>
      <c r="T248" s="8">
        <f>IF($D248="","",IF(COUNTIFS(DD_PairCategory,$C248,DD_Subcategory,$D248)&gt;0,"ok","✗ "&amp;$D248&amp;" is not under "&amp;$C248))</f>
        <v/>
      </c>
      <c r="U248" s="8">
        <f>IF($F248="","",IF(COUNTIFS(PM_Brand,$E248,PM_Model,$F248)&gt;1,"⚠ duplicate product",IF(AND($B248&lt;&gt;"",COUNTIF(PM_Short,$B248)&gt;1),"⚠ short code reused","")))</f>
        <v/>
      </c>
      <c r="V248" s="5" t="n"/>
    </row>
    <row r="249">
      <c r="A249" s="8">
        <f>IF($F249="","","PRD-"&amp;TEXT(ROW()-3,"0000"))</f>
        <v/>
      </c>
      <c r="B249" s="5" t="n"/>
      <c r="C249" s="5" t="n"/>
      <c r="D249" s="5" t="n"/>
      <c r="E249" s="5" t="n"/>
      <c r="F249" s="5" t="n"/>
      <c r="G249" s="5" t="n"/>
      <c r="H249" s="5" t="n"/>
      <c r="I249" s="5" t="n"/>
      <c r="J249" s="5" t="n"/>
      <c r="K249" s="5" t="n"/>
      <c r="L249" s="5" t="n"/>
      <c r="M249" s="9" t="n"/>
      <c r="N249" s="9" t="n"/>
      <c r="O249" s="9" t="n"/>
      <c r="P249" s="9" t="n"/>
      <c r="Q249" s="9" t="n"/>
      <c r="R249" s="8">
        <f>IF($A249="","",COUNTIF(INV_Product,$A249))</f>
        <v/>
      </c>
      <c r="S249" s="8">
        <f>IF($A249="","",COUNTIFS(INV_Product,$A249,INV_Status,"Available"))</f>
        <v/>
      </c>
      <c r="T249" s="8">
        <f>IF($D249="","",IF(COUNTIFS(DD_PairCategory,$C249,DD_Subcategory,$D249)&gt;0,"ok","✗ "&amp;$D249&amp;" is not under "&amp;$C249))</f>
        <v/>
      </c>
      <c r="U249" s="8">
        <f>IF($F249="","",IF(COUNTIFS(PM_Brand,$E249,PM_Model,$F249)&gt;1,"⚠ duplicate product",IF(AND($B249&lt;&gt;"",COUNTIF(PM_Short,$B249)&gt;1),"⚠ short code reused","")))</f>
        <v/>
      </c>
      <c r="V249" s="5" t="n"/>
    </row>
    <row r="250">
      <c r="A250" s="8">
        <f>IF($F250="","","PRD-"&amp;TEXT(ROW()-3,"0000"))</f>
        <v/>
      </c>
      <c r="B250" s="5" t="n"/>
      <c r="C250" s="5" t="n"/>
      <c r="D250" s="5" t="n"/>
      <c r="E250" s="5" t="n"/>
      <c r="F250" s="5" t="n"/>
      <c r="G250" s="5" t="n"/>
      <c r="H250" s="5" t="n"/>
      <c r="I250" s="5" t="n"/>
      <c r="J250" s="5" t="n"/>
      <c r="K250" s="5" t="n"/>
      <c r="L250" s="5" t="n"/>
      <c r="M250" s="9" t="n"/>
      <c r="N250" s="9" t="n"/>
      <c r="O250" s="9" t="n"/>
      <c r="P250" s="9" t="n"/>
      <c r="Q250" s="9" t="n"/>
      <c r="R250" s="8">
        <f>IF($A250="","",COUNTIF(INV_Product,$A250))</f>
        <v/>
      </c>
      <c r="S250" s="8">
        <f>IF($A250="","",COUNTIFS(INV_Product,$A250,INV_Status,"Available"))</f>
        <v/>
      </c>
      <c r="T250" s="8">
        <f>IF($D250="","",IF(COUNTIFS(DD_PairCategory,$C250,DD_Subcategory,$D250)&gt;0,"ok","✗ "&amp;$D250&amp;" is not under "&amp;$C250))</f>
        <v/>
      </c>
      <c r="U250" s="8">
        <f>IF($F250="","",IF(COUNTIFS(PM_Brand,$E250,PM_Model,$F250)&gt;1,"⚠ duplicate product",IF(AND($B250&lt;&gt;"",COUNTIF(PM_Short,$B250)&gt;1),"⚠ short code reused","")))</f>
        <v/>
      </c>
      <c r="V250" s="5" t="n"/>
    </row>
    <row r="251">
      <c r="A251" s="8">
        <f>IF($F251="","","PRD-"&amp;TEXT(ROW()-3,"0000"))</f>
        <v/>
      </c>
      <c r="B251" s="5" t="n"/>
      <c r="C251" s="5" t="n"/>
      <c r="D251" s="5" t="n"/>
      <c r="E251" s="5" t="n"/>
      <c r="F251" s="5" t="n"/>
      <c r="G251" s="5" t="n"/>
      <c r="H251" s="5" t="n"/>
      <c r="I251" s="5" t="n"/>
      <c r="J251" s="5" t="n"/>
      <c r="K251" s="5" t="n"/>
      <c r="L251" s="5" t="n"/>
      <c r="M251" s="9" t="n"/>
      <c r="N251" s="9" t="n"/>
      <c r="O251" s="9" t="n"/>
      <c r="P251" s="9" t="n"/>
      <c r="Q251" s="9" t="n"/>
      <c r="R251" s="8">
        <f>IF($A251="","",COUNTIF(INV_Product,$A251))</f>
        <v/>
      </c>
      <c r="S251" s="8">
        <f>IF($A251="","",COUNTIFS(INV_Product,$A251,INV_Status,"Available"))</f>
        <v/>
      </c>
      <c r="T251" s="8">
        <f>IF($D251="","",IF(COUNTIFS(DD_PairCategory,$C251,DD_Subcategory,$D251)&gt;0,"ok","✗ "&amp;$D251&amp;" is not under "&amp;$C251))</f>
        <v/>
      </c>
      <c r="U251" s="8">
        <f>IF($F251="","",IF(COUNTIFS(PM_Brand,$E251,PM_Model,$F251)&gt;1,"⚠ duplicate product",IF(AND($B251&lt;&gt;"",COUNTIF(PM_Short,$B251)&gt;1),"⚠ short code reused","")))</f>
        <v/>
      </c>
      <c r="V251" s="5" t="n"/>
    </row>
    <row r="252">
      <c r="A252" s="8">
        <f>IF($F252="","","PRD-"&amp;TEXT(ROW()-3,"0000"))</f>
        <v/>
      </c>
      <c r="B252" s="5" t="n"/>
      <c r="C252" s="5" t="n"/>
      <c r="D252" s="5" t="n"/>
      <c r="E252" s="5" t="n"/>
      <c r="F252" s="5" t="n"/>
      <c r="G252" s="5" t="n"/>
      <c r="H252" s="5" t="n"/>
      <c r="I252" s="5" t="n"/>
      <c r="J252" s="5" t="n"/>
      <c r="K252" s="5" t="n"/>
      <c r="L252" s="5" t="n"/>
      <c r="M252" s="9" t="n"/>
      <c r="N252" s="9" t="n"/>
      <c r="O252" s="9" t="n"/>
      <c r="P252" s="9" t="n"/>
      <c r="Q252" s="9" t="n"/>
      <c r="R252" s="8">
        <f>IF($A252="","",COUNTIF(INV_Product,$A252))</f>
        <v/>
      </c>
      <c r="S252" s="8">
        <f>IF($A252="","",COUNTIFS(INV_Product,$A252,INV_Status,"Available"))</f>
        <v/>
      </c>
      <c r="T252" s="8">
        <f>IF($D252="","",IF(COUNTIFS(DD_PairCategory,$C252,DD_Subcategory,$D252)&gt;0,"ok","✗ "&amp;$D252&amp;" is not under "&amp;$C252))</f>
        <v/>
      </c>
      <c r="U252" s="8">
        <f>IF($F252="","",IF(COUNTIFS(PM_Brand,$E252,PM_Model,$F252)&gt;1,"⚠ duplicate product",IF(AND($B252&lt;&gt;"",COUNTIF(PM_Short,$B252)&gt;1),"⚠ short code reused","")))</f>
        <v/>
      </c>
      <c r="V252" s="5" t="n"/>
    </row>
    <row r="253">
      <c r="A253" s="8">
        <f>IF($F253="","","PRD-"&amp;TEXT(ROW()-3,"0000"))</f>
        <v/>
      </c>
      <c r="B253" s="5" t="n"/>
      <c r="C253" s="5" t="n"/>
      <c r="D253" s="5" t="n"/>
      <c r="E253" s="5" t="n"/>
      <c r="F253" s="5" t="n"/>
      <c r="G253" s="5" t="n"/>
      <c r="H253" s="5" t="n"/>
      <c r="I253" s="5" t="n"/>
      <c r="J253" s="5" t="n"/>
      <c r="K253" s="5" t="n"/>
      <c r="L253" s="5" t="n"/>
      <c r="M253" s="9" t="n"/>
      <c r="N253" s="9" t="n"/>
      <c r="O253" s="9" t="n"/>
      <c r="P253" s="9" t="n"/>
      <c r="Q253" s="9" t="n"/>
      <c r="R253" s="8">
        <f>IF($A253="","",COUNTIF(INV_Product,$A253))</f>
        <v/>
      </c>
      <c r="S253" s="8">
        <f>IF($A253="","",COUNTIFS(INV_Product,$A253,INV_Status,"Available"))</f>
        <v/>
      </c>
      <c r="T253" s="8">
        <f>IF($D253="","",IF(COUNTIFS(DD_PairCategory,$C253,DD_Subcategory,$D253)&gt;0,"ok","✗ "&amp;$D253&amp;" is not under "&amp;$C253))</f>
        <v/>
      </c>
      <c r="U253" s="8">
        <f>IF($F253="","",IF(COUNTIFS(PM_Brand,$E253,PM_Model,$F253)&gt;1,"⚠ duplicate product",IF(AND($B253&lt;&gt;"",COUNTIF(PM_Short,$B253)&gt;1),"⚠ short code reused","")))</f>
        <v/>
      </c>
      <c r="V253" s="5" t="n"/>
    </row>
    <row r="254">
      <c r="A254" s="8">
        <f>IF($F254="","","PRD-"&amp;TEXT(ROW()-3,"0000"))</f>
        <v/>
      </c>
      <c r="B254" s="5" t="n"/>
      <c r="C254" s="5" t="n"/>
      <c r="D254" s="5" t="n"/>
      <c r="E254" s="5" t="n"/>
      <c r="F254" s="5" t="n"/>
      <c r="G254" s="5" t="n"/>
      <c r="H254" s="5" t="n"/>
      <c r="I254" s="5" t="n"/>
      <c r="J254" s="5" t="n"/>
      <c r="K254" s="5" t="n"/>
      <c r="L254" s="5" t="n"/>
      <c r="M254" s="9" t="n"/>
      <c r="N254" s="9" t="n"/>
      <c r="O254" s="9" t="n"/>
      <c r="P254" s="9" t="n"/>
      <c r="Q254" s="9" t="n"/>
      <c r="R254" s="8">
        <f>IF($A254="","",COUNTIF(INV_Product,$A254))</f>
        <v/>
      </c>
      <c r="S254" s="8">
        <f>IF($A254="","",COUNTIFS(INV_Product,$A254,INV_Status,"Available"))</f>
        <v/>
      </c>
      <c r="T254" s="8">
        <f>IF($D254="","",IF(COUNTIFS(DD_PairCategory,$C254,DD_Subcategory,$D254)&gt;0,"ok","✗ "&amp;$D254&amp;" is not under "&amp;$C254))</f>
        <v/>
      </c>
      <c r="U254" s="8">
        <f>IF($F254="","",IF(COUNTIFS(PM_Brand,$E254,PM_Model,$F254)&gt;1,"⚠ duplicate product",IF(AND($B254&lt;&gt;"",COUNTIF(PM_Short,$B254)&gt;1),"⚠ short code reused","")))</f>
        <v/>
      </c>
      <c r="V254" s="5" t="n"/>
    </row>
    <row r="255">
      <c r="A255" s="8">
        <f>IF($F255="","","PRD-"&amp;TEXT(ROW()-3,"0000"))</f>
        <v/>
      </c>
      <c r="B255" s="5" t="n"/>
      <c r="C255" s="5" t="n"/>
      <c r="D255" s="5" t="n"/>
      <c r="E255" s="5" t="n"/>
      <c r="F255" s="5" t="n"/>
      <c r="G255" s="5" t="n"/>
      <c r="H255" s="5" t="n"/>
      <c r="I255" s="5" t="n"/>
      <c r="J255" s="5" t="n"/>
      <c r="K255" s="5" t="n"/>
      <c r="L255" s="5" t="n"/>
      <c r="M255" s="9" t="n"/>
      <c r="N255" s="9" t="n"/>
      <c r="O255" s="9" t="n"/>
      <c r="P255" s="9" t="n"/>
      <c r="Q255" s="9" t="n"/>
      <c r="R255" s="8">
        <f>IF($A255="","",COUNTIF(INV_Product,$A255))</f>
        <v/>
      </c>
      <c r="S255" s="8">
        <f>IF($A255="","",COUNTIFS(INV_Product,$A255,INV_Status,"Available"))</f>
        <v/>
      </c>
      <c r="T255" s="8">
        <f>IF($D255="","",IF(COUNTIFS(DD_PairCategory,$C255,DD_Subcategory,$D255)&gt;0,"ok","✗ "&amp;$D255&amp;" is not under "&amp;$C255))</f>
        <v/>
      </c>
      <c r="U255" s="8">
        <f>IF($F255="","",IF(COUNTIFS(PM_Brand,$E255,PM_Model,$F255)&gt;1,"⚠ duplicate product",IF(AND($B255&lt;&gt;"",COUNTIF(PM_Short,$B255)&gt;1),"⚠ short code reused","")))</f>
        <v/>
      </c>
      <c r="V255" s="5" t="n"/>
    </row>
    <row r="256">
      <c r="A256" s="8">
        <f>IF($F256="","","PRD-"&amp;TEXT(ROW()-3,"0000"))</f>
        <v/>
      </c>
      <c r="B256" s="5" t="n"/>
      <c r="C256" s="5" t="n"/>
      <c r="D256" s="5" t="n"/>
      <c r="E256" s="5" t="n"/>
      <c r="F256" s="5" t="n"/>
      <c r="G256" s="5" t="n"/>
      <c r="H256" s="5" t="n"/>
      <c r="I256" s="5" t="n"/>
      <c r="J256" s="5" t="n"/>
      <c r="K256" s="5" t="n"/>
      <c r="L256" s="5" t="n"/>
      <c r="M256" s="9" t="n"/>
      <c r="N256" s="9" t="n"/>
      <c r="O256" s="9" t="n"/>
      <c r="P256" s="9" t="n"/>
      <c r="Q256" s="9" t="n"/>
      <c r="R256" s="8">
        <f>IF($A256="","",COUNTIF(INV_Product,$A256))</f>
        <v/>
      </c>
      <c r="S256" s="8">
        <f>IF($A256="","",COUNTIFS(INV_Product,$A256,INV_Status,"Available"))</f>
        <v/>
      </c>
      <c r="T256" s="8">
        <f>IF($D256="","",IF(COUNTIFS(DD_PairCategory,$C256,DD_Subcategory,$D256)&gt;0,"ok","✗ "&amp;$D256&amp;" is not under "&amp;$C256))</f>
        <v/>
      </c>
      <c r="U256" s="8">
        <f>IF($F256="","",IF(COUNTIFS(PM_Brand,$E256,PM_Model,$F256)&gt;1,"⚠ duplicate product",IF(AND($B256&lt;&gt;"",COUNTIF(PM_Short,$B256)&gt;1),"⚠ short code reused","")))</f>
        <v/>
      </c>
      <c r="V256" s="5" t="n"/>
    </row>
    <row r="257">
      <c r="A257" s="8">
        <f>IF($F257="","","PRD-"&amp;TEXT(ROW()-3,"0000"))</f>
        <v/>
      </c>
      <c r="B257" s="5" t="n"/>
      <c r="C257" s="5" t="n"/>
      <c r="D257" s="5" t="n"/>
      <c r="E257" s="5" t="n"/>
      <c r="F257" s="5" t="n"/>
      <c r="G257" s="5" t="n"/>
      <c r="H257" s="5" t="n"/>
      <c r="I257" s="5" t="n"/>
      <c r="J257" s="5" t="n"/>
      <c r="K257" s="5" t="n"/>
      <c r="L257" s="5" t="n"/>
      <c r="M257" s="9" t="n"/>
      <c r="N257" s="9" t="n"/>
      <c r="O257" s="9" t="n"/>
      <c r="P257" s="9" t="n"/>
      <c r="Q257" s="9" t="n"/>
      <c r="R257" s="8">
        <f>IF($A257="","",COUNTIF(INV_Product,$A257))</f>
        <v/>
      </c>
      <c r="S257" s="8">
        <f>IF($A257="","",COUNTIFS(INV_Product,$A257,INV_Status,"Available"))</f>
        <v/>
      </c>
      <c r="T257" s="8">
        <f>IF($D257="","",IF(COUNTIFS(DD_PairCategory,$C257,DD_Subcategory,$D257)&gt;0,"ok","✗ "&amp;$D257&amp;" is not under "&amp;$C257))</f>
        <v/>
      </c>
      <c r="U257" s="8">
        <f>IF($F257="","",IF(COUNTIFS(PM_Brand,$E257,PM_Model,$F257)&gt;1,"⚠ duplicate product",IF(AND($B257&lt;&gt;"",COUNTIF(PM_Short,$B257)&gt;1),"⚠ short code reused","")))</f>
        <v/>
      </c>
      <c r="V257" s="5" t="n"/>
    </row>
    <row r="258">
      <c r="A258" s="8">
        <f>IF($F258="","","PRD-"&amp;TEXT(ROW()-3,"0000"))</f>
        <v/>
      </c>
      <c r="B258" s="5" t="n"/>
      <c r="C258" s="5" t="n"/>
      <c r="D258" s="5" t="n"/>
      <c r="E258" s="5" t="n"/>
      <c r="F258" s="5" t="n"/>
      <c r="G258" s="5" t="n"/>
      <c r="H258" s="5" t="n"/>
      <c r="I258" s="5" t="n"/>
      <c r="J258" s="5" t="n"/>
      <c r="K258" s="5" t="n"/>
      <c r="L258" s="5" t="n"/>
      <c r="M258" s="9" t="n"/>
      <c r="N258" s="9" t="n"/>
      <c r="O258" s="9" t="n"/>
      <c r="P258" s="9" t="n"/>
      <c r="Q258" s="9" t="n"/>
      <c r="R258" s="8">
        <f>IF($A258="","",COUNTIF(INV_Product,$A258))</f>
        <v/>
      </c>
      <c r="S258" s="8">
        <f>IF($A258="","",COUNTIFS(INV_Product,$A258,INV_Status,"Available"))</f>
        <v/>
      </c>
      <c r="T258" s="8">
        <f>IF($D258="","",IF(COUNTIFS(DD_PairCategory,$C258,DD_Subcategory,$D258)&gt;0,"ok","✗ "&amp;$D258&amp;" is not under "&amp;$C258))</f>
        <v/>
      </c>
      <c r="U258" s="8">
        <f>IF($F258="","",IF(COUNTIFS(PM_Brand,$E258,PM_Model,$F258)&gt;1,"⚠ duplicate product",IF(AND($B258&lt;&gt;"",COUNTIF(PM_Short,$B258)&gt;1),"⚠ short code reused","")))</f>
        <v/>
      </c>
      <c r="V258" s="5" t="n"/>
    </row>
    <row r="259">
      <c r="A259" s="8">
        <f>IF($F259="","","PRD-"&amp;TEXT(ROW()-3,"0000"))</f>
        <v/>
      </c>
      <c r="B259" s="5" t="n"/>
      <c r="C259" s="5" t="n"/>
      <c r="D259" s="5" t="n"/>
      <c r="E259" s="5" t="n"/>
      <c r="F259" s="5" t="n"/>
      <c r="G259" s="5" t="n"/>
      <c r="H259" s="5" t="n"/>
      <c r="I259" s="5" t="n"/>
      <c r="J259" s="5" t="n"/>
      <c r="K259" s="5" t="n"/>
      <c r="L259" s="5" t="n"/>
      <c r="M259" s="9" t="n"/>
      <c r="N259" s="9" t="n"/>
      <c r="O259" s="9" t="n"/>
      <c r="P259" s="9" t="n"/>
      <c r="Q259" s="9" t="n"/>
      <c r="R259" s="8">
        <f>IF($A259="","",COUNTIF(INV_Product,$A259))</f>
        <v/>
      </c>
      <c r="S259" s="8">
        <f>IF($A259="","",COUNTIFS(INV_Product,$A259,INV_Status,"Available"))</f>
        <v/>
      </c>
      <c r="T259" s="8">
        <f>IF($D259="","",IF(COUNTIFS(DD_PairCategory,$C259,DD_Subcategory,$D259)&gt;0,"ok","✗ "&amp;$D259&amp;" is not under "&amp;$C259))</f>
        <v/>
      </c>
      <c r="U259" s="8">
        <f>IF($F259="","",IF(COUNTIFS(PM_Brand,$E259,PM_Model,$F259)&gt;1,"⚠ duplicate product",IF(AND($B259&lt;&gt;"",COUNTIF(PM_Short,$B259)&gt;1),"⚠ short code reused","")))</f>
        <v/>
      </c>
      <c r="V259" s="5" t="n"/>
    </row>
    <row r="260">
      <c r="A260" s="8">
        <f>IF($F260="","","PRD-"&amp;TEXT(ROW()-3,"0000"))</f>
        <v/>
      </c>
      <c r="B260" s="5" t="n"/>
      <c r="C260" s="5" t="n"/>
      <c r="D260" s="5" t="n"/>
      <c r="E260" s="5" t="n"/>
      <c r="F260" s="5" t="n"/>
      <c r="G260" s="5" t="n"/>
      <c r="H260" s="5" t="n"/>
      <c r="I260" s="5" t="n"/>
      <c r="J260" s="5" t="n"/>
      <c r="K260" s="5" t="n"/>
      <c r="L260" s="5" t="n"/>
      <c r="M260" s="9" t="n"/>
      <c r="N260" s="9" t="n"/>
      <c r="O260" s="9" t="n"/>
      <c r="P260" s="9" t="n"/>
      <c r="Q260" s="9" t="n"/>
      <c r="R260" s="8">
        <f>IF($A260="","",COUNTIF(INV_Product,$A260))</f>
        <v/>
      </c>
      <c r="S260" s="8">
        <f>IF($A260="","",COUNTIFS(INV_Product,$A260,INV_Status,"Available"))</f>
        <v/>
      </c>
      <c r="T260" s="8">
        <f>IF($D260="","",IF(COUNTIFS(DD_PairCategory,$C260,DD_Subcategory,$D260)&gt;0,"ok","✗ "&amp;$D260&amp;" is not under "&amp;$C260))</f>
        <v/>
      </c>
      <c r="U260" s="8">
        <f>IF($F260="","",IF(COUNTIFS(PM_Brand,$E260,PM_Model,$F260)&gt;1,"⚠ duplicate product",IF(AND($B260&lt;&gt;"",COUNTIF(PM_Short,$B260)&gt;1),"⚠ short code reused","")))</f>
        <v/>
      </c>
      <c r="V260" s="5" t="n"/>
    </row>
    <row r="261">
      <c r="A261" s="8">
        <f>IF($F261="","","PRD-"&amp;TEXT(ROW()-3,"0000"))</f>
        <v/>
      </c>
      <c r="B261" s="5" t="n"/>
      <c r="C261" s="5" t="n"/>
      <c r="D261" s="5" t="n"/>
      <c r="E261" s="5" t="n"/>
      <c r="F261" s="5" t="n"/>
      <c r="G261" s="5" t="n"/>
      <c r="H261" s="5" t="n"/>
      <c r="I261" s="5" t="n"/>
      <c r="J261" s="5" t="n"/>
      <c r="K261" s="5" t="n"/>
      <c r="L261" s="5" t="n"/>
      <c r="M261" s="9" t="n"/>
      <c r="N261" s="9" t="n"/>
      <c r="O261" s="9" t="n"/>
      <c r="P261" s="9" t="n"/>
      <c r="Q261" s="9" t="n"/>
      <c r="R261" s="8">
        <f>IF($A261="","",COUNTIF(INV_Product,$A261))</f>
        <v/>
      </c>
      <c r="S261" s="8">
        <f>IF($A261="","",COUNTIFS(INV_Product,$A261,INV_Status,"Available"))</f>
        <v/>
      </c>
      <c r="T261" s="8">
        <f>IF($D261="","",IF(COUNTIFS(DD_PairCategory,$C261,DD_Subcategory,$D261)&gt;0,"ok","✗ "&amp;$D261&amp;" is not under "&amp;$C261))</f>
        <v/>
      </c>
      <c r="U261" s="8">
        <f>IF($F261="","",IF(COUNTIFS(PM_Brand,$E261,PM_Model,$F261)&gt;1,"⚠ duplicate product",IF(AND($B261&lt;&gt;"",COUNTIF(PM_Short,$B261)&gt;1),"⚠ short code reused","")))</f>
        <v/>
      </c>
      <c r="V261" s="5" t="n"/>
    </row>
    <row r="262">
      <c r="A262" s="8">
        <f>IF($F262="","","PRD-"&amp;TEXT(ROW()-3,"0000"))</f>
        <v/>
      </c>
      <c r="B262" s="5" t="n"/>
      <c r="C262" s="5" t="n"/>
      <c r="D262" s="5" t="n"/>
      <c r="E262" s="5" t="n"/>
      <c r="F262" s="5" t="n"/>
      <c r="G262" s="5" t="n"/>
      <c r="H262" s="5" t="n"/>
      <c r="I262" s="5" t="n"/>
      <c r="J262" s="5" t="n"/>
      <c r="K262" s="5" t="n"/>
      <c r="L262" s="5" t="n"/>
      <c r="M262" s="9" t="n"/>
      <c r="N262" s="9" t="n"/>
      <c r="O262" s="9" t="n"/>
      <c r="P262" s="9" t="n"/>
      <c r="Q262" s="9" t="n"/>
      <c r="R262" s="8">
        <f>IF($A262="","",COUNTIF(INV_Product,$A262))</f>
        <v/>
      </c>
      <c r="S262" s="8">
        <f>IF($A262="","",COUNTIFS(INV_Product,$A262,INV_Status,"Available"))</f>
        <v/>
      </c>
      <c r="T262" s="8">
        <f>IF($D262="","",IF(COUNTIFS(DD_PairCategory,$C262,DD_Subcategory,$D262)&gt;0,"ok","✗ "&amp;$D262&amp;" is not under "&amp;$C262))</f>
        <v/>
      </c>
      <c r="U262" s="8">
        <f>IF($F262="","",IF(COUNTIFS(PM_Brand,$E262,PM_Model,$F262)&gt;1,"⚠ duplicate product",IF(AND($B262&lt;&gt;"",COUNTIF(PM_Short,$B262)&gt;1),"⚠ short code reused","")))</f>
        <v/>
      </c>
      <c r="V262" s="5" t="n"/>
    </row>
    <row r="263">
      <c r="A263" s="8">
        <f>IF($F263="","","PRD-"&amp;TEXT(ROW()-3,"0000"))</f>
        <v/>
      </c>
      <c r="B263" s="5" t="n"/>
      <c r="C263" s="5" t="n"/>
      <c r="D263" s="5" t="n"/>
      <c r="E263" s="5" t="n"/>
      <c r="F263" s="5" t="n"/>
      <c r="G263" s="5" t="n"/>
      <c r="H263" s="5" t="n"/>
      <c r="I263" s="5" t="n"/>
      <c r="J263" s="5" t="n"/>
      <c r="K263" s="5" t="n"/>
      <c r="L263" s="5" t="n"/>
      <c r="M263" s="9" t="n"/>
      <c r="N263" s="9" t="n"/>
      <c r="O263" s="9" t="n"/>
      <c r="P263" s="9" t="n"/>
      <c r="Q263" s="9" t="n"/>
      <c r="R263" s="8">
        <f>IF($A263="","",COUNTIF(INV_Product,$A263))</f>
        <v/>
      </c>
      <c r="S263" s="8">
        <f>IF($A263="","",COUNTIFS(INV_Product,$A263,INV_Status,"Available"))</f>
        <v/>
      </c>
      <c r="T263" s="8">
        <f>IF($D263="","",IF(COUNTIFS(DD_PairCategory,$C263,DD_Subcategory,$D263)&gt;0,"ok","✗ "&amp;$D263&amp;" is not under "&amp;$C263))</f>
        <v/>
      </c>
      <c r="U263" s="8">
        <f>IF($F263="","",IF(COUNTIFS(PM_Brand,$E263,PM_Model,$F263)&gt;1,"⚠ duplicate product",IF(AND($B263&lt;&gt;"",COUNTIF(PM_Short,$B263)&gt;1),"⚠ short code reused","")))</f>
        <v/>
      </c>
      <c r="V263" s="5" t="n"/>
    </row>
    <row r="264">
      <c r="A264" s="8">
        <f>IF($F264="","","PRD-"&amp;TEXT(ROW()-3,"0000"))</f>
        <v/>
      </c>
      <c r="B264" s="5" t="n"/>
      <c r="C264" s="5" t="n"/>
      <c r="D264" s="5" t="n"/>
      <c r="E264" s="5" t="n"/>
      <c r="F264" s="5" t="n"/>
      <c r="G264" s="5" t="n"/>
      <c r="H264" s="5" t="n"/>
      <c r="I264" s="5" t="n"/>
      <c r="J264" s="5" t="n"/>
      <c r="K264" s="5" t="n"/>
      <c r="L264" s="5" t="n"/>
      <c r="M264" s="9" t="n"/>
      <c r="N264" s="9" t="n"/>
      <c r="O264" s="9" t="n"/>
      <c r="P264" s="9" t="n"/>
      <c r="Q264" s="9" t="n"/>
      <c r="R264" s="8">
        <f>IF($A264="","",COUNTIF(INV_Product,$A264))</f>
        <v/>
      </c>
      <c r="S264" s="8">
        <f>IF($A264="","",COUNTIFS(INV_Product,$A264,INV_Status,"Available"))</f>
        <v/>
      </c>
      <c r="T264" s="8">
        <f>IF($D264="","",IF(COUNTIFS(DD_PairCategory,$C264,DD_Subcategory,$D264)&gt;0,"ok","✗ "&amp;$D264&amp;" is not under "&amp;$C264))</f>
        <v/>
      </c>
      <c r="U264" s="8">
        <f>IF($F264="","",IF(COUNTIFS(PM_Brand,$E264,PM_Model,$F264)&gt;1,"⚠ duplicate product",IF(AND($B264&lt;&gt;"",COUNTIF(PM_Short,$B264)&gt;1),"⚠ short code reused","")))</f>
        <v/>
      </c>
      <c r="V264" s="5" t="n"/>
    </row>
    <row r="265">
      <c r="A265" s="8">
        <f>IF($F265="","","PRD-"&amp;TEXT(ROW()-3,"0000"))</f>
        <v/>
      </c>
      <c r="B265" s="5" t="n"/>
      <c r="C265" s="5" t="n"/>
      <c r="D265" s="5" t="n"/>
      <c r="E265" s="5" t="n"/>
      <c r="F265" s="5" t="n"/>
      <c r="G265" s="5" t="n"/>
      <c r="H265" s="5" t="n"/>
      <c r="I265" s="5" t="n"/>
      <c r="J265" s="5" t="n"/>
      <c r="K265" s="5" t="n"/>
      <c r="L265" s="5" t="n"/>
      <c r="M265" s="9" t="n"/>
      <c r="N265" s="9" t="n"/>
      <c r="O265" s="9" t="n"/>
      <c r="P265" s="9" t="n"/>
      <c r="Q265" s="9" t="n"/>
      <c r="R265" s="8">
        <f>IF($A265="","",COUNTIF(INV_Product,$A265))</f>
        <v/>
      </c>
      <c r="S265" s="8">
        <f>IF($A265="","",COUNTIFS(INV_Product,$A265,INV_Status,"Available"))</f>
        <v/>
      </c>
      <c r="T265" s="8">
        <f>IF($D265="","",IF(COUNTIFS(DD_PairCategory,$C265,DD_Subcategory,$D265)&gt;0,"ok","✗ "&amp;$D265&amp;" is not under "&amp;$C265))</f>
        <v/>
      </c>
      <c r="U265" s="8">
        <f>IF($F265="","",IF(COUNTIFS(PM_Brand,$E265,PM_Model,$F265)&gt;1,"⚠ duplicate product",IF(AND($B265&lt;&gt;"",COUNTIF(PM_Short,$B265)&gt;1),"⚠ short code reused","")))</f>
        <v/>
      </c>
      <c r="V265" s="5" t="n"/>
    </row>
    <row r="266">
      <c r="A266" s="8">
        <f>IF($F266="","","PRD-"&amp;TEXT(ROW()-3,"0000"))</f>
        <v/>
      </c>
      <c r="B266" s="5" t="n"/>
      <c r="C266" s="5" t="n"/>
      <c r="D266" s="5" t="n"/>
      <c r="E266" s="5" t="n"/>
      <c r="F266" s="5" t="n"/>
      <c r="G266" s="5" t="n"/>
      <c r="H266" s="5" t="n"/>
      <c r="I266" s="5" t="n"/>
      <c r="J266" s="5" t="n"/>
      <c r="K266" s="5" t="n"/>
      <c r="L266" s="5" t="n"/>
      <c r="M266" s="9" t="n"/>
      <c r="N266" s="9" t="n"/>
      <c r="O266" s="9" t="n"/>
      <c r="P266" s="9" t="n"/>
      <c r="Q266" s="9" t="n"/>
      <c r="R266" s="8">
        <f>IF($A266="","",COUNTIF(INV_Product,$A266))</f>
        <v/>
      </c>
      <c r="S266" s="8">
        <f>IF($A266="","",COUNTIFS(INV_Product,$A266,INV_Status,"Available"))</f>
        <v/>
      </c>
      <c r="T266" s="8">
        <f>IF($D266="","",IF(COUNTIFS(DD_PairCategory,$C266,DD_Subcategory,$D266)&gt;0,"ok","✗ "&amp;$D266&amp;" is not under "&amp;$C266))</f>
        <v/>
      </c>
      <c r="U266" s="8">
        <f>IF($F266="","",IF(COUNTIFS(PM_Brand,$E266,PM_Model,$F266)&gt;1,"⚠ duplicate product",IF(AND($B266&lt;&gt;"",COUNTIF(PM_Short,$B266)&gt;1),"⚠ short code reused","")))</f>
        <v/>
      </c>
      <c r="V266" s="5" t="n"/>
    </row>
    <row r="267">
      <c r="A267" s="8">
        <f>IF($F267="","","PRD-"&amp;TEXT(ROW()-3,"0000"))</f>
        <v/>
      </c>
      <c r="B267" s="5" t="n"/>
      <c r="C267" s="5" t="n"/>
      <c r="D267" s="5" t="n"/>
      <c r="E267" s="5" t="n"/>
      <c r="F267" s="5" t="n"/>
      <c r="G267" s="5" t="n"/>
      <c r="H267" s="5" t="n"/>
      <c r="I267" s="5" t="n"/>
      <c r="J267" s="5" t="n"/>
      <c r="K267" s="5" t="n"/>
      <c r="L267" s="5" t="n"/>
      <c r="M267" s="9" t="n"/>
      <c r="N267" s="9" t="n"/>
      <c r="O267" s="9" t="n"/>
      <c r="P267" s="9" t="n"/>
      <c r="Q267" s="9" t="n"/>
      <c r="R267" s="8">
        <f>IF($A267="","",COUNTIF(INV_Product,$A267))</f>
        <v/>
      </c>
      <c r="S267" s="8">
        <f>IF($A267="","",COUNTIFS(INV_Product,$A267,INV_Status,"Available"))</f>
        <v/>
      </c>
      <c r="T267" s="8">
        <f>IF($D267="","",IF(COUNTIFS(DD_PairCategory,$C267,DD_Subcategory,$D267)&gt;0,"ok","✗ "&amp;$D267&amp;" is not under "&amp;$C267))</f>
        <v/>
      </c>
      <c r="U267" s="8">
        <f>IF($F267="","",IF(COUNTIFS(PM_Brand,$E267,PM_Model,$F267)&gt;1,"⚠ duplicate product",IF(AND($B267&lt;&gt;"",COUNTIF(PM_Short,$B267)&gt;1),"⚠ short code reused","")))</f>
        <v/>
      </c>
      <c r="V267" s="5" t="n"/>
    </row>
    <row r="268">
      <c r="A268" s="8">
        <f>IF($F268="","","PRD-"&amp;TEXT(ROW()-3,"0000"))</f>
        <v/>
      </c>
      <c r="B268" s="5" t="n"/>
      <c r="C268" s="5" t="n"/>
      <c r="D268" s="5" t="n"/>
      <c r="E268" s="5" t="n"/>
      <c r="F268" s="5" t="n"/>
      <c r="G268" s="5" t="n"/>
      <c r="H268" s="5" t="n"/>
      <c r="I268" s="5" t="n"/>
      <c r="J268" s="5" t="n"/>
      <c r="K268" s="5" t="n"/>
      <c r="L268" s="5" t="n"/>
      <c r="M268" s="9" t="n"/>
      <c r="N268" s="9" t="n"/>
      <c r="O268" s="9" t="n"/>
      <c r="P268" s="9" t="n"/>
      <c r="Q268" s="9" t="n"/>
      <c r="R268" s="8">
        <f>IF($A268="","",COUNTIF(INV_Product,$A268))</f>
        <v/>
      </c>
      <c r="S268" s="8">
        <f>IF($A268="","",COUNTIFS(INV_Product,$A268,INV_Status,"Available"))</f>
        <v/>
      </c>
      <c r="T268" s="8">
        <f>IF($D268="","",IF(COUNTIFS(DD_PairCategory,$C268,DD_Subcategory,$D268)&gt;0,"ok","✗ "&amp;$D268&amp;" is not under "&amp;$C268))</f>
        <v/>
      </c>
      <c r="U268" s="8">
        <f>IF($F268="","",IF(COUNTIFS(PM_Brand,$E268,PM_Model,$F268)&gt;1,"⚠ duplicate product",IF(AND($B268&lt;&gt;"",COUNTIF(PM_Short,$B268)&gt;1),"⚠ short code reused","")))</f>
        <v/>
      </c>
      <c r="V268" s="5" t="n"/>
    </row>
    <row r="269">
      <c r="A269" s="8">
        <f>IF($F269="","","PRD-"&amp;TEXT(ROW()-3,"0000"))</f>
        <v/>
      </c>
      <c r="B269" s="5" t="n"/>
      <c r="C269" s="5" t="n"/>
      <c r="D269" s="5" t="n"/>
      <c r="E269" s="5" t="n"/>
      <c r="F269" s="5" t="n"/>
      <c r="G269" s="5" t="n"/>
      <c r="H269" s="5" t="n"/>
      <c r="I269" s="5" t="n"/>
      <c r="J269" s="5" t="n"/>
      <c r="K269" s="5" t="n"/>
      <c r="L269" s="5" t="n"/>
      <c r="M269" s="9" t="n"/>
      <c r="N269" s="9" t="n"/>
      <c r="O269" s="9" t="n"/>
      <c r="P269" s="9" t="n"/>
      <c r="Q269" s="9" t="n"/>
      <c r="R269" s="8">
        <f>IF($A269="","",COUNTIF(INV_Product,$A269))</f>
        <v/>
      </c>
      <c r="S269" s="8">
        <f>IF($A269="","",COUNTIFS(INV_Product,$A269,INV_Status,"Available"))</f>
        <v/>
      </c>
      <c r="T269" s="8">
        <f>IF($D269="","",IF(COUNTIFS(DD_PairCategory,$C269,DD_Subcategory,$D269)&gt;0,"ok","✗ "&amp;$D269&amp;" is not under "&amp;$C269))</f>
        <v/>
      </c>
      <c r="U269" s="8">
        <f>IF($F269="","",IF(COUNTIFS(PM_Brand,$E269,PM_Model,$F269)&gt;1,"⚠ duplicate product",IF(AND($B269&lt;&gt;"",COUNTIF(PM_Short,$B269)&gt;1),"⚠ short code reused","")))</f>
        <v/>
      </c>
      <c r="V269" s="5" t="n"/>
    </row>
    <row r="270">
      <c r="A270" s="8">
        <f>IF($F270="","","PRD-"&amp;TEXT(ROW()-3,"0000"))</f>
        <v/>
      </c>
      <c r="B270" s="5" t="n"/>
      <c r="C270" s="5" t="n"/>
      <c r="D270" s="5" t="n"/>
      <c r="E270" s="5" t="n"/>
      <c r="F270" s="5" t="n"/>
      <c r="G270" s="5" t="n"/>
      <c r="H270" s="5" t="n"/>
      <c r="I270" s="5" t="n"/>
      <c r="J270" s="5" t="n"/>
      <c r="K270" s="5" t="n"/>
      <c r="L270" s="5" t="n"/>
      <c r="M270" s="9" t="n"/>
      <c r="N270" s="9" t="n"/>
      <c r="O270" s="9" t="n"/>
      <c r="P270" s="9" t="n"/>
      <c r="Q270" s="9" t="n"/>
      <c r="R270" s="8">
        <f>IF($A270="","",COUNTIF(INV_Product,$A270))</f>
        <v/>
      </c>
      <c r="S270" s="8">
        <f>IF($A270="","",COUNTIFS(INV_Product,$A270,INV_Status,"Available"))</f>
        <v/>
      </c>
      <c r="T270" s="8">
        <f>IF($D270="","",IF(COUNTIFS(DD_PairCategory,$C270,DD_Subcategory,$D270)&gt;0,"ok","✗ "&amp;$D270&amp;" is not under "&amp;$C270))</f>
        <v/>
      </c>
      <c r="U270" s="8">
        <f>IF($F270="","",IF(COUNTIFS(PM_Brand,$E270,PM_Model,$F270)&gt;1,"⚠ duplicate product",IF(AND($B270&lt;&gt;"",COUNTIF(PM_Short,$B270)&gt;1),"⚠ short code reused","")))</f>
        <v/>
      </c>
      <c r="V270" s="5" t="n"/>
    </row>
    <row r="271">
      <c r="A271" s="8">
        <f>IF($F271="","","PRD-"&amp;TEXT(ROW()-3,"0000"))</f>
        <v/>
      </c>
      <c r="B271" s="5" t="n"/>
      <c r="C271" s="5" t="n"/>
      <c r="D271" s="5" t="n"/>
      <c r="E271" s="5" t="n"/>
      <c r="F271" s="5" t="n"/>
      <c r="G271" s="5" t="n"/>
      <c r="H271" s="5" t="n"/>
      <c r="I271" s="5" t="n"/>
      <c r="J271" s="5" t="n"/>
      <c r="K271" s="5" t="n"/>
      <c r="L271" s="5" t="n"/>
      <c r="M271" s="9" t="n"/>
      <c r="N271" s="9" t="n"/>
      <c r="O271" s="9" t="n"/>
      <c r="P271" s="9" t="n"/>
      <c r="Q271" s="9" t="n"/>
      <c r="R271" s="8">
        <f>IF($A271="","",COUNTIF(INV_Product,$A271))</f>
        <v/>
      </c>
      <c r="S271" s="8">
        <f>IF($A271="","",COUNTIFS(INV_Product,$A271,INV_Status,"Available"))</f>
        <v/>
      </c>
      <c r="T271" s="8">
        <f>IF($D271="","",IF(COUNTIFS(DD_PairCategory,$C271,DD_Subcategory,$D271)&gt;0,"ok","✗ "&amp;$D271&amp;" is not under "&amp;$C271))</f>
        <v/>
      </c>
      <c r="U271" s="8">
        <f>IF($F271="","",IF(COUNTIFS(PM_Brand,$E271,PM_Model,$F271)&gt;1,"⚠ duplicate product",IF(AND($B271&lt;&gt;"",COUNTIF(PM_Short,$B271)&gt;1),"⚠ short code reused","")))</f>
        <v/>
      </c>
      <c r="V271" s="5" t="n"/>
    </row>
    <row r="272">
      <c r="A272" s="8">
        <f>IF($F272="","","PRD-"&amp;TEXT(ROW()-3,"0000"))</f>
        <v/>
      </c>
      <c r="B272" s="5" t="n"/>
      <c r="C272" s="5" t="n"/>
      <c r="D272" s="5" t="n"/>
      <c r="E272" s="5" t="n"/>
      <c r="F272" s="5" t="n"/>
      <c r="G272" s="5" t="n"/>
      <c r="H272" s="5" t="n"/>
      <c r="I272" s="5" t="n"/>
      <c r="J272" s="5" t="n"/>
      <c r="K272" s="5" t="n"/>
      <c r="L272" s="5" t="n"/>
      <c r="M272" s="9" t="n"/>
      <c r="N272" s="9" t="n"/>
      <c r="O272" s="9" t="n"/>
      <c r="P272" s="9" t="n"/>
      <c r="Q272" s="9" t="n"/>
      <c r="R272" s="8">
        <f>IF($A272="","",COUNTIF(INV_Product,$A272))</f>
        <v/>
      </c>
      <c r="S272" s="8">
        <f>IF($A272="","",COUNTIFS(INV_Product,$A272,INV_Status,"Available"))</f>
        <v/>
      </c>
      <c r="T272" s="8">
        <f>IF($D272="","",IF(COUNTIFS(DD_PairCategory,$C272,DD_Subcategory,$D272)&gt;0,"ok","✗ "&amp;$D272&amp;" is not under "&amp;$C272))</f>
        <v/>
      </c>
      <c r="U272" s="8">
        <f>IF($F272="","",IF(COUNTIFS(PM_Brand,$E272,PM_Model,$F272)&gt;1,"⚠ duplicate product",IF(AND($B272&lt;&gt;"",COUNTIF(PM_Short,$B272)&gt;1),"⚠ short code reused","")))</f>
        <v/>
      </c>
      <c r="V272" s="5" t="n"/>
    </row>
    <row r="273">
      <c r="A273" s="8">
        <f>IF($F273="","","PRD-"&amp;TEXT(ROW()-3,"0000"))</f>
        <v/>
      </c>
      <c r="B273" s="5" t="n"/>
      <c r="C273" s="5" t="n"/>
      <c r="D273" s="5" t="n"/>
      <c r="E273" s="5" t="n"/>
      <c r="F273" s="5" t="n"/>
      <c r="G273" s="5" t="n"/>
      <c r="H273" s="5" t="n"/>
      <c r="I273" s="5" t="n"/>
      <c r="J273" s="5" t="n"/>
      <c r="K273" s="5" t="n"/>
      <c r="L273" s="5" t="n"/>
      <c r="M273" s="9" t="n"/>
      <c r="N273" s="9" t="n"/>
      <c r="O273" s="9" t="n"/>
      <c r="P273" s="9" t="n"/>
      <c r="Q273" s="9" t="n"/>
      <c r="R273" s="8">
        <f>IF($A273="","",COUNTIF(INV_Product,$A273))</f>
        <v/>
      </c>
      <c r="S273" s="8">
        <f>IF($A273="","",COUNTIFS(INV_Product,$A273,INV_Status,"Available"))</f>
        <v/>
      </c>
      <c r="T273" s="8">
        <f>IF($D273="","",IF(COUNTIFS(DD_PairCategory,$C273,DD_Subcategory,$D273)&gt;0,"ok","✗ "&amp;$D273&amp;" is not under "&amp;$C273))</f>
        <v/>
      </c>
      <c r="U273" s="8">
        <f>IF($F273="","",IF(COUNTIFS(PM_Brand,$E273,PM_Model,$F273)&gt;1,"⚠ duplicate product",IF(AND($B273&lt;&gt;"",COUNTIF(PM_Short,$B273)&gt;1),"⚠ short code reused","")))</f>
        <v/>
      </c>
      <c r="V273" s="5" t="n"/>
    </row>
    <row r="274">
      <c r="A274" s="8">
        <f>IF($F274="","","PRD-"&amp;TEXT(ROW()-3,"0000"))</f>
        <v/>
      </c>
      <c r="B274" s="5" t="n"/>
      <c r="C274" s="5" t="n"/>
      <c r="D274" s="5" t="n"/>
      <c r="E274" s="5" t="n"/>
      <c r="F274" s="5" t="n"/>
      <c r="G274" s="5" t="n"/>
      <c r="H274" s="5" t="n"/>
      <c r="I274" s="5" t="n"/>
      <c r="J274" s="5" t="n"/>
      <c r="K274" s="5" t="n"/>
      <c r="L274" s="5" t="n"/>
      <c r="M274" s="9" t="n"/>
      <c r="N274" s="9" t="n"/>
      <c r="O274" s="9" t="n"/>
      <c r="P274" s="9" t="n"/>
      <c r="Q274" s="9" t="n"/>
      <c r="R274" s="8">
        <f>IF($A274="","",COUNTIF(INV_Product,$A274))</f>
        <v/>
      </c>
      <c r="S274" s="8">
        <f>IF($A274="","",COUNTIFS(INV_Product,$A274,INV_Status,"Available"))</f>
        <v/>
      </c>
      <c r="T274" s="8">
        <f>IF($D274="","",IF(COUNTIFS(DD_PairCategory,$C274,DD_Subcategory,$D274)&gt;0,"ok","✗ "&amp;$D274&amp;" is not under "&amp;$C274))</f>
        <v/>
      </c>
      <c r="U274" s="8">
        <f>IF($F274="","",IF(COUNTIFS(PM_Brand,$E274,PM_Model,$F274)&gt;1,"⚠ duplicate product",IF(AND($B274&lt;&gt;"",COUNTIF(PM_Short,$B274)&gt;1),"⚠ short code reused","")))</f>
        <v/>
      </c>
      <c r="V274" s="5" t="n"/>
    </row>
    <row r="275">
      <c r="A275" s="8">
        <f>IF($F275="","","PRD-"&amp;TEXT(ROW()-3,"0000"))</f>
        <v/>
      </c>
      <c r="B275" s="5" t="n"/>
      <c r="C275" s="5" t="n"/>
      <c r="D275" s="5" t="n"/>
      <c r="E275" s="5" t="n"/>
      <c r="F275" s="5" t="n"/>
      <c r="G275" s="5" t="n"/>
      <c r="H275" s="5" t="n"/>
      <c r="I275" s="5" t="n"/>
      <c r="J275" s="5" t="n"/>
      <c r="K275" s="5" t="n"/>
      <c r="L275" s="5" t="n"/>
      <c r="M275" s="9" t="n"/>
      <c r="N275" s="9" t="n"/>
      <c r="O275" s="9" t="n"/>
      <c r="P275" s="9" t="n"/>
      <c r="Q275" s="9" t="n"/>
      <c r="R275" s="8">
        <f>IF($A275="","",COUNTIF(INV_Product,$A275))</f>
        <v/>
      </c>
      <c r="S275" s="8">
        <f>IF($A275="","",COUNTIFS(INV_Product,$A275,INV_Status,"Available"))</f>
        <v/>
      </c>
      <c r="T275" s="8">
        <f>IF($D275="","",IF(COUNTIFS(DD_PairCategory,$C275,DD_Subcategory,$D275)&gt;0,"ok","✗ "&amp;$D275&amp;" is not under "&amp;$C275))</f>
        <v/>
      </c>
      <c r="U275" s="8">
        <f>IF($F275="","",IF(COUNTIFS(PM_Brand,$E275,PM_Model,$F275)&gt;1,"⚠ duplicate product",IF(AND($B275&lt;&gt;"",COUNTIF(PM_Short,$B275)&gt;1),"⚠ short code reused","")))</f>
        <v/>
      </c>
      <c r="V275" s="5" t="n"/>
    </row>
    <row r="276">
      <c r="A276" s="8">
        <f>IF($F276="","","PRD-"&amp;TEXT(ROW()-3,"0000"))</f>
        <v/>
      </c>
      <c r="B276" s="5" t="n"/>
      <c r="C276" s="5" t="n"/>
      <c r="D276" s="5" t="n"/>
      <c r="E276" s="5" t="n"/>
      <c r="F276" s="5" t="n"/>
      <c r="G276" s="5" t="n"/>
      <c r="H276" s="5" t="n"/>
      <c r="I276" s="5" t="n"/>
      <c r="J276" s="5" t="n"/>
      <c r="K276" s="5" t="n"/>
      <c r="L276" s="5" t="n"/>
      <c r="M276" s="9" t="n"/>
      <c r="N276" s="9" t="n"/>
      <c r="O276" s="9" t="n"/>
      <c r="P276" s="9" t="n"/>
      <c r="Q276" s="9" t="n"/>
      <c r="R276" s="8">
        <f>IF($A276="","",COUNTIF(INV_Product,$A276))</f>
        <v/>
      </c>
      <c r="S276" s="8">
        <f>IF($A276="","",COUNTIFS(INV_Product,$A276,INV_Status,"Available"))</f>
        <v/>
      </c>
      <c r="T276" s="8">
        <f>IF($D276="","",IF(COUNTIFS(DD_PairCategory,$C276,DD_Subcategory,$D276)&gt;0,"ok","✗ "&amp;$D276&amp;" is not under "&amp;$C276))</f>
        <v/>
      </c>
      <c r="U276" s="8">
        <f>IF($F276="","",IF(COUNTIFS(PM_Brand,$E276,PM_Model,$F276)&gt;1,"⚠ duplicate product",IF(AND($B276&lt;&gt;"",COUNTIF(PM_Short,$B276)&gt;1),"⚠ short code reused","")))</f>
        <v/>
      </c>
      <c r="V276" s="5" t="n"/>
    </row>
    <row r="277">
      <c r="A277" s="8">
        <f>IF($F277="","","PRD-"&amp;TEXT(ROW()-3,"0000"))</f>
        <v/>
      </c>
      <c r="B277" s="5" t="n"/>
      <c r="C277" s="5" t="n"/>
      <c r="D277" s="5" t="n"/>
      <c r="E277" s="5" t="n"/>
      <c r="F277" s="5" t="n"/>
      <c r="G277" s="5" t="n"/>
      <c r="H277" s="5" t="n"/>
      <c r="I277" s="5" t="n"/>
      <c r="J277" s="5" t="n"/>
      <c r="K277" s="5" t="n"/>
      <c r="L277" s="5" t="n"/>
      <c r="M277" s="9" t="n"/>
      <c r="N277" s="9" t="n"/>
      <c r="O277" s="9" t="n"/>
      <c r="P277" s="9" t="n"/>
      <c r="Q277" s="9" t="n"/>
      <c r="R277" s="8">
        <f>IF($A277="","",COUNTIF(INV_Product,$A277))</f>
        <v/>
      </c>
      <c r="S277" s="8">
        <f>IF($A277="","",COUNTIFS(INV_Product,$A277,INV_Status,"Available"))</f>
        <v/>
      </c>
      <c r="T277" s="8">
        <f>IF($D277="","",IF(COUNTIFS(DD_PairCategory,$C277,DD_Subcategory,$D277)&gt;0,"ok","✗ "&amp;$D277&amp;" is not under "&amp;$C277))</f>
        <v/>
      </c>
      <c r="U277" s="8">
        <f>IF($F277="","",IF(COUNTIFS(PM_Brand,$E277,PM_Model,$F277)&gt;1,"⚠ duplicate product",IF(AND($B277&lt;&gt;"",COUNTIF(PM_Short,$B277)&gt;1),"⚠ short code reused","")))</f>
        <v/>
      </c>
      <c r="V277" s="5" t="n"/>
    </row>
    <row r="278">
      <c r="A278" s="8">
        <f>IF($F278="","","PRD-"&amp;TEXT(ROW()-3,"0000"))</f>
        <v/>
      </c>
      <c r="B278" s="5" t="n"/>
      <c r="C278" s="5" t="n"/>
      <c r="D278" s="5" t="n"/>
      <c r="E278" s="5" t="n"/>
      <c r="F278" s="5" t="n"/>
      <c r="G278" s="5" t="n"/>
      <c r="H278" s="5" t="n"/>
      <c r="I278" s="5" t="n"/>
      <c r="J278" s="5" t="n"/>
      <c r="K278" s="5" t="n"/>
      <c r="L278" s="5" t="n"/>
      <c r="M278" s="9" t="n"/>
      <c r="N278" s="9" t="n"/>
      <c r="O278" s="9" t="n"/>
      <c r="P278" s="9" t="n"/>
      <c r="Q278" s="9" t="n"/>
      <c r="R278" s="8">
        <f>IF($A278="","",COUNTIF(INV_Product,$A278))</f>
        <v/>
      </c>
      <c r="S278" s="8">
        <f>IF($A278="","",COUNTIFS(INV_Product,$A278,INV_Status,"Available"))</f>
        <v/>
      </c>
      <c r="T278" s="8">
        <f>IF($D278="","",IF(COUNTIFS(DD_PairCategory,$C278,DD_Subcategory,$D278)&gt;0,"ok","✗ "&amp;$D278&amp;" is not under "&amp;$C278))</f>
        <v/>
      </c>
      <c r="U278" s="8">
        <f>IF($F278="","",IF(COUNTIFS(PM_Brand,$E278,PM_Model,$F278)&gt;1,"⚠ duplicate product",IF(AND($B278&lt;&gt;"",COUNTIF(PM_Short,$B278)&gt;1),"⚠ short code reused","")))</f>
        <v/>
      </c>
      <c r="V278" s="5" t="n"/>
    </row>
    <row r="279">
      <c r="A279" s="8">
        <f>IF($F279="","","PRD-"&amp;TEXT(ROW()-3,"0000"))</f>
        <v/>
      </c>
      <c r="B279" s="5" t="n"/>
      <c r="C279" s="5" t="n"/>
      <c r="D279" s="5" t="n"/>
      <c r="E279" s="5" t="n"/>
      <c r="F279" s="5" t="n"/>
      <c r="G279" s="5" t="n"/>
      <c r="H279" s="5" t="n"/>
      <c r="I279" s="5" t="n"/>
      <c r="J279" s="5" t="n"/>
      <c r="K279" s="5" t="n"/>
      <c r="L279" s="5" t="n"/>
      <c r="M279" s="9" t="n"/>
      <c r="N279" s="9" t="n"/>
      <c r="O279" s="9" t="n"/>
      <c r="P279" s="9" t="n"/>
      <c r="Q279" s="9" t="n"/>
      <c r="R279" s="8">
        <f>IF($A279="","",COUNTIF(INV_Product,$A279))</f>
        <v/>
      </c>
      <c r="S279" s="8">
        <f>IF($A279="","",COUNTIFS(INV_Product,$A279,INV_Status,"Available"))</f>
        <v/>
      </c>
      <c r="T279" s="8">
        <f>IF($D279="","",IF(COUNTIFS(DD_PairCategory,$C279,DD_Subcategory,$D279)&gt;0,"ok","✗ "&amp;$D279&amp;" is not under "&amp;$C279))</f>
        <v/>
      </c>
      <c r="U279" s="8">
        <f>IF($F279="","",IF(COUNTIFS(PM_Brand,$E279,PM_Model,$F279)&gt;1,"⚠ duplicate product",IF(AND($B279&lt;&gt;"",COUNTIF(PM_Short,$B279)&gt;1),"⚠ short code reused","")))</f>
        <v/>
      </c>
      <c r="V279" s="5" t="n"/>
    </row>
    <row r="280">
      <c r="A280" s="8">
        <f>IF($F280="","","PRD-"&amp;TEXT(ROW()-3,"0000"))</f>
        <v/>
      </c>
      <c r="B280" s="5" t="n"/>
      <c r="C280" s="5" t="n"/>
      <c r="D280" s="5" t="n"/>
      <c r="E280" s="5" t="n"/>
      <c r="F280" s="5" t="n"/>
      <c r="G280" s="5" t="n"/>
      <c r="H280" s="5" t="n"/>
      <c r="I280" s="5" t="n"/>
      <c r="J280" s="5" t="n"/>
      <c r="K280" s="5" t="n"/>
      <c r="L280" s="5" t="n"/>
      <c r="M280" s="9" t="n"/>
      <c r="N280" s="9" t="n"/>
      <c r="O280" s="9" t="n"/>
      <c r="P280" s="9" t="n"/>
      <c r="Q280" s="9" t="n"/>
      <c r="R280" s="8">
        <f>IF($A280="","",COUNTIF(INV_Product,$A280))</f>
        <v/>
      </c>
      <c r="S280" s="8">
        <f>IF($A280="","",COUNTIFS(INV_Product,$A280,INV_Status,"Available"))</f>
        <v/>
      </c>
      <c r="T280" s="8">
        <f>IF($D280="","",IF(COUNTIFS(DD_PairCategory,$C280,DD_Subcategory,$D280)&gt;0,"ok","✗ "&amp;$D280&amp;" is not under "&amp;$C280))</f>
        <v/>
      </c>
      <c r="U280" s="8">
        <f>IF($F280="","",IF(COUNTIFS(PM_Brand,$E280,PM_Model,$F280)&gt;1,"⚠ duplicate product",IF(AND($B280&lt;&gt;"",COUNTIF(PM_Short,$B280)&gt;1),"⚠ short code reused","")))</f>
        <v/>
      </c>
      <c r="V280" s="5" t="n"/>
    </row>
    <row r="281">
      <c r="A281" s="8">
        <f>IF($F281="","","PRD-"&amp;TEXT(ROW()-3,"0000"))</f>
        <v/>
      </c>
      <c r="B281" s="5" t="n"/>
      <c r="C281" s="5" t="n"/>
      <c r="D281" s="5" t="n"/>
      <c r="E281" s="5" t="n"/>
      <c r="F281" s="5" t="n"/>
      <c r="G281" s="5" t="n"/>
      <c r="H281" s="5" t="n"/>
      <c r="I281" s="5" t="n"/>
      <c r="J281" s="5" t="n"/>
      <c r="K281" s="5" t="n"/>
      <c r="L281" s="5" t="n"/>
      <c r="M281" s="9" t="n"/>
      <c r="N281" s="9" t="n"/>
      <c r="O281" s="9" t="n"/>
      <c r="P281" s="9" t="n"/>
      <c r="Q281" s="9" t="n"/>
      <c r="R281" s="8">
        <f>IF($A281="","",COUNTIF(INV_Product,$A281))</f>
        <v/>
      </c>
      <c r="S281" s="8">
        <f>IF($A281="","",COUNTIFS(INV_Product,$A281,INV_Status,"Available"))</f>
        <v/>
      </c>
      <c r="T281" s="8">
        <f>IF($D281="","",IF(COUNTIFS(DD_PairCategory,$C281,DD_Subcategory,$D281)&gt;0,"ok","✗ "&amp;$D281&amp;" is not under "&amp;$C281))</f>
        <v/>
      </c>
      <c r="U281" s="8">
        <f>IF($F281="","",IF(COUNTIFS(PM_Brand,$E281,PM_Model,$F281)&gt;1,"⚠ duplicate product",IF(AND($B281&lt;&gt;"",COUNTIF(PM_Short,$B281)&gt;1),"⚠ short code reused","")))</f>
        <v/>
      </c>
      <c r="V281" s="5" t="n"/>
    </row>
    <row r="282">
      <c r="A282" s="8">
        <f>IF($F282="","","PRD-"&amp;TEXT(ROW()-3,"0000"))</f>
        <v/>
      </c>
      <c r="B282" s="5" t="n"/>
      <c r="C282" s="5" t="n"/>
      <c r="D282" s="5" t="n"/>
      <c r="E282" s="5" t="n"/>
      <c r="F282" s="5" t="n"/>
      <c r="G282" s="5" t="n"/>
      <c r="H282" s="5" t="n"/>
      <c r="I282" s="5" t="n"/>
      <c r="J282" s="5" t="n"/>
      <c r="K282" s="5" t="n"/>
      <c r="L282" s="5" t="n"/>
      <c r="M282" s="9" t="n"/>
      <c r="N282" s="9" t="n"/>
      <c r="O282" s="9" t="n"/>
      <c r="P282" s="9" t="n"/>
      <c r="Q282" s="9" t="n"/>
      <c r="R282" s="8">
        <f>IF($A282="","",COUNTIF(INV_Product,$A282))</f>
        <v/>
      </c>
      <c r="S282" s="8">
        <f>IF($A282="","",COUNTIFS(INV_Product,$A282,INV_Status,"Available"))</f>
        <v/>
      </c>
      <c r="T282" s="8">
        <f>IF($D282="","",IF(COUNTIFS(DD_PairCategory,$C282,DD_Subcategory,$D282)&gt;0,"ok","✗ "&amp;$D282&amp;" is not under "&amp;$C282))</f>
        <v/>
      </c>
      <c r="U282" s="8">
        <f>IF($F282="","",IF(COUNTIFS(PM_Brand,$E282,PM_Model,$F282)&gt;1,"⚠ duplicate product",IF(AND($B282&lt;&gt;"",COUNTIF(PM_Short,$B282)&gt;1),"⚠ short code reused","")))</f>
        <v/>
      </c>
      <c r="V282" s="5" t="n"/>
    </row>
    <row r="283">
      <c r="A283" s="8">
        <f>IF($F283="","","PRD-"&amp;TEXT(ROW()-3,"0000"))</f>
        <v/>
      </c>
      <c r="B283" s="5" t="n"/>
      <c r="C283" s="5" t="n"/>
      <c r="D283" s="5" t="n"/>
      <c r="E283" s="5" t="n"/>
      <c r="F283" s="5" t="n"/>
      <c r="G283" s="5" t="n"/>
      <c r="H283" s="5" t="n"/>
      <c r="I283" s="5" t="n"/>
      <c r="J283" s="5" t="n"/>
      <c r="K283" s="5" t="n"/>
      <c r="L283" s="5" t="n"/>
      <c r="M283" s="9" t="n"/>
      <c r="N283" s="9" t="n"/>
      <c r="O283" s="9" t="n"/>
      <c r="P283" s="9" t="n"/>
      <c r="Q283" s="9" t="n"/>
      <c r="R283" s="8">
        <f>IF($A283="","",COUNTIF(INV_Product,$A283))</f>
        <v/>
      </c>
      <c r="S283" s="8">
        <f>IF($A283="","",COUNTIFS(INV_Product,$A283,INV_Status,"Available"))</f>
        <v/>
      </c>
      <c r="T283" s="8">
        <f>IF($D283="","",IF(COUNTIFS(DD_PairCategory,$C283,DD_Subcategory,$D283)&gt;0,"ok","✗ "&amp;$D283&amp;" is not under "&amp;$C283))</f>
        <v/>
      </c>
      <c r="U283" s="8">
        <f>IF($F283="","",IF(COUNTIFS(PM_Brand,$E283,PM_Model,$F283)&gt;1,"⚠ duplicate product",IF(AND($B283&lt;&gt;"",COUNTIF(PM_Short,$B283)&gt;1),"⚠ short code reused","")))</f>
        <v/>
      </c>
      <c r="V283" s="5" t="n"/>
    </row>
    <row r="284">
      <c r="A284" s="8">
        <f>IF($F284="","","PRD-"&amp;TEXT(ROW()-3,"0000"))</f>
        <v/>
      </c>
      <c r="B284" s="5" t="n"/>
      <c r="C284" s="5" t="n"/>
      <c r="D284" s="5" t="n"/>
      <c r="E284" s="5" t="n"/>
      <c r="F284" s="5" t="n"/>
      <c r="G284" s="5" t="n"/>
      <c r="H284" s="5" t="n"/>
      <c r="I284" s="5" t="n"/>
      <c r="J284" s="5" t="n"/>
      <c r="K284" s="5" t="n"/>
      <c r="L284" s="5" t="n"/>
      <c r="M284" s="9" t="n"/>
      <c r="N284" s="9" t="n"/>
      <c r="O284" s="9" t="n"/>
      <c r="P284" s="9" t="n"/>
      <c r="Q284" s="9" t="n"/>
      <c r="R284" s="8">
        <f>IF($A284="","",COUNTIF(INV_Product,$A284))</f>
        <v/>
      </c>
      <c r="S284" s="8">
        <f>IF($A284="","",COUNTIFS(INV_Product,$A284,INV_Status,"Available"))</f>
        <v/>
      </c>
      <c r="T284" s="8">
        <f>IF($D284="","",IF(COUNTIFS(DD_PairCategory,$C284,DD_Subcategory,$D284)&gt;0,"ok","✗ "&amp;$D284&amp;" is not under "&amp;$C284))</f>
        <v/>
      </c>
      <c r="U284" s="8">
        <f>IF($F284="","",IF(COUNTIFS(PM_Brand,$E284,PM_Model,$F284)&gt;1,"⚠ duplicate product",IF(AND($B284&lt;&gt;"",COUNTIF(PM_Short,$B284)&gt;1),"⚠ short code reused","")))</f>
        <v/>
      </c>
      <c r="V284" s="5" t="n"/>
    </row>
    <row r="285">
      <c r="A285" s="8">
        <f>IF($F285="","","PRD-"&amp;TEXT(ROW()-3,"0000"))</f>
        <v/>
      </c>
      <c r="B285" s="5" t="n"/>
      <c r="C285" s="5" t="n"/>
      <c r="D285" s="5" t="n"/>
      <c r="E285" s="5" t="n"/>
      <c r="F285" s="5" t="n"/>
      <c r="G285" s="5" t="n"/>
      <c r="H285" s="5" t="n"/>
      <c r="I285" s="5" t="n"/>
      <c r="J285" s="5" t="n"/>
      <c r="K285" s="5" t="n"/>
      <c r="L285" s="5" t="n"/>
      <c r="M285" s="9" t="n"/>
      <c r="N285" s="9" t="n"/>
      <c r="O285" s="9" t="n"/>
      <c r="P285" s="9" t="n"/>
      <c r="Q285" s="9" t="n"/>
      <c r="R285" s="8">
        <f>IF($A285="","",COUNTIF(INV_Product,$A285))</f>
        <v/>
      </c>
      <c r="S285" s="8">
        <f>IF($A285="","",COUNTIFS(INV_Product,$A285,INV_Status,"Available"))</f>
        <v/>
      </c>
      <c r="T285" s="8">
        <f>IF($D285="","",IF(COUNTIFS(DD_PairCategory,$C285,DD_Subcategory,$D285)&gt;0,"ok","✗ "&amp;$D285&amp;" is not under "&amp;$C285))</f>
        <v/>
      </c>
      <c r="U285" s="8">
        <f>IF($F285="","",IF(COUNTIFS(PM_Brand,$E285,PM_Model,$F285)&gt;1,"⚠ duplicate product",IF(AND($B285&lt;&gt;"",COUNTIF(PM_Short,$B285)&gt;1),"⚠ short code reused","")))</f>
        <v/>
      </c>
      <c r="V285" s="5" t="n"/>
    </row>
    <row r="286">
      <c r="A286" s="8">
        <f>IF($F286="","","PRD-"&amp;TEXT(ROW()-3,"0000"))</f>
        <v/>
      </c>
      <c r="B286" s="5" t="n"/>
      <c r="C286" s="5" t="n"/>
      <c r="D286" s="5" t="n"/>
      <c r="E286" s="5" t="n"/>
      <c r="F286" s="5" t="n"/>
      <c r="G286" s="5" t="n"/>
      <c r="H286" s="5" t="n"/>
      <c r="I286" s="5" t="n"/>
      <c r="J286" s="5" t="n"/>
      <c r="K286" s="5" t="n"/>
      <c r="L286" s="5" t="n"/>
      <c r="M286" s="9" t="n"/>
      <c r="N286" s="9" t="n"/>
      <c r="O286" s="9" t="n"/>
      <c r="P286" s="9" t="n"/>
      <c r="Q286" s="9" t="n"/>
      <c r="R286" s="8">
        <f>IF($A286="","",COUNTIF(INV_Product,$A286))</f>
        <v/>
      </c>
      <c r="S286" s="8">
        <f>IF($A286="","",COUNTIFS(INV_Product,$A286,INV_Status,"Available"))</f>
        <v/>
      </c>
      <c r="T286" s="8">
        <f>IF($D286="","",IF(COUNTIFS(DD_PairCategory,$C286,DD_Subcategory,$D286)&gt;0,"ok","✗ "&amp;$D286&amp;" is not under "&amp;$C286))</f>
        <v/>
      </c>
      <c r="U286" s="8">
        <f>IF($F286="","",IF(COUNTIFS(PM_Brand,$E286,PM_Model,$F286)&gt;1,"⚠ duplicate product",IF(AND($B286&lt;&gt;"",COUNTIF(PM_Short,$B286)&gt;1),"⚠ short code reused","")))</f>
        <v/>
      </c>
      <c r="V286" s="5" t="n"/>
    </row>
    <row r="287">
      <c r="A287" s="8">
        <f>IF($F287="","","PRD-"&amp;TEXT(ROW()-3,"0000"))</f>
        <v/>
      </c>
      <c r="B287" s="5" t="n"/>
      <c r="C287" s="5" t="n"/>
      <c r="D287" s="5" t="n"/>
      <c r="E287" s="5" t="n"/>
      <c r="F287" s="5" t="n"/>
      <c r="G287" s="5" t="n"/>
      <c r="H287" s="5" t="n"/>
      <c r="I287" s="5" t="n"/>
      <c r="J287" s="5" t="n"/>
      <c r="K287" s="5" t="n"/>
      <c r="L287" s="5" t="n"/>
      <c r="M287" s="9" t="n"/>
      <c r="N287" s="9" t="n"/>
      <c r="O287" s="9" t="n"/>
      <c r="P287" s="9" t="n"/>
      <c r="Q287" s="9" t="n"/>
      <c r="R287" s="8">
        <f>IF($A287="","",COUNTIF(INV_Product,$A287))</f>
        <v/>
      </c>
      <c r="S287" s="8">
        <f>IF($A287="","",COUNTIFS(INV_Product,$A287,INV_Status,"Available"))</f>
        <v/>
      </c>
      <c r="T287" s="8">
        <f>IF($D287="","",IF(COUNTIFS(DD_PairCategory,$C287,DD_Subcategory,$D287)&gt;0,"ok","✗ "&amp;$D287&amp;" is not under "&amp;$C287))</f>
        <v/>
      </c>
      <c r="U287" s="8">
        <f>IF($F287="","",IF(COUNTIFS(PM_Brand,$E287,PM_Model,$F287)&gt;1,"⚠ duplicate product",IF(AND($B287&lt;&gt;"",COUNTIF(PM_Short,$B287)&gt;1),"⚠ short code reused","")))</f>
        <v/>
      </c>
      <c r="V287" s="5" t="n"/>
    </row>
    <row r="288">
      <c r="A288" s="8">
        <f>IF($F288="","","PRD-"&amp;TEXT(ROW()-3,"0000"))</f>
        <v/>
      </c>
      <c r="B288" s="5" t="n"/>
      <c r="C288" s="5" t="n"/>
      <c r="D288" s="5" t="n"/>
      <c r="E288" s="5" t="n"/>
      <c r="F288" s="5" t="n"/>
      <c r="G288" s="5" t="n"/>
      <c r="H288" s="5" t="n"/>
      <c r="I288" s="5" t="n"/>
      <c r="J288" s="5" t="n"/>
      <c r="K288" s="5" t="n"/>
      <c r="L288" s="5" t="n"/>
      <c r="M288" s="9" t="n"/>
      <c r="N288" s="9" t="n"/>
      <c r="O288" s="9" t="n"/>
      <c r="P288" s="9" t="n"/>
      <c r="Q288" s="9" t="n"/>
      <c r="R288" s="8">
        <f>IF($A288="","",COUNTIF(INV_Product,$A288))</f>
        <v/>
      </c>
      <c r="S288" s="8">
        <f>IF($A288="","",COUNTIFS(INV_Product,$A288,INV_Status,"Available"))</f>
        <v/>
      </c>
      <c r="T288" s="8">
        <f>IF($D288="","",IF(COUNTIFS(DD_PairCategory,$C288,DD_Subcategory,$D288)&gt;0,"ok","✗ "&amp;$D288&amp;" is not under "&amp;$C288))</f>
        <v/>
      </c>
      <c r="U288" s="8">
        <f>IF($F288="","",IF(COUNTIFS(PM_Brand,$E288,PM_Model,$F288)&gt;1,"⚠ duplicate product",IF(AND($B288&lt;&gt;"",COUNTIF(PM_Short,$B288)&gt;1),"⚠ short code reused","")))</f>
        <v/>
      </c>
      <c r="V288" s="5" t="n"/>
    </row>
    <row r="289">
      <c r="A289" s="8">
        <f>IF($F289="","","PRD-"&amp;TEXT(ROW()-3,"0000"))</f>
        <v/>
      </c>
      <c r="B289" s="5" t="n"/>
      <c r="C289" s="5" t="n"/>
      <c r="D289" s="5" t="n"/>
      <c r="E289" s="5" t="n"/>
      <c r="F289" s="5" t="n"/>
      <c r="G289" s="5" t="n"/>
      <c r="H289" s="5" t="n"/>
      <c r="I289" s="5" t="n"/>
      <c r="J289" s="5" t="n"/>
      <c r="K289" s="5" t="n"/>
      <c r="L289" s="5" t="n"/>
      <c r="M289" s="9" t="n"/>
      <c r="N289" s="9" t="n"/>
      <c r="O289" s="9" t="n"/>
      <c r="P289" s="9" t="n"/>
      <c r="Q289" s="9" t="n"/>
      <c r="R289" s="8">
        <f>IF($A289="","",COUNTIF(INV_Product,$A289))</f>
        <v/>
      </c>
      <c r="S289" s="8">
        <f>IF($A289="","",COUNTIFS(INV_Product,$A289,INV_Status,"Available"))</f>
        <v/>
      </c>
      <c r="T289" s="8">
        <f>IF($D289="","",IF(COUNTIFS(DD_PairCategory,$C289,DD_Subcategory,$D289)&gt;0,"ok","✗ "&amp;$D289&amp;" is not under "&amp;$C289))</f>
        <v/>
      </c>
      <c r="U289" s="8">
        <f>IF($F289="","",IF(COUNTIFS(PM_Brand,$E289,PM_Model,$F289)&gt;1,"⚠ duplicate product",IF(AND($B289&lt;&gt;"",COUNTIF(PM_Short,$B289)&gt;1),"⚠ short code reused","")))</f>
        <v/>
      </c>
      <c r="V289" s="5" t="n"/>
    </row>
    <row r="290">
      <c r="A290" s="8">
        <f>IF($F290="","","PRD-"&amp;TEXT(ROW()-3,"0000"))</f>
        <v/>
      </c>
      <c r="B290" s="5" t="n"/>
      <c r="C290" s="5" t="n"/>
      <c r="D290" s="5" t="n"/>
      <c r="E290" s="5" t="n"/>
      <c r="F290" s="5" t="n"/>
      <c r="G290" s="5" t="n"/>
      <c r="H290" s="5" t="n"/>
      <c r="I290" s="5" t="n"/>
      <c r="J290" s="5" t="n"/>
      <c r="K290" s="5" t="n"/>
      <c r="L290" s="5" t="n"/>
      <c r="M290" s="9" t="n"/>
      <c r="N290" s="9" t="n"/>
      <c r="O290" s="9" t="n"/>
      <c r="P290" s="9" t="n"/>
      <c r="Q290" s="9" t="n"/>
      <c r="R290" s="8">
        <f>IF($A290="","",COUNTIF(INV_Product,$A290))</f>
        <v/>
      </c>
      <c r="S290" s="8">
        <f>IF($A290="","",COUNTIFS(INV_Product,$A290,INV_Status,"Available"))</f>
        <v/>
      </c>
      <c r="T290" s="8">
        <f>IF($D290="","",IF(COUNTIFS(DD_PairCategory,$C290,DD_Subcategory,$D290)&gt;0,"ok","✗ "&amp;$D290&amp;" is not under "&amp;$C290))</f>
        <v/>
      </c>
      <c r="U290" s="8">
        <f>IF($F290="","",IF(COUNTIFS(PM_Brand,$E290,PM_Model,$F290)&gt;1,"⚠ duplicate product",IF(AND($B290&lt;&gt;"",COUNTIF(PM_Short,$B290)&gt;1),"⚠ short code reused","")))</f>
        <v/>
      </c>
      <c r="V290" s="5" t="n"/>
    </row>
    <row r="291">
      <c r="A291" s="8">
        <f>IF($F291="","","PRD-"&amp;TEXT(ROW()-3,"0000"))</f>
        <v/>
      </c>
      <c r="B291" s="5" t="n"/>
      <c r="C291" s="5" t="n"/>
      <c r="D291" s="5" t="n"/>
      <c r="E291" s="5" t="n"/>
      <c r="F291" s="5" t="n"/>
      <c r="G291" s="5" t="n"/>
      <c r="H291" s="5" t="n"/>
      <c r="I291" s="5" t="n"/>
      <c r="J291" s="5" t="n"/>
      <c r="K291" s="5" t="n"/>
      <c r="L291" s="5" t="n"/>
      <c r="M291" s="9" t="n"/>
      <c r="N291" s="9" t="n"/>
      <c r="O291" s="9" t="n"/>
      <c r="P291" s="9" t="n"/>
      <c r="Q291" s="9" t="n"/>
      <c r="R291" s="8">
        <f>IF($A291="","",COUNTIF(INV_Product,$A291))</f>
        <v/>
      </c>
      <c r="S291" s="8">
        <f>IF($A291="","",COUNTIFS(INV_Product,$A291,INV_Status,"Available"))</f>
        <v/>
      </c>
      <c r="T291" s="8">
        <f>IF($D291="","",IF(COUNTIFS(DD_PairCategory,$C291,DD_Subcategory,$D291)&gt;0,"ok","✗ "&amp;$D291&amp;" is not under "&amp;$C291))</f>
        <v/>
      </c>
      <c r="U291" s="8">
        <f>IF($F291="","",IF(COUNTIFS(PM_Brand,$E291,PM_Model,$F291)&gt;1,"⚠ duplicate product",IF(AND($B291&lt;&gt;"",COUNTIF(PM_Short,$B291)&gt;1),"⚠ short code reused","")))</f>
        <v/>
      </c>
      <c r="V291" s="5" t="n"/>
    </row>
    <row r="292">
      <c r="A292" s="8">
        <f>IF($F292="","","PRD-"&amp;TEXT(ROW()-3,"0000"))</f>
        <v/>
      </c>
      <c r="B292" s="5" t="n"/>
      <c r="C292" s="5" t="n"/>
      <c r="D292" s="5" t="n"/>
      <c r="E292" s="5" t="n"/>
      <c r="F292" s="5" t="n"/>
      <c r="G292" s="5" t="n"/>
      <c r="H292" s="5" t="n"/>
      <c r="I292" s="5" t="n"/>
      <c r="J292" s="5" t="n"/>
      <c r="K292" s="5" t="n"/>
      <c r="L292" s="5" t="n"/>
      <c r="M292" s="9" t="n"/>
      <c r="N292" s="9" t="n"/>
      <c r="O292" s="9" t="n"/>
      <c r="P292" s="9" t="n"/>
      <c r="Q292" s="9" t="n"/>
      <c r="R292" s="8">
        <f>IF($A292="","",COUNTIF(INV_Product,$A292))</f>
        <v/>
      </c>
      <c r="S292" s="8">
        <f>IF($A292="","",COUNTIFS(INV_Product,$A292,INV_Status,"Available"))</f>
        <v/>
      </c>
      <c r="T292" s="8">
        <f>IF($D292="","",IF(COUNTIFS(DD_PairCategory,$C292,DD_Subcategory,$D292)&gt;0,"ok","✗ "&amp;$D292&amp;" is not under "&amp;$C292))</f>
        <v/>
      </c>
      <c r="U292" s="8">
        <f>IF($F292="","",IF(COUNTIFS(PM_Brand,$E292,PM_Model,$F292)&gt;1,"⚠ duplicate product",IF(AND($B292&lt;&gt;"",COUNTIF(PM_Short,$B292)&gt;1),"⚠ short code reused","")))</f>
        <v/>
      </c>
      <c r="V292" s="5" t="n"/>
    </row>
    <row r="293">
      <c r="A293" s="8">
        <f>IF($F293="","","PRD-"&amp;TEXT(ROW()-3,"0000"))</f>
        <v/>
      </c>
      <c r="B293" s="5" t="n"/>
      <c r="C293" s="5" t="n"/>
      <c r="D293" s="5" t="n"/>
      <c r="E293" s="5" t="n"/>
      <c r="F293" s="5" t="n"/>
      <c r="G293" s="5" t="n"/>
      <c r="H293" s="5" t="n"/>
      <c r="I293" s="5" t="n"/>
      <c r="J293" s="5" t="n"/>
      <c r="K293" s="5" t="n"/>
      <c r="L293" s="5" t="n"/>
      <c r="M293" s="9" t="n"/>
      <c r="N293" s="9" t="n"/>
      <c r="O293" s="9" t="n"/>
      <c r="P293" s="9" t="n"/>
      <c r="Q293" s="9" t="n"/>
      <c r="R293" s="8">
        <f>IF($A293="","",COUNTIF(INV_Product,$A293))</f>
        <v/>
      </c>
      <c r="S293" s="8">
        <f>IF($A293="","",COUNTIFS(INV_Product,$A293,INV_Status,"Available"))</f>
        <v/>
      </c>
      <c r="T293" s="8">
        <f>IF($D293="","",IF(COUNTIFS(DD_PairCategory,$C293,DD_Subcategory,$D293)&gt;0,"ok","✗ "&amp;$D293&amp;" is not under "&amp;$C293))</f>
        <v/>
      </c>
      <c r="U293" s="8">
        <f>IF($F293="","",IF(COUNTIFS(PM_Brand,$E293,PM_Model,$F293)&gt;1,"⚠ duplicate product",IF(AND($B293&lt;&gt;"",COUNTIF(PM_Short,$B293)&gt;1),"⚠ short code reused","")))</f>
        <v/>
      </c>
      <c r="V293" s="5" t="n"/>
    </row>
    <row r="294">
      <c r="A294" s="8">
        <f>IF($F294="","","PRD-"&amp;TEXT(ROW()-3,"0000"))</f>
        <v/>
      </c>
      <c r="B294" s="5" t="n"/>
      <c r="C294" s="5" t="n"/>
      <c r="D294" s="5" t="n"/>
      <c r="E294" s="5" t="n"/>
      <c r="F294" s="5" t="n"/>
      <c r="G294" s="5" t="n"/>
      <c r="H294" s="5" t="n"/>
      <c r="I294" s="5" t="n"/>
      <c r="J294" s="5" t="n"/>
      <c r="K294" s="5" t="n"/>
      <c r="L294" s="5" t="n"/>
      <c r="M294" s="9" t="n"/>
      <c r="N294" s="9" t="n"/>
      <c r="O294" s="9" t="n"/>
      <c r="P294" s="9" t="n"/>
      <c r="Q294" s="9" t="n"/>
      <c r="R294" s="8">
        <f>IF($A294="","",COUNTIF(INV_Product,$A294))</f>
        <v/>
      </c>
      <c r="S294" s="8">
        <f>IF($A294="","",COUNTIFS(INV_Product,$A294,INV_Status,"Available"))</f>
        <v/>
      </c>
      <c r="T294" s="8">
        <f>IF($D294="","",IF(COUNTIFS(DD_PairCategory,$C294,DD_Subcategory,$D294)&gt;0,"ok","✗ "&amp;$D294&amp;" is not under "&amp;$C294))</f>
        <v/>
      </c>
      <c r="U294" s="8">
        <f>IF($F294="","",IF(COUNTIFS(PM_Brand,$E294,PM_Model,$F294)&gt;1,"⚠ duplicate product",IF(AND($B294&lt;&gt;"",COUNTIF(PM_Short,$B294)&gt;1),"⚠ short code reused","")))</f>
        <v/>
      </c>
      <c r="V294" s="5" t="n"/>
    </row>
    <row r="295">
      <c r="A295" s="8">
        <f>IF($F295="","","PRD-"&amp;TEXT(ROW()-3,"0000"))</f>
        <v/>
      </c>
      <c r="B295" s="5" t="n"/>
      <c r="C295" s="5" t="n"/>
      <c r="D295" s="5" t="n"/>
      <c r="E295" s="5" t="n"/>
      <c r="F295" s="5" t="n"/>
      <c r="G295" s="5" t="n"/>
      <c r="H295" s="5" t="n"/>
      <c r="I295" s="5" t="n"/>
      <c r="J295" s="5" t="n"/>
      <c r="K295" s="5" t="n"/>
      <c r="L295" s="5" t="n"/>
      <c r="M295" s="9" t="n"/>
      <c r="N295" s="9" t="n"/>
      <c r="O295" s="9" t="n"/>
      <c r="P295" s="9" t="n"/>
      <c r="Q295" s="9" t="n"/>
      <c r="R295" s="8">
        <f>IF($A295="","",COUNTIF(INV_Product,$A295))</f>
        <v/>
      </c>
      <c r="S295" s="8">
        <f>IF($A295="","",COUNTIFS(INV_Product,$A295,INV_Status,"Available"))</f>
        <v/>
      </c>
      <c r="T295" s="8">
        <f>IF($D295="","",IF(COUNTIFS(DD_PairCategory,$C295,DD_Subcategory,$D295)&gt;0,"ok","✗ "&amp;$D295&amp;" is not under "&amp;$C295))</f>
        <v/>
      </c>
      <c r="U295" s="8">
        <f>IF($F295="","",IF(COUNTIFS(PM_Brand,$E295,PM_Model,$F295)&gt;1,"⚠ duplicate product",IF(AND($B295&lt;&gt;"",COUNTIF(PM_Short,$B295)&gt;1),"⚠ short code reused","")))</f>
        <v/>
      </c>
      <c r="V295" s="5" t="n"/>
    </row>
    <row r="296">
      <c r="A296" s="8">
        <f>IF($F296="","","PRD-"&amp;TEXT(ROW()-3,"0000"))</f>
        <v/>
      </c>
      <c r="B296" s="5" t="n"/>
      <c r="C296" s="5" t="n"/>
      <c r="D296" s="5" t="n"/>
      <c r="E296" s="5" t="n"/>
      <c r="F296" s="5" t="n"/>
      <c r="G296" s="5" t="n"/>
      <c r="H296" s="5" t="n"/>
      <c r="I296" s="5" t="n"/>
      <c r="J296" s="5" t="n"/>
      <c r="K296" s="5" t="n"/>
      <c r="L296" s="5" t="n"/>
      <c r="M296" s="9" t="n"/>
      <c r="N296" s="9" t="n"/>
      <c r="O296" s="9" t="n"/>
      <c r="P296" s="9" t="n"/>
      <c r="Q296" s="9" t="n"/>
      <c r="R296" s="8">
        <f>IF($A296="","",COUNTIF(INV_Product,$A296))</f>
        <v/>
      </c>
      <c r="S296" s="8">
        <f>IF($A296="","",COUNTIFS(INV_Product,$A296,INV_Status,"Available"))</f>
        <v/>
      </c>
      <c r="T296" s="8">
        <f>IF($D296="","",IF(COUNTIFS(DD_PairCategory,$C296,DD_Subcategory,$D296)&gt;0,"ok","✗ "&amp;$D296&amp;" is not under "&amp;$C296))</f>
        <v/>
      </c>
      <c r="U296" s="8">
        <f>IF($F296="","",IF(COUNTIFS(PM_Brand,$E296,PM_Model,$F296)&gt;1,"⚠ duplicate product",IF(AND($B296&lt;&gt;"",COUNTIF(PM_Short,$B296)&gt;1),"⚠ short code reused","")))</f>
        <v/>
      </c>
      <c r="V296" s="5" t="n"/>
    </row>
    <row r="297">
      <c r="A297" s="8">
        <f>IF($F297="","","PRD-"&amp;TEXT(ROW()-3,"0000"))</f>
        <v/>
      </c>
      <c r="B297" s="5" t="n"/>
      <c r="C297" s="5" t="n"/>
      <c r="D297" s="5" t="n"/>
      <c r="E297" s="5" t="n"/>
      <c r="F297" s="5" t="n"/>
      <c r="G297" s="5" t="n"/>
      <c r="H297" s="5" t="n"/>
      <c r="I297" s="5" t="n"/>
      <c r="J297" s="5" t="n"/>
      <c r="K297" s="5" t="n"/>
      <c r="L297" s="5" t="n"/>
      <c r="M297" s="9" t="n"/>
      <c r="N297" s="9" t="n"/>
      <c r="O297" s="9" t="n"/>
      <c r="P297" s="9" t="n"/>
      <c r="Q297" s="9" t="n"/>
      <c r="R297" s="8">
        <f>IF($A297="","",COUNTIF(INV_Product,$A297))</f>
        <v/>
      </c>
      <c r="S297" s="8">
        <f>IF($A297="","",COUNTIFS(INV_Product,$A297,INV_Status,"Available"))</f>
        <v/>
      </c>
      <c r="T297" s="8">
        <f>IF($D297="","",IF(COUNTIFS(DD_PairCategory,$C297,DD_Subcategory,$D297)&gt;0,"ok","✗ "&amp;$D297&amp;" is not under "&amp;$C297))</f>
        <v/>
      </c>
      <c r="U297" s="8">
        <f>IF($F297="","",IF(COUNTIFS(PM_Brand,$E297,PM_Model,$F297)&gt;1,"⚠ duplicate product",IF(AND($B297&lt;&gt;"",COUNTIF(PM_Short,$B297)&gt;1),"⚠ short code reused","")))</f>
        <v/>
      </c>
      <c r="V297" s="5" t="n"/>
    </row>
    <row r="298">
      <c r="A298" s="8">
        <f>IF($F298="","","PRD-"&amp;TEXT(ROW()-3,"0000"))</f>
        <v/>
      </c>
      <c r="B298" s="5" t="n"/>
      <c r="C298" s="5" t="n"/>
      <c r="D298" s="5" t="n"/>
      <c r="E298" s="5" t="n"/>
      <c r="F298" s="5" t="n"/>
      <c r="G298" s="5" t="n"/>
      <c r="H298" s="5" t="n"/>
      <c r="I298" s="5" t="n"/>
      <c r="J298" s="5" t="n"/>
      <c r="K298" s="5" t="n"/>
      <c r="L298" s="5" t="n"/>
      <c r="M298" s="9" t="n"/>
      <c r="N298" s="9" t="n"/>
      <c r="O298" s="9" t="n"/>
      <c r="P298" s="9" t="n"/>
      <c r="Q298" s="9" t="n"/>
      <c r="R298" s="8">
        <f>IF($A298="","",COUNTIF(INV_Product,$A298))</f>
        <v/>
      </c>
      <c r="S298" s="8">
        <f>IF($A298="","",COUNTIFS(INV_Product,$A298,INV_Status,"Available"))</f>
        <v/>
      </c>
      <c r="T298" s="8">
        <f>IF($D298="","",IF(COUNTIFS(DD_PairCategory,$C298,DD_Subcategory,$D298)&gt;0,"ok","✗ "&amp;$D298&amp;" is not under "&amp;$C298))</f>
        <v/>
      </c>
      <c r="U298" s="8">
        <f>IF($F298="","",IF(COUNTIFS(PM_Brand,$E298,PM_Model,$F298)&gt;1,"⚠ duplicate product",IF(AND($B298&lt;&gt;"",COUNTIF(PM_Short,$B298)&gt;1),"⚠ short code reused","")))</f>
        <v/>
      </c>
      <c r="V298" s="5" t="n"/>
    </row>
    <row r="299">
      <c r="A299" s="8">
        <f>IF($F299="","","PRD-"&amp;TEXT(ROW()-3,"0000"))</f>
        <v/>
      </c>
      <c r="B299" s="5" t="n"/>
      <c r="C299" s="5" t="n"/>
      <c r="D299" s="5" t="n"/>
      <c r="E299" s="5" t="n"/>
      <c r="F299" s="5" t="n"/>
      <c r="G299" s="5" t="n"/>
      <c r="H299" s="5" t="n"/>
      <c r="I299" s="5" t="n"/>
      <c r="J299" s="5" t="n"/>
      <c r="K299" s="5" t="n"/>
      <c r="L299" s="5" t="n"/>
      <c r="M299" s="9" t="n"/>
      <c r="N299" s="9" t="n"/>
      <c r="O299" s="9" t="n"/>
      <c r="P299" s="9" t="n"/>
      <c r="Q299" s="9" t="n"/>
      <c r="R299" s="8">
        <f>IF($A299="","",COUNTIF(INV_Product,$A299))</f>
        <v/>
      </c>
      <c r="S299" s="8">
        <f>IF($A299="","",COUNTIFS(INV_Product,$A299,INV_Status,"Available"))</f>
        <v/>
      </c>
      <c r="T299" s="8">
        <f>IF($D299="","",IF(COUNTIFS(DD_PairCategory,$C299,DD_Subcategory,$D299)&gt;0,"ok","✗ "&amp;$D299&amp;" is not under "&amp;$C299))</f>
        <v/>
      </c>
      <c r="U299" s="8">
        <f>IF($F299="","",IF(COUNTIFS(PM_Brand,$E299,PM_Model,$F299)&gt;1,"⚠ duplicate product",IF(AND($B299&lt;&gt;"",COUNTIF(PM_Short,$B299)&gt;1),"⚠ short code reused","")))</f>
        <v/>
      </c>
      <c r="V299" s="5" t="n"/>
    </row>
    <row r="300">
      <c r="A300" s="8">
        <f>IF($F300="","","PRD-"&amp;TEXT(ROW()-3,"0000"))</f>
        <v/>
      </c>
      <c r="B300" s="5" t="n"/>
      <c r="C300" s="5" t="n"/>
      <c r="D300" s="5" t="n"/>
      <c r="E300" s="5" t="n"/>
      <c r="F300" s="5" t="n"/>
      <c r="G300" s="5" t="n"/>
      <c r="H300" s="5" t="n"/>
      <c r="I300" s="5" t="n"/>
      <c r="J300" s="5" t="n"/>
      <c r="K300" s="5" t="n"/>
      <c r="L300" s="5" t="n"/>
      <c r="M300" s="9" t="n"/>
      <c r="N300" s="9" t="n"/>
      <c r="O300" s="9" t="n"/>
      <c r="P300" s="9" t="n"/>
      <c r="Q300" s="9" t="n"/>
      <c r="R300" s="8">
        <f>IF($A300="","",COUNTIF(INV_Product,$A300))</f>
        <v/>
      </c>
      <c r="S300" s="8">
        <f>IF($A300="","",COUNTIFS(INV_Product,$A300,INV_Status,"Available"))</f>
        <v/>
      </c>
      <c r="T300" s="8">
        <f>IF($D300="","",IF(COUNTIFS(DD_PairCategory,$C300,DD_Subcategory,$D300)&gt;0,"ok","✗ "&amp;$D300&amp;" is not under "&amp;$C300))</f>
        <v/>
      </c>
      <c r="U300" s="8">
        <f>IF($F300="","",IF(COUNTIFS(PM_Brand,$E300,PM_Model,$F300)&gt;1,"⚠ duplicate product",IF(AND($B300&lt;&gt;"",COUNTIF(PM_Short,$B300)&gt;1),"⚠ short code reused","")))</f>
        <v/>
      </c>
      <c r="V300" s="5" t="n"/>
    </row>
    <row r="301">
      <c r="A301" s="8">
        <f>IF($F301="","","PRD-"&amp;TEXT(ROW()-3,"0000"))</f>
        <v/>
      </c>
      <c r="B301" s="5" t="n"/>
      <c r="C301" s="5" t="n"/>
      <c r="D301" s="5" t="n"/>
      <c r="E301" s="5" t="n"/>
      <c r="F301" s="5" t="n"/>
      <c r="G301" s="5" t="n"/>
      <c r="H301" s="5" t="n"/>
      <c r="I301" s="5" t="n"/>
      <c r="J301" s="5" t="n"/>
      <c r="K301" s="5" t="n"/>
      <c r="L301" s="5" t="n"/>
      <c r="M301" s="9" t="n"/>
      <c r="N301" s="9" t="n"/>
      <c r="O301" s="9" t="n"/>
      <c r="P301" s="9" t="n"/>
      <c r="Q301" s="9" t="n"/>
      <c r="R301" s="8">
        <f>IF($A301="","",COUNTIF(INV_Product,$A301))</f>
        <v/>
      </c>
      <c r="S301" s="8">
        <f>IF($A301="","",COUNTIFS(INV_Product,$A301,INV_Status,"Available"))</f>
        <v/>
      </c>
      <c r="T301" s="8">
        <f>IF($D301="","",IF(COUNTIFS(DD_PairCategory,$C301,DD_Subcategory,$D301)&gt;0,"ok","✗ "&amp;$D301&amp;" is not under "&amp;$C301))</f>
        <v/>
      </c>
      <c r="U301" s="8">
        <f>IF($F301="","",IF(COUNTIFS(PM_Brand,$E301,PM_Model,$F301)&gt;1,"⚠ duplicate product",IF(AND($B301&lt;&gt;"",COUNTIF(PM_Short,$B301)&gt;1),"⚠ short code reused","")))</f>
        <v/>
      </c>
      <c r="V301" s="5" t="n"/>
    </row>
    <row r="302">
      <c r="A302" s="8">
        <f>IF($F302="","","PRD-"&amp;TEXT(ROW()-3,"0000"))</f>
        <v/>
      </c>
      <c r="B302" s="5" t="n"/>
      <c r="C302" s="5" t="n"/>
      <c r="D302" s="5" t="n"/>
      <c r="E302" s="5" t="n"/>
      <c r="F302" s="5" t="n"/>
      <c r="G302" s="5" t="n"/>
      <c r="H302" s="5" t="n"/>
      <c r="I302" s="5" t="n"/>
      <c r="J302" s="5" t="n"/>
      <c r="K302" s="5" t="n"/>
      <c r="L302" s="5" t="n"/>
      <c r="M302" s="9" t="n"/>
      <c r="N302" s="9" t="n"/>
      <c r="O302" s="9" t="n"/>
      <c r="P302" s="9" t="n"/>
      <c r="Q302" s="9" t="n"/>
      <c r="R302" s="8">
        <f>IF($A302="","",COUNTIF(INV_Product,$A302))</f>
        <v/>
      </c>
      <c r="S302" s="8">
        <f>IF($A302="","",COUNTIFS(INV_Product,$A302,INV_Status,"Available"))</f>
        <v/>
      </c>
      <c r="T302" s="8">
        <f>IF($D302="","",IF(COUNTIFS(DD_PairCategory,$C302,DD_Subcategory,$D302)&gt;0,"ok","✗ "&amp;$D302&amp;" is not under "&amp;$C302))</f>
        <v/>
      </c>
      <c r="U302" s="8">
        <f>IF($F302="","",IF(COUNTIFS(PM_Brand,$E302,PM_Model,$F302)&gt;1,"⚠ duplicate product",IF(AND($B302&lt;&gt;"",COUNTIF(PM_Short,$B302)&gt;1),"⚠ short code reused","")))</f>
        <v/>
      </c>
      <c r="V302" s="5" t="n"/>
    </row>
    <row r="303">
      <c r="A303" s="8">
        <f>IF($F303="","","PRD-"&amp;TEXT(ROW()-3,"0000"))</f>
        <v/>
      </c>
      <c r="B303" s="5" t="n"/>
      <c r="C303" s="5" t="n"/>
      <c r="D303" s="5" t="n"/>
      <c r="E303" s="5" t="n"/>
      <c r="F303" s="5" t="n"/>
      <c r="G303" s="5" t="n"/>
      <c r="H303" s="5" t="n"/>
      <c r="I303" s="5" t="n"/>
      <c r="J303" s="5" t="n"/>
      <c r="K303" s="5" t="n"/>
      <c r="L303" s="5" t="n"/>
      <c r="M303" s="9" t="n"/>
      <c r="N303" s="9" t="n"/>
      <c r="O303" s="9" t="n"/>
      <c r="P303" s="9" t="n"/>
      <c r="Q303" s="9" t="n"/>
      <c r="R303" s="8">
        <f>IF($A303="","",COUNTIF(INV_Product,$A303))</f>
        <v/>
      </c>
      <c r="S303" s="8">
        <f>IF($A303="","",COUNTIFS(INV_Product,$A303,INV_Status,"Available"))</f>
        <v/>
      </c>
      <c r="T303" s="8">
        <f>IF($D303="","",IF(COUNTIFS(DD_PairCategory,$C303,DD_Subcategory,$D303)&gt;0,"ok","✗ "&amp;$D303&amp;" is not under "&amp;$C303))</f>
        <v/>
      </c>
      <c r="U303" s="8">
        <f>IF($F303="","",IF(COUNTIFS(PM_Brand,$E303,PM_Model,$F303)&gt;1,"⚠ duplicate product",IF(AND($B303&lt;&gt;"",COUNTIF(PM_Short,$B303)&gt;1),"⚠ short code reused","")))</f>
        <v/>
      </c>
      <c r="V303" s="5" t="n"/>
    </row>
    <row r="304">
      <c r="A304" s="8">
        <f>IF($F304="","","PRD-"&amp;TEXT(ROW()-3,"0000"))</f>
        <v/>
      </c>
      <c r="B304" s="5" t="n"/>
      <c r="C304" s="5" t="n"/>
      <c r="D304" s="5" t="n"/>
      <c r="E304" s="5" t="n"/>
      <c r="F304" s="5" t="n"/>
      <c r="G304" s="5" t="n"/>
      <c r="H304" s="5" t="n"/>
      <c r="I304" s="5" t="n"/>
      <c r="J304" s="5" t="n"/>
      <c r="K304" s="5" t="n"/>
      <c r="L304" s="5" t="n"/>
      <c r="M304" s="9" t="n"/>
      <c r="N304" s="9" t="n"/>
      <c r="O304" s="9" t="n"/>
      <c r="P304" s="9" t="n"/>
      <c r="Q304" s="9" t="n"/>
      <c r="R304" s="8">
        <f>IF($A304="","",COUNTIF(INV_Product,$A304))</f>
        <v/>
      </c>
      <c r="S304" s="8">
        <f>IF($A304="","",COUNTIFS(INV_Product,$A304,INV_Status,"Available"))</f>
        <v/>
      </c>
      <c r="T304" s="8">
        <f>IF($D304="","",IF(COUNTIFS(DD_PairCategory,$C304,DD_Subcategory,$D304)&gt;0,"ok","✗ "&amp;$D304&amp;" is not under "&amp;$C304))</f>
        <v/>
      </c>
      <c r="U304" s="8">
        <f>IF($F304="","",IF(COUNTIFS(PM_Brand,$E304,PM_Model,$F304)&gt;1,"⚠ duplicate product",IF(AND($B304&lt;&gt;"",COUNTIF(PM_Short,$B304)&gt;1),"⚠ short code reused","")))</f>
        <v/>
      </c>
      <c r="V304" s="5" t="n"/>
    </row>
    <row r="305">
      <c r="A305" s="8">
        <f>IF($F305="","","PRD-"&amp;TEXT(ROW()-3,"0000"))</f>
        <v/>
      </c>
      <c r="B305" s="5" t="n"/>
      <c r="C305" s="5" t="n"/>
      <c r="D305" s="5" t="n"/>
      <c r="E305" s="5" t="n"/>
      <c r="F305" s="5" t="n"/>
      <c r="G305" s="5" t="n"/>
      <c r="H305" s="5" t="n"/>
      <c r="I305" s="5" t="n"/>
      <c r="J305" s="5" t="n"/>
      <c r="K305" s="5" t="n"/>
      <c r="L305" s="5" t="n"/>
      <c r="M305" s="9" t="n"/>
      <c r="N305" s="9" t="n"/>
      <c r="O305" s="9" t="n"/>
      <c r="P305" s="9" t="n"/>
      <c r="Q305" s="9" t="n"/>
      <c r="R305" s="8">
        <f>IF($A305="","",COUNTIF(INV_Product,$A305))</f>
        <v/>
      </c>
      <c r="S305" s="8">
        <f>IF($A305="","",COUNTIFS(INV_Product,$A305,INV_Status,"Available"))</f>
        <v/>
      </c>
      <c r="T305" s="8">
        <f>IF($D305="","",IF(COUNTIFS(DD_PairCategory,$C305,DD_Subcategory,$D305)&gt;0,"ok","✗ "&amp;$D305&amp;" is not under "&amp;$C305))</f>
        <v/>
      </c>
      <c r="U305" s="8">
        <f>IF($F305="","",IF(COUNTIFS(PM_Brand,$E305,PM_Model,$F305)&gt;1,"⚠ duplicate product",IF(AND($B305&lt;&gt;"",COUNTIF(PM_Short,$B305)&gt;1),"⚠ short code reused","")))</f>
        <v/>
      </c>
      <c r="V305" s="5" t="n"/>
    </row>
    <row r="306">
      <c r="A306" s="8">
        <f>IF($F306="","","PRD-"&amp;TEXT(ROW()-3,"0000"))</f>
        <v/>
      </c>
      <c r="B306" s="5" t="n"/>
      <c r="C306" s="5" t="n"/>
      <c r="D306" s="5" t="n"/>
      <c r="E306" s="5" t="n"/>
      <c r="F306" s="5" t="n"/>
      <c r="G306" s="5" t="n"/>
      <c r="H306" s="5" t="n"/>
      <c r="I306" s="5" t="n"/>
      <c r="J306" s="5" t="n"/>
      <c r="K306" s="5" t="n"/>
      <c r="L306" s="5" t="n"/>
      <c r="M306" s="9" t="n"/>
      <c r="N306" s="9" t="n"/>
      <c r="O306" s="9" t="n"/>
      <c r="P306" s="9" t="n"/>
      <c r="Q306" s="9" t="n"/>
      <c r="R306" s="8">
        <f>IF($A306="","",COUNTIF(INV_Product,$A306))</f>
        <v/>
      </c>
      <c r="S306" s="8">
        <f>IF($A306="","",COUNTIFS(INV_Product,$A306,INV_Status,"Available"))</f>
        <v/>
      </c>
      <c r="T306" s="8">
        <f>IF($D306="","",IF(COUNTIFS(DD_PairCategory,$C306,DD_Subcategory,$D306)&gt;0,"ok","✗ "&amp;$D306&amp;" is not under "&amp;$C306))</f>
        <v/>
      </c>
      <c r="U306" s="8">
        <f>IF($F306="","",IF(COUNTIFS(PM_Brand,$E306,PM_Model,$F306)&gt;1,"⚠ duplicate product",IF(AND($B306&lt;&gt;"",COUNTIF(PM_Short,$B306)&gt;1),"⚠ short code reused","")))</f>
        <v/>
      </c>
      <c r="V306" s="5" t="n"/>
    </row>
    <row r="307">
      <c r="A307" s="8">
        <f>IF($F307="","","PRD-"&amp;TEXT(ROW()-3,"0000"))</f>
        <v/>
      </c>
      <c r="B307" s="5" t="n"/>
      <c r="C307" s="5" t="n"/>
      <c r="D307" s="5" t="n"/>
      <c r="E307" s="5" t="n"/>
      <c r="F307" s="5" t="n"/>
      <c r="G307" s="5" t="n"/>
      <c r="H307" s="5" t="n"/>
      <c r="I307" s="5" t="n"/>
      <c r="J307" s="5" t="n"/>
      <c r="K307" s="5" t="n"/>
      <c r="L307" s="5" t="n"/>
      <c r="M307" s="9" t="n"/>
      <c r="N307" s="9" t="n"/>
      <c r="O307" s="9" t="n"/>
      <c r="P307" s="9" t="n"/>
      <c r="Q307" s="9" t="n"/>
      <c r="R307" s="8">
        <f>IF($A307="","",COUNTIF(INV_Product,$A307))</f>
        <v/>
      </c>
      <c r="S307" s="8">
        <f>IF($A307="","",COUNTIFS(INV_Product,$A307,INV_Status,"Available"))</f>
        <v/>
      </c>
      <c r="T307" s="8">
        <f>IF($D307="","",IF(COUNTIFS(DD_PairCategory,$C307,DD_Subcategory,$D307)&gt;0,"ok","✗ "&amp;$D307&amp;" is not under "&amp;$C307))</f>
        <v/>
      </c>
      <c r="U307" s="8">
        <f>IF($F307="","",IF(COUNTIFS(PM_Brand,$E307,PM_Model,$F307)&gt;1,"⚠ duplicate product",IF(AND($B307&lt;&gt;"",COUNTIF(PM_Short,$B307)&gt;1),"⚠ short code reused","")))</f>
        <v/>
      </c>
      <c r="V307" s="5" t="n"/>
    </row>
    <row r="308">
      <c r="A308" s="8">
        <f>IF($F308="","","PRD-"&amp;TEXT(ROW()-3,"0000"))</f>
        <v/>
      </c>
      <c r="B308" s="5" t="n"/>
      <c r="C308" s="5" t="n"/>
      <c r="D308" s="5" t="n"/>
      <c r="E308" s="5" t="n"/>
      <c r="F308" s="5" t="n"/>
      <c r="G308" s="5" t="n"/>
      <c r="H308" s="5" t="n"/>
      <c r="I308" s="5" t="n"/>
      <c r="J308" s="5" t="n"/>
      <c r="K308" s="5" t="n"/>
      <c r="L308" s="5" t="n"/>
      <c r="M308" s="9" t="n"/>
      <c r="N308" s="9" t="n"/>
      <c r="O308" s="9" t="n"/>
      <c r="P308" s="9" t="n"/>
      <c r="Q308" s="9" t="n"/>
      <c r="R308" s="8">
        <f>IF($A308="","",COUNTIF(INV_Product,$A308))</f>
        <v/>
      </c>
      <c r="S308" s="8">
        <f>IF($A308="","",COUNTIFS(INV_Product,$A308,INV_Status,"Available"))</f>
        <v/>
      </c>
      <c r="T308" s="8">
        <f>IF($D308="","",IF(COUNTIFS(DD_PairCategory,$C308,DD_Subcategory,$D308)&gt;0,"ok","✗ "&amp;$D308&amp;" is not under "&amp;$C308))</f>
        <v/>
      </c>
      <c r="U308" s="8">
        <f>IF($F308="","",IF(COUNTIFS(PM_Brand,$E308,PM_Model,$F308)&gt;1,"⚠ duplicate product",IF(AND($B308&lt;&gt;"",COUNTIF(PM_Short,$B308)&gt;1),"⚠ short code reused","")))</f>
        <v/>
      </c>
      <c r="V308" s="5" t="n"/>
    </row>
    <row r="309">
      <c r="A309" s="8">
        <f>IF($F309="","","PRD-"&amp;TEXT(ROW()-3,"0000"))</f>
        <v/>
      </c>
      <c r="B309" s="5" t="n"/>
      <c r="C309" s="5" t="n"/>
      <c r="D309" s="5" t="n"/>
      <c r="E309" s="5" t="n"/>
      <c r="F309" s="5" t="n"/>
      <c r="G309" s="5" t="n"/>
      <c r="H309" s="5" t="n"/>
      <c r="I309" s="5" t="n"/>
      <c r="J309" s="5" t="n"/>
      <c r="K309" s="5" t="n"/>
      <c r="L309" s="5" t="n"/>
      <c r="M309" s="9" t="n"/>
      <c r="N309" s="9" t="n"/>
      <c r="O309" s="9" t="n"/>
      <c r="P309" s="9" t="n"/>
      <c r="Q309" s="9" t="n"/>
      <c r="R309" s="8">
        <f>IF($A309="","",COUNTIF(INV_Product,$A309))</f>
        <v/>
      </c>
      <c r="S309" s="8">
        <f>IF($A309="","",COUNTIFS(INV_Product,$A309,INV_Status,"Available"))</f>
        <v/>
      </c>
      <c r="T309" s="8">
        <f>IF($D309="","",IF(COUNTIFS(DD_PairCategory,$C309,DD_Subcategory,$D309)&gt;0,"ok","✗ "&amp;$D309&amp;" is not under "&amp;$C309))</f>
        <v/>
      </c>
      <c r="U309" s="8">
        <f>IF($F309="","",IF(COUNTIFS(PM_Brand,$E309,PM_Model,$F309)&gt;1,"⚠ duplicate product",IF(AND($B309&lt;&gt;"",COUNTIF(PM_Short,$B309)&gt;1),"⚠ short code reused","")))</f>
        <v/>
      </c>
      <c r="V309" s="5" t="n"/>
    </row>
    <row r="310">
      <c r="A310" s="8">
        <f>IF($F310="","","PRD-"&amp;TEXT(ROW()-3,"0000"))</f>
        <v/>
      </c>
      <c r="B310" s="5" t="n"/>
      <c r="C310" s="5" t="n"/>
      <c r="D310" s="5" t="n"/>
      <c r="E310" s="5" t="n"/>
      <c r="F310" s="5" t="n"/>
      <c r="G310" s="5" t="n"/>
      <c r="H310" s="5" t="n"/>
      <c r="I310" s="5" t="n"/>
      <c r="J310" s="5" t="n"/>
      <c r="K310" s="5" t="n"/>
      <c r="L310" s="5" t="n"/>
      <c r="M310" s="9" t="n"/>
      <c r="N310" s="9" t="n"/>
      <c r="O310" s="9" t="n"/>
      <c r="P310" s="9" t="n"/>
      <c r="Q310" s="9" t="n"/>
      <c r="R310" s="8">
        <f>IF($A310="","",COUNTIF(INV_Product,$A310))</f>
        <v/>
      </c>
      <c r="S310" s="8">
        <f>IF($A310="","",COUNTIFS(INV_Product,$A310,INV_Status,"Available"))</f>
        <v/>
      </c>
      <c r="T310" s="8">
        <f>IF($D310="","",IF(COUNTIFS(DD_PairCategory,$C310,DD_Subcategory,$D310)&gt;0,"ok","✗ "&amp;$D310&amp;" is not under "&amp;$C310))</f>
        <v/>
      </c>
      <c r="U310" s="8">
        <f>IF($F310="","",IF(COUNTIFS(PM_Brand,$E310,PM_Model,$F310)&gt;1,"⚠ duplicate product",IF(AND($B310&lt;&gt;"",COUNTIF(PM_Short,$B310)&gt;1),"⚠ short code reused","")))</f>
        <v/>
      </c>
      <c r="V310" s="5" t="n"/>
    </row>
    <row r="311">
      <c r="A311" s="8">
        <f>IF($F311="","","PRD-"&amp;TEXT(ROW()-3,"0000"))</f>
        <v/>
      </c>
      <c r="B311" s="5" t="n"/>
      <c r="C311" s="5" t="n"/>
      <c r="D311" s="5" t="n"/>
      <c r="E311" s="5" t="n"/>
      <c r="F311" s="5" t="n"/>
      <c r="G311" s="5" t="n"/>
      <c r="H311" s="5" t="n"/>
      <c r="I311" s="5" t="n"/>
      <c r="J311" s="5" t="n"/>
      <c r="K311" s="5" t="n"/>
      <c r="L311" s="5" t="n"/>
      <c r="M311" s="9" t="n"/>
      <c r="N311" s="9" t="n"/>
      <c r="O311" s="9" t="n"/>
      <c r="P311" s="9" t="n"/>
      <c r="Q311" s="9" t="n"/>
      <c r="R311" s="8">
        <f>IF($A311="","",COUNTIF(INV_Product,$A311))</f>
        <v/>
      </c>
      <c r="S311" s="8">
        <f>IF($A311="","",COUNTIFS(INV_Product,$A311,INV_Status,"Available"))</f>
        <v/>
      </c>
      <c r="T311" s="8">
        <f>IF($D311="","",IF(COUNTIFS(DD_PairCategory,$C311,DD_Subcategory,$D311)&gt;0,"ok","✗ "&amp;$D311&amp;" is not under "&amp;$C311))</f>
        <v/>
      </c>
      <c r="U311" s="8">
        <f>IF($F311="","",IF(COUNTIFS(PM_Brand,$E311,PM_Model,$F311)&gt;1,"⚠ duplicate product",IF(AND($B311&lt;&gt;"",COUNTIF(PM_Short,$B311)&gt;1),"⚠ short code reused","")))</f>
        <v/>
      </c>
      <c r="V311" s="5" t="n"/>
    </row>
    <row r="312">
      <c r="A312" s="8">
        <f>IF($F312="","","PRD-"&amp;TEXT(ROW()-3,"0000"))</f>
        <v/>
      </c>
      <c r="B312" s="5" t="n"/>
      <c r="C312" s="5" t="n"/>
      <c r="D312" s="5" t="n"/>
      <c r="E312" s="5" t="n"/>
      <c r="F312" s="5" t="n"/>
      <c r="G312" s="5" t="n"/>
      <c r="H312" s="5" t="n"/>
      <c r="I312" s="5" t="n"/>
      <c r="J312" s="5" t="n"/>
      <c r="K312" s="5" t="n"/>
      <c r="L312" s="5" t="n"/>
      <c r="M312" s="9" t="n"/>
      <c r="N312" s="9" t="n"/>
      <c r="O312" s="9" t="n"/>
      <c r="P312" s="9" t="n"/>
      <c r="Q312" s="9" t="n"/>
      <c r="R312" s="8">
        <f>IF($A312="","",COUNTIF(INV_Product,$A312))</f>
        <v/>
      </c>
      <c r="S312" s="8">
        <f>IF($A312="","",COUNTIFS(INV_Product,$A312,INV_Status,"Available"))</f>
        <v/>
      </c>
      <c r="T312" s="8">
        <f>IF($D312="","",IF(COUNTIFS(DD_PairCategory,$C312,DD_Subcategory,$D312)&gt;0,"ok","✗ "&amp;$D312&amp;" is not under "&amp;$C312))</f>
        <v/>
      </c>
      <c r="U312" s="8">
        <f>IF($F312="","",IF(COUNTIFS(PM_Brand,$E312,PM_Model,$F312)&gt;1,"⚠ duplicate product",IF(AND($B312&lt;&gt;"",COUNTIF(PM_Short,$B312)&gt;1),"⚠ short code reused","")))</f>
        <v/>
      </c>
      <c r="V312" s="5" t="n"/>
    </row>
    <row r="313">
      <c r="A313" s="8">
        <f>IF($F313="","","PRD-"&amp;TEXT(ROW()-3,"0000"))</f>
        <v/>
      </c>
      <c r="B313" s="5" t="n"/>
      <c r="C313" s="5" t="n"/>
      <c r="D313" s="5" t="n"/>
      <c r="E313" s="5" t="n"/>
      <c r="F313" s="5" t="n"/>
      <c r="G313" s="5" t="n"/>
      <c r="H313" s="5" t="n"/>
      <c r="I313" s="5" t="n"/>
      <c r="J313" s="5" t="n"/>
      <c r="K313" s="5" t="n"/>
      <c r="L313" s="5" t="n"/>
      <c r="M313" s="9" t="n"/>
      <c r="N313" s="9" t="n"/>
      <c r="O313" s="9" t="n"/>
      <c r="P313" s="9" t="n"/>
      <c r="Q313" s="9" t="n"/>
      <c r="R313" s="8">
        <f>IF($A313="","",COUNTIF(INV_Product,$A313))</f>
        <v/>
      </c>
      <c r="S313" s="8">
        <f>IF($A313="","",COUNTIFS(INV_Product,$A313,INV_Status,"Available"))</f>
        <v/>
      </c>
      <c r="T313" s="8">
        <f>IF($D313="","",IF(COUNTIFS(DD_PairCategory,$C313,DD_Subcategory,$D313)&gt;0,"ok","✗ "&amp;$D313&amp;" is not under "&amp;$C313))</f>
        <v/>
      </c>
      <c r="U313" s="8">
        <f>IF($F313="","",IF(COUNTIFS(PM_Brand,$E313,PM_Model,$F313)&gt;1,"⚠ duplicate product",IF(AND($B313&lt;&gt;"",COUNTIF(PM_Short,$B313)&gt;1),"⚠ short code reused","")))</f>
        <v/>
      </c>
      <c r="V313" s="5" t="n"/>
    </row>
    <row r="314">
      <c r="A314" s="8">
        <f>IF($F314="","","PRD-"&amp;TEXT(ROW()-3,"0000"))</f>
        <v/>
      </c>
      <c r="B314" s="5" t="n"/>
      <c r="C314" s="5" t="n"/>
      <c r="D314" s="5" t="n"/>
      <c r="E314" s="5" t="n"/>
      <c r="F314" s="5" t="n"/>
      <c r="G314" s="5" t="n"/>
      <c r="H314" s="5" t="n"/>
      <c r="I314" s="5" t="n"/>
      <c r="J314" s="5" t="n"/>
      <c r="K314" s="5" t="n"/>
      <c r="L314" s="5" t="n"/>
      <c r="M314" s="9" t="n"/>
      <c r="N314" s="9" t="n"/>
      <c r="O314" s="9" t="n"/>
      <c r="P314" s="9" t="n"/>
      <c r="Q314" s="9" t="n"/>
      <c r="R314" s="8">
        <f>IF($A314="","",COUNTIF(INV_Product,$A314))</f>
        <v/>
      </c>
      <c r="S314" s="8">
        <f>IF($A314="","",COUNTIFS(INV_Product,$A314,INV_Status,"Available"))</f>
        <v/>
      </c>
      <c r="T314" s="8">
        <f>IF($D314="","",IF(COUNTIFS(DD_PairCategory,$C314,DD_Subcategory,$D314)&gt;0,"ok","✗ "&amp;$D314&amp;" is not under "&amp;$C314))</f>
        <v/>
      </c>
      <c r="U314" s="8">
        <f>IF($F314="","",IF(COUNTIFS(PM_Brand,$E314,PM_Model,$F314)&gt;1,"⚠ duplicate product",IF(AND($B314&lt;&gt;"",COUNTIF(PM_Short,$B314)&gt;1),"⚠ short code reused","")))</f>
        <v/>
      </c>
      <c r="V314" s="5" t="n"/>
    </row>
    <row r="315">
      <c r="A315" s="8">
        <f>IF($F315="","","PRD-"&amp;TEXT(ROW()-3,"0000"))</f>
        <v/>
      </c>
      <c r="B315" s="5" t="n"/>
      <c r="C315" s="5" t="n"/>
      <c r="D315" s="5" t="n"/>
      <c r="E315" s="5" t="n"/>
      <c r="F315" s="5" t="n"/>
      <c r="G315" s="5" t="n"/>
      <c r="H315" s="5" t="n"/>
      <c r="I315" s="5" t="n"/>
      <c r="J315" s="5" t="n"/>
      <c r="K315" s="5" t="n"/>
      <c r="L315" s="5" t="n"/>
      <c r="M315" s="9" t="n"/>
      <c r="N315" s="9" t="n"/>
      <c r="O315" s="9" t="n"/>
      <c r="P315" s="9" t="n"/>
      <c r="Q315" s="9" t="n"/>
      <c r="R315" s="8">
        <f>IF($A315="","",COUNTIF(INV_Product,$A315))</f>
        <v/>
      </c>
      <c r="S315" s="8">
        <f>IF($A315="","",COUNTIFS(INV_Product,$A315,INV_Status,"Available"))</f>
        <v/>
      </c>
      <c r="T315" s="8">
        <f>IF($D315="","",IF(COUNTIFS(DD_PairCategory,$C315,DD_Subcategory,$D315)&gt;0,"ok","✗ "&amp;$D315&amp;" is not under "&amp;$C315))</f>
        <v/>
      </c>
      <c r="U315" s="8">
        <f>IF($F315="","",IF(COUNTIFS(PM_Brand,$E315,PM_Model,$F315)&gt;1,"⚠ duplicate product",IF(AND($B315&lt;&gt;"",COUNTIF(PM_Short,$B315)&gt;1),"⚠ short code reused","")))</f>
        <v/>
      </c>
      <c r="V315" s="5" t="n"/>
    </row>
    <row r="316">
      <c r="A316" s="8">
        <f>IF($F316="","","PRD-"&amp;TEXT(ROW()-3,"0000"))</f>
        <v/>
      </c>
      <c r="B316" s="5" t="n"/>
      <c r="C316" s="5" t="n"/>
      <c r="D316" s="5" t="n"/>
      <c r="E316" s="5" t="n"/>
      <c r="F316" s="5" t="n"/>
      <c r="G316" s="5" t="n"/>
      <c r="H316" s="5" t="n"/>
      <c r="I316" s="5" t="n"/>
      <c r="J316" s="5" t="n"/>
      <c r="K316" s="5" t="n"/>
      <c r="L316" s="5" t="n"/>
      <c r="M316" s="9" t="n"/>
      <c r="N316" s="9" t="n"/>
      <c r="O316" s="9" t="n"/>
      <c r="P316" s="9" t="n"/>
      <c r="Q316" s="9" t="n"/>
      <c r="R316" s="8">
        <f>IF($A316="","",COUNTIF(INV_Product,$A316))</f>
        <v/>
      </c>
      <c r="S316" s="8">
        <f>IF($A316="","",COUNTIFS(INV_Product,$A316,INV_Status,"Available"))</f>
        <v/>
      </c>
      <c r="T316" s="8">
        <f>IF($D316="","",IF(COUNTIFS(DD_PairCategory,$C316,DD_Subcategory,$D316)&gt;0,"ok","✗ "&amp;$D316&amp;" is not under "&amp;$C316))</f>
        <v/>
      </c>
      <c r="U316" s="8">
        <f>IF($F316="","",IF(COUNTIFS(PM_Brand,$E316,PM_Model,$F316)&gt;1,"⚠ duplicate product",IF(AND($B316&lt;&gt;"",COUNTIF(PM_Short,$B316)&gt;1),"⚠ short code reused","")))</f>
        <v/>
      </c>
      <c r="V316" s="5" t="n"/>
    </row>
    <row r="317">
      <c r="A317" s="8">
        <f>IF($F317="","","PRD-"&amp;TEXT(ROW()-3,"0000"))</f>
        <v/>
      </c>
      <c r="B317" s="5" t="n"/>
      <c r="C317" s="5" t="n"/>
      <c r="D317" s="5" t="n"/>
      <c r="E317" s="5" t="n"/>
      <c r="F317" s="5" t="n"/>
      <c r="G317" s="5" t="n"/>
      <c r="H317" s="5" t="n"/>
      <c r="I317" s="5" t="n"/>
      <c r="J317" s="5" t="n"/>
      <c r="K317" s="5" t="n"/>
      <c r="L317" s="5" t="n"/>
      <c r="M317" s="9" t="n"/>
      <c r="N317" s="9" t="n"/>
      <c r="O317" s="9" t="n"/>
      <c r="P317" s="9" t="n"/>
      <c r="Q317" s="9" t="n"/>
      <c r="R317" s="8">
        <f>IF($A317="","",COUNTIF(INV_Product,$A317))</f>
        <v/>
      </c>
      <c r="S317" s="8">
        <f>IF($A317="","",COUNTIFS(INV_Product,$A317,INV_Status,"Available"))</f>
        <v/>
      </c>
      <c r="T317" s="8">
        <f>IF($D317="","",IF(COUNTIFS(DD_PairCategory,$C317,DD_Subcategory,$D317)&gt;0,"ok","✗ "&amp;$D317&amp;" is not under "&amp;$C317))</f>
        <v/>
      </c>
      <c r="U317" s="8">
        <f>IF($F317="","",IF(COUNTIFS(PM_Brand,$E317,PM_Model,$F317)&gt;1,"⚠ duplicate product",IF(AND($B317&lt;&gt;"",COUNTIF(PM_Short,$B317)&gt;1),"⚠ short code reused","")))</f>
        <v/>
      </c>
      <c r="V317" s="5" t="n"/>
    </row>
    <row r="318">
      <c r="A318" s="8">
        <f>IF($F318="","","PRD-"&amp;TEXT(ROW()-3,"0000"))</f>
        <v/>
      </c>
      <c r="B318" s="5" t="n"/>
      <c r="C318" s="5" t="n"/>
      <c r="D318" s="5" t="n"/>
      <c r="E318" s="5" t="n"/>
      <c r="F318" s="5" t="n"/>
      <c r="G318" s="5" t="n"/>
      <c r="H318" s="5" t="n"/>
      <c r="I318" s="5" t="n"/>
      <c r="J318" s="5" t="n"/>
      <c r="K318" s="5" t="n"/>
      <c r="L318" s="5" t="n"/>
      <c r="M318" s="9" t="n"/>
      <c r="N318" s="9" t="n"/>
      <c r="O318" s="9" t="n"/>
      <c r="P318" s="9" t="n"/>
      <c r="Q318" s="9" t="n"/>
      <c r="R318" s="8">
        <f>IF($A318="","",COUNTIF(INV_Product,$A318))</f>
        <v/>
      </c>
      <c r="S318" s="8">
        <f>IF($A318="","",COUNTIFS(INV_Product,$A318,INV_Status,"Available"))</f>
        <v/>
      </c>
      <c r="T318" s="8">
        <f>IF($D318="","",IF(COUNTIFS(DD_PairCategory,$C318,DD_Subcategory,$D318)&gt;0,"ok","✗ "&amp;$D318&amp;" is not under "&amp;$C318))</f>
        <v/>
      </c>
      <c r="U318" s="8">
        <f>IF($F318="","",IF(COUNTIFS(PM_Brand,$E318,PM_Model,$F318)&gt;1,"⚠ duplicate product",IF(AND($B318&lt;&gt;"",COUNTIF(PM_Short,$B318)&gt;1),"⚠ short code reused","")))</f>
        <v/>
      </c>
      <c r="V318" s="5" t="n"/>
    </row>
    <row r="319">
      <c r="A319" s="8">
        <f>IF($F319="","","PRD-"&amp;TEXT(ROW()-3,"0000"))</f>
        <v/>
      </c>
      <c r="B319" s="5" t="n"/>
      <c r="C319" s="5" t="n"/>
      <c r="D319" s="5" t="n"/>
      <c r="E319" s="5" t="n"/>
      <c r="F319" s="5" t="n"/>
      <c r="G319" s="5" t="n"/>
      <c r="H319" s="5" t="n"/>
      <c r="I319" s="5" t="n"/>
      <c r="J319" s="5" t="n"/>
      <c r="K319" s="5" t="n"/>
      <c r="L319" s="5" t="n"/>
      <c r="M319" s="9" t="n"/>
      <c r="N319" s="9" t="n"/>
      <c r="O319" s="9" t="n"/>
      <c r="P319" s="9" t="n"/>
      <c r="Q319" s="9" t="n"/>
      <c r="R319" s="8">
        <f>IF($A319="","",COUNTIF(INV_Product,$A319))</f>
        <v/>
      </c>
      <c r="S319" s="8">
        <f>IF($A319="","",COUNTIFS(INV_Product,$A319,INV_Status,"Available"))</f>
        <v/>
      </c>
      <c r="T319" s="8">
        <f>IF($D319="","",IF(COUNTIFS(DD_PairCategory,$C319,DD_Subcategory,$D319)&gt;0,"ok","✗ "&amp;$D319&amp;" is not under "&amp;$C319))</f>
        <v/>
      </c>
      <c r="U319" s="8">
        <f>IF($F319="","",IF(COUNTIFS(PM_Brand,$E319,PM_Model,$F319)&gt;1,"⚠ duplicate product",IF(AND($B319&lt;&gt;"",COUNTIF(PM_Short,$B319)&gt;1),"⚠ short code reused","")))</f>
        <v/>
      </c>
      <c r="V319" s="5" t="n"/>
    </row>
    <row r="320">
      <c r="A320" s="8">
        <f>IF($F320="","","PRD-"&amp;TEXT(ROW()-3,"0000"))</f>
        <v/>
      </c>
      <c r="B320" s="5" t="n"/>
      <c r="C320" s="5" t="n"/>
      <c r="D320" s="5" t="n"/>
      <c r="E320" s="5" t="n"/>
      <c r="F320" s="5" t="n"/>
      <c r="G320" s="5" t="n"/>
      <c r="H320" s="5" t="n"/>
      <c r="I320" s="5" t="n"/>
      <c r="J320" s="5" t="n"/>
      <c r="K320" s="5" t="n"/>
      <c r="L320" s="5" t="n"/>
      <c r="M320" s="9" t="n"/>
      <c r="N320" s="9" t="n"/>
      <c r="O320" s="9" t="n"/>
      <c r="P320" s="9" t="n"/>
      <c r="Q320" s="9" t="n"/>
      <c r="R320" s="8">
        <f>IF($A320="","",COUNTIF(INV_Product,$A320))</f>
        <v/>
      </c>
      <c r="S320" s="8">
        <f>IF($A320="","",COUNTIFS(INV_Product,$A320,INV_Status,"Available"))</f>
        <v/>
      </c>
      <c r="T320" s="8">
        <f>IF($D320="","",IF(COUNTIFS(DD_PairCategory,$C320,DD_Subcategory,$D320)&gt;0,"ok","✗ "&amp;$D320&amp;" is not under "&amp;$C320))</f>
        <v/>
      </c>
      <c r="U320" s="8">
        <f>IF($F320="","",IF(COUNTIFS(PM_Brand,$E320,PM_Model,$F320)&gt;1,"⚠ duplicate product",IF(AND($B320&lt;&gt;"",COUNTIF(PM_Short,$B320)&gt;1),"⚠ short code reused","")))</f>
        <v/>
      </c>
      <c r="V320" s="5" t="n"/>
    </row>
    <row r="321">
      <c r="A321" s="8">
        <f>IF($F321="","","PRD-"&amp;TEXT(ROW()-3,"0000"))</f>
        <v/>
      </c>
      <c r="B321" s="5" t="n"/>
      <c r="C321" s="5" t="n"/>
      <c r="D321" s="5" t="n"/>
      <c r="E321" s="5" t="n"/>
      <c r="F321" s="5" t="n"/>
      <c r="G321" s="5" t="n"/>
      <c r="H321" s="5" t="n"/>
      <c r="I321" s="5" t="n"/>
      <c r="J321" s="5" t="n"/>
      <c r="K321" s="5" t="n"/>
      <c r="L321" s="5" t="n"/>
      <c r="M321" s="9" t="n"/>
      <c r="N321" s="9" t="n"/>
      <c r="O321" s="9" t="n"/>
      <c r="P321" s="9" t="n"/>
      <c r="Q321" s="9" t="n"/>
      <c r="R321" s="8">
        <f>IF($A321="","",COUNTIF(INV_Product,$A321))</f>
        <v/>
      </c>
      <c r="S321" s="8">
        <f>IF($A321="","",COUNTIFS(INV_Product,$A321,INV_Status,"Available"))</f>
        <v/>
      </c>
      <c r="T321" s="8">
        <f>IF($D321="","",IF(COUNTIFS(DD_PairCategory,$C321,DD_Subcategory,$D321)&gt;0,"ok","✗ "&amp;$D321&amp;" is not under "&amp;$C321))</f>
        <v/>
      </c>
      <c r="U321" s="8">
        <f>IF($F321="","",IF(COUNTIFS(PM_Brand,$E321,PM_Model,$F321)&gt;1,"⚠ duplicate product",IF(AND($B321&lt;&gt;"",COUNTIF(PM_Short,$B321)&gt;1),"⚠ short code reused","")))</f>
        <v/>
      </c>
      <c r="V321" s="5" t="n"/>
    </row>
    <row r="322">
      <c r="A322" s="8">
        <f>IF($F322="","","PRD-"&amp;TEXT(ROW()-3,"0000"))</f>
        <v/>
      </c>
      <c r="B322" s="5" t="n"/>
      <c r="C322" s="5" t="n"/>
      <c r="D322" s="5" t="n"/>
      <c r="E322" s="5" t="n"/>
      <c r="F322" s="5" t="n"/>
      <c r="G322" s="5" t="n"/>
      <c r="H322" s="5" t="n"/>
      <c r="I322" s="5" t="n"/>
      <c r="J322" s="5" t="n"/>
      <c r="K322" s="5" t="n"/>
      <c r="L322" s="5" t="n"/>
      <c r="M322" s="9" t="n"/>
      <c r="N322" s="9" t="n"/>
      <c r="O322" s="9" t="n"/>
      <c r="P322" s="9" t="n"/>
      <c r="Q322" s="9" t="n"/>
      <c r="R322" s="8">
        <f>IF($A322="","",COUNTIF(INV_Product,$A322))</f>
        <v/>
      </c>
      <c r="S322" s="8">
        <f>IF($A322="","",COUNTIFS(INV_Product,$A322,INV_Status,"Available"))</f>
        <v/>
      </c>
      <c r="T322" s="8">
        <f>IF($D322="","",IF(COUNTIFS(DD_PairCategory,$C322,DD_Subcategory,$D322)&gt;0,"ok","✗ "&amp;$D322&amp;" is not under "&amp;$C322))</f>
        <v/>
      </c>
      <c r="U322" s="8">
        <f>IF($F322="","",IF(COUNTIFS(PM_Brand,$E322,PM_Model,$F322)&gt;1,"⚠ duplicate product",IF(AND($B322&lt;&gt;"",COUNTIF(PM_Short,$B322)&gt;1),"⚠ short code reused","")))</f>
        <v/>
      </c>
      <c r="V322" s="5" t="n"/>
    </row>
    <row r="323">
      <c r="A323" s="8">
        <f>IF($F323="","","PRD-"&amp;TEXT(ROW()-3,"0000"))</f>
        <v/>
      </c>
      <c r="B323" s="5" t="n"/>
      <c r="C323" s="5" t="n"/>
      <c r="D323" s="5" t="n"/>
      <c r="E323" s="5" t="n"/>
      <c r="F323" s="5" t="n"/>
      <c r="G323" s="5" t="n"/>
      <c r="H323" s="5" t="n"/>
      <c r="I323" s="5" t="n"/>
      <c r="J323" s="5" t="n"/>
      <c r="K323" s="5" t="n"/>
      <c r="L323" s="5" t="n"/>
      <c r="M323" s="9" t="n"/>
      <c r="N323" s="9" t="n"/>
      <c r="O323" s="9" t="n"/>
      <c r="P323" s="9" t="n"/>
      <c r="Q323" s="9" t="n"/>
      <c r="R323" s="8">
        <f>IF($A323="","",COUNTIF(INV_Product,$A323))</f>
        <v/>
      </c>
      <c r="S323" s="8">
        <f>IF($A323="","",COUNTIFS(INV_Product,$A323,INV_Status,"Available"))</f>
        <v/>
      </c>
      <c r="T323" s="8">
        <f>IF($D323="","",IF(COUNTIFS(DD_PairCategory,$C323,DD_Subcategory,$D323)&gt;0,"ok","✗ "&amp;$D323&amp;" is not under "&amp;$C323))</f>
        <v/>
      </c>
      <c r="U323" s="8">
        <f>IF($F323="","",IF(COUNTIFS(PM_Brand,$E323,PM_Model,$F323)&gt;1,"⚠ duplicate product",IF(AND($B323&lt;&gt;"",COUNTIF(PM_Short,$B323)&gt;1),"⚠ short code reused","")))</f>
        <v/>
      </c>
      <c r="V323" s="5" t="n"/>
    </row>
    <row r="324">
      <c r="A324" s="8">
        <f>IF($F324="","","PRD-"&amp;TEXT(ROW()-3,"0000"))</f>
        <v/>
      </c>
      <c r="B324" s="5" t="n"/>
      <c r="C324" s="5" t="n"/>
      <c r="D324" s="5" t="n"/>
      <c r="E324" s="5" t="n"/>
      <c r="F324" s="5" t="n"/>
      <c r="G324" s="5" t="n"/>
      <c r="H324" s="5" t="n"/>
      <c r="I324" s="5" t="n"/>
      <c r="J324" s="5" t="n"/>
      <c r="K324" s="5" t="n"/>
      <c r="L324" s="5" t="n"/>
      <c r="M324" s="9" t="n"/>
      <c r="N324" s="9" t="n"/>
      <c r="O324" s="9" t="n"/>
      <c r="P324" s="9" t="n"/>
      <c r="Q324" s="9" t="n"/>
      <c r="R324" s="8">
        <f>IF($A324="","",COUNTIF(INV_Product,$A324))</f>
        <v/>
      </c>
      <c r="S324" s="8">
        <f>IF($A324="","",COUNTIFS(INV_Product,$A324,INV_Status,"Available"))</f>
        <v/>
      </c>
      <c r="T324" s="8">
        <f>IF($D324="","",IF(COUNTIFS(DD_PairCategory,$C324,DD_Subcategory,$D324)&gt;0,"ok","✗ "&amp;$D324&amp;" is not under "&amp;$C324))</f>
        <v/>
      </c>
      <c r="U324" s="8">
        <f>IF($F324="","",IF(COUNTIFS(PM_Brand,$E324,PM_Model,$F324)&gt;1,"⚠ duplicate product",IF(AND($B324&lt;&gt;"",COUNTIF(PM_Short,$B324)&gt;1),"⚠ short code reused","")))</f>
        <v/>
      </c>
      <c r="V324" s="5" t="n"/>
    </row>
    <row r="325">
      <c r="A325" s="8">
        <f>IF($F325="","","PRD-"&amp;TEXT(ROW()-3,"0000"))</f>
        <v/>
      </c>
      <c r="B325" s="5" t="n"/>
      <c r="C325" s="5" t="n"/>
      <c r="D325" s="5" t="n"/>
      <c r="E325" s="5" t="n"/>
      <c r="F325" s="5" t="n"/>
      <c r="G325" s="5" t="n"/>
      <c r="H325" s="5" t="n"/>
      <c r="I325" s="5" t="n"/>
      <c r="J325" s="5" t="n"/>
      <c r="K325" s="5" t="n"/>
      <c r="L325" s="5" t="n"/>
      <c r="M325" s="9" t="n"/>
      <c r="N325" s="9" t="n"/>
      <c r="O325" s="9" t="n"/>
      <c r="P325" s="9" t="n"/>
      <c r="Q325" s="9" t="n"/>
      <c r="R325" s="8">
        <f>IF($A325="","",COUNTIF(INV_Product,$A325))</f>
        <v/>
      </c>
      <c r="S325" s="8">
        <f>IF($A325="","",COUNTIFS(INV_Product,$A325,INV_Status,"Available"))</f>
        <v/>
      </c>
      <c r="T325" s="8">
        <f>IF($D325="","",IF(COUNTIFS(DD_PairCategory,$C325,DD_Subcategory,$D325)&gt;0,"ok","✗ "&amp;$D325&amp;" is not under "&amp;$C325))</f>
        <v/>
      </c>
      <c r="U325" s="8">
        <f>IF($F325="","",IF(COUNTIFS(PM_Brand,$E325,PM_Model,$F325)&gt;1,"⚠ duplicate product",IF(AND($B325&lt;&gt;"",COUNTIF(PM_Short,$B325)&gt;1),"⚠ short code reused","")))</f>
        <v/>
      </c>
      <c r="V325" s="5" t="n"/>
    </row>
    <row r="326">
      <c r="A326" s="8">
        <f>IF($F326="","","PRD-"&amp;TEXT(ROW()-3,"0000"))</f>
        <v/>
      </c>
      <c r="B326" s="5" t="n"/>
      <c r="C326" s="5" t="n"/>
      <c r="D326" s="5" t="n"/>
      <c r="E326" s="5" t="n"/>
      <c r="F326" s="5" t="n"/>
      <c r="G326" s="5" t="n"/>
      <c r="H326" s="5" t="n"/>
      <c r="I326" s="5" t="n"/>
      <c r="J326" s="5" t="n"/>
      <c r="K326" s="5" t="n"/>
      <c r="L326" s="5" t="n"/>
      <c r="M326" s="9" t="n"/>
      <c r="N326" s="9" t="n"/>
      <c r="O326" s="9" t="n"/>
      <c r="P326" s="9" t="n"/>
      <c r="Q326" s="9" t="n"/>
      <c r="R326" s="8">
        <f>IF($A326="","",COUNTIF(INV_Product,$A326))</f>
        <v/>
      </c>
      <c r="S326" s="8">
        <f>IF($A326="","",COUNTIFS(INV_Product,$A326,INV_Status,"Available"))</f>
        <v/>
      </c>
      <c r="T326" s="8">
        <f>IF($D326="","",IF(COUNTIFS(DD_PairCategory,$C326,DD_Subcategory,$D326)&gt;0,"ok","✗ "&amp;$D326&amp;" is not under "&amp;$C326))</f>
        <v/>
      </c>
      <c r="U326" s="8">
        <f>IF($F326="","",IF(COUNTIFS(PM_Brand,$E326,PM_Model,$F326)&gt;1,"⚠ duplicate product",IF(AND($B326&lt;&gt;"",COUNTIF(PM_Short,$B326)&gt;1),"⚠ short code reused","")))</f>
        <v/>
      </c>
      <c r="V326" s="5" t="n"/>
    </row>
    <row r="327">
      <c r="A327" s="8">
        <f>IF($F327="","","PRD-"&amp;TEXT(ROW()-3,"0000"))</f>
        <v/>
      </c>
      <c r="B327" s="5" t="n"/>
      <c r="C327" s="5" t="n"/>
      <c r="D327" s="5" t="n"/>
      <c r="E327" s="5" t="n"/>
      <c r="F327" s="5" t="n"/>
      <c r="G327" s="5" t="n"/>
      <c r="H327" s="5" t="n"/>
      <c r="I327" s="5" t="n"/>
      <c r="J327" s="5" t="n"/>
      <c r="K327" s="5" t="n"/>
      <c r="L327" s="5" t="n"/>
      <c r="M327" s="9" t="n"/>
      <c r="N327" s="9" t="n"/>
      <c r="O327" s="9" t="n"/>
      <c r="P327" s="9" t="n"/>
      <c r="Q327" s="9" t="n"/>
      <c r="R327" s="8">
        <f>IF($A327="","",COUNTIF(INV_Product,$A327))</f>
        <v/>
      </c>
      <c r="S327" s="8">
        <f>IF($A327="","",COUNTIFS(INV_Product,$A327,INV_Status,"Available"))</f>
        <v/>
      </c>
      <c r="T327" s="8">
        <f>IF($D327="","",IF(COUNTIFS(DD_PairCategory,$C327,DD_Subcategory,$D327)&gt;0,"ok","✗ "&amp;$D327&amp;" is not under "&amp;$C327))</f>
        <v/>
      </c>
      <c r="U327" s="8">
        <f>IF($F327="","",IF(COUNTIFS(PM_Brand,$E327,PM_Model,$F327)&gt;1,"⚠ duplicate product",IF(AND($B327&lt;&gt;"",COUNTIF(PM_Short,$B327)&gt;1),"⚠ short code reused","")))</f>
        <v/>
      </c>
      <c r="V327" s="5" t="n"/>
    </row>
    <row r="328">
      <c r="A328" s="8">
        <f>IF($F328="","","PRD-"&amp;TEXT(ROW()-3,"0000"))</f>
        <v/>
      </c>
      <c r="B328" s="5" t="n"/>
      <c r="C328" s="5" t="n"/>
      <c r="D328" s="5" t="n"/>
      <c r="E328" s="5" t="n"/>
      <c r="F328" s="5" t="n"/>
      <c r="G328" s="5" t="n"/>
      <c r="H328" s="5" t="n"/>
      <c r="I328" s="5" t="n"/>
      <c r="J328" s="5" t="n"/>
      <c r="K328" s="5" t="n"/>
      <c r="L328" s="5" t="n"/>
      <c r="M328" s="9" t="n"/>
      <c r="N328" s="9" t="n"/>
      <c r="O328" s="9" t="n"/>
      <c r="P328" s="9" t="n"/>
      <c r="Q328" s="9" t="n"/>
      <c r="R328" s="8">
        <f>IF($A328="","",COUNTIF(INV_Product,$A328))</f>
        <v/>
      </c>
      <c r="S328" s="8">
        <f>IF($A328="","",COUNTIFS(INV_Product,$A328,INV_Status,"Available"))</f>
        <v/>
      </c>
      <c r="T328" s="8">
        <f>IF($D328="","",IF(COUNTIFS(DD_PairCategory,$C328,DD_Subcategory,$D328)&gt;0,"ok","✗ "&amp;$D328&amp;" is not under "&amp;$C328))</f>
        <v/>
      </c>
      <c r="U328" s="8">
        <f>IF($F328="","",IF(COUNTIFS(PM_Brand,$E328,PM_Model,$F328)&gt;1,"⚠ duplicate product",IF(AND($B328&lt;&gt;"",COUNTIF(PM_Short,$B328)&gt;1),"⚠ short code reused","")))</f>
        <v/>
      </c>
      <c r="V328" s="5" t="n"/>
    </row>
    <row r="329">
      <c r="A329" s="8">
        <f>IF($F329="","","PRD-"&amp;TEXT(ROW()-3,"0000"))</f>
        <v/>
      </c>
      <c r="B329" s="5" t="n"/>
      <c r="C329" s="5" t="n"/>
      <c r="D329" s="5" t="n"/>
      <c r="E329" s="5" t="n"/>
      <c r="F329" s="5" t="n"/>
      <c r="G329" s="5" t="n"/>
      <c r="H329" s="5" t="n"/>
      <c r="I329" s="5" t="n"/>
      <c r="J329" s="5" t="n"/>
      <c r="K329" s="5" t="n"/>
      <c r="L329" s="5" t="n"/>
      <c r="M329" s="9" t="n"/>
      <c r="N329" s="9" t="n"/>
      <c r="O329" s="9" t="n"/>
      <c r="P329" s="9" t="n"/>
      <c r="Q329" s="9" t="n"/>
      <c r="R329" s="8">
        <f>IF($A329="","",COUNTIF(INV_Product,$A329))</f>
        <v/>
      </c>
      <c r="S329" s="8">
        <f>IF($A329="","",COUNTIFS(INV_Product,$A329,INV_Status,"Available"))</f>
        <v/>
      </c>
      <c r="T329" s="8">
        <f>IF($D329="","",IF(COUNTIFS(DD_PairCategory,$C329,DD_Subcategory,$D329)&gt;0,"ok","✗ "&amp;$D329&amp;" is not under "&amp;$C329))</f>
        <v/>
      </c>
      <c r="U329" s="8">
        <f>IF($F329="","",IF(COUNTIFS(PM_Brand,$E329,PM_Model,$F329)&gt;1,"⚠ duplicate product",IF(AND($B329&lt;&gt;"",COUNTIF(PM_Short,$B329)&gt;1),"⚠ short code reused","")))</f>
        <v/>
      </c>
      <c r="V329" s="5" t="n"/>
    </row>
    <row r="330">
      <c r="A330" s="8">
        <f>IF($F330="","","PRD-"&amp;TEXT(ROW()-3,"0000"))</f>
        <v/>
      </c>
      <c r="B330" s="5" t="n"/>
      <c r="C330" s="5" t="n"/>
      <c r="D330" s="5" t="n"/>
      <c r="E330" s="5" t="n"/>
      <c r="F330" s="5" t="n"/>
      <c r="G330" s="5" t="n"/>
      <c r="H330" s="5" t="n"/>
      <c r="I330" s="5" t="n"/>
      <c r="J330" s="5" t="n"/>
      <c r="K330" s="5" t="n"/>
      <c r="L330" s="5" t="n"/>
      <c r="M330" s="9" t="n"/>
      <c r="N330" s="9" t="n"/>
      <c r="O330" s="9" t="n"/>
      <c r="P330" s="9" t="n"/>
      <c r="Q330" s="9" t="n"/>
      <c r="R330" s="8">
        <f>IF($A330="","",COUNTIF(INV_Product,$A330))</f>
        <v/>
      </c>
      <c r="S330" s="8">
        <f>IF($A330="","",COUNTIFS(INV_Product,$A330,INV_Status,"Available"))</f>
        <v/>
      </c>
      <c r="T330" s="8">
        <f>IF($D330="","",IF(COUNTIFS(DD_PairCategory,$C330,DD_Subcategory,$D330)&gt;0,"ok","✗ "&amp;$D330&amp;" is not under "&amp;$C330))</f>
        <v/>
      </c>
      <c r="U330" s="8">
        <f>IF($F330="","",IF(COUNTIFS(PM_Brand,$E330,PM_Model,$F330)&gt;1,"⚠ duplicate product",IF(AND($B330&lt;&gt;"",COUNTIF(PM_Short,$B330)&gt;1),"⚠ short code reused","")))</f>
        <v/>
      </c>
      <c r="V330" s="5" t="n"/>
    </row>
    <row r="331">
      <c r="A331" s="8">
        <f>IF($F331="","","PRD-"&amp;TEXT(ROW()-3,"0000"))</f>
        <v/>
      </c>
      <c r="B331" s="5" t="n"/>
      <c r="C331" s="5" t="n"/>
      <c r="D331" s="5" t="n"/>
      <c r="E331" s="5" t="n"/>
      <c r="F331" s="5" t="n"/>
      <c r="G331" s="5" t="n"/>
      <c r="H331" s="5" t="n"/>
      <c r="I331" s="5" t="n"/>
      <c r="J331" s="5" t="n"/>
      <c r="K331" s="5" t="n"/>
      <c r="L331" s="5" t="n"/>
      <c r="M331" s="9" t="n"/>
      <c r="N331" s="9" t="n"/>
      <c r="O331" s="9" t="n"/>
      <c r="P331" s="9" t="n"/>
      <c r="Q331" s="9" t="n"/>
      <c r="R331" s="8">
        <f>IF($A331="","",COUNTIF(INV_Product,$A331))</f>
        <v/>
      </c>
      <c r="S331" s="8">
        <f>IF($A331="","",COUNTIFS(INV_Product,$A331,INV_Status,"Available"))</f>
        <v/>
      </c>
      <c r="T331" s="8">
        <f>IF($D331="","",IF(COUNTIFS(DD_PairCategory,$C331,DD_Subcategory,$D331)&gt;0,"ok","✗ "&amp;$D331&amp;" is not under "&amp;$C331))</f>
        <v/>
      </c>
      <c r="U331" s="8">
        <f>IF($F331="","",IF(COUNTIFS(PM_Brand,$E331,PM_Model,$F331)&gt;1,"⚠ duplicate product",IF(AND($B331&lt;&gt;"",COUNTIF(PM_Short,$B331)&gt;1),"⚠ short code reused","")))</f>
        <v/>
      </c>
      <c r="V331" s="5" t="n"/>
    </row>
    <row r="332">
      <c r="A332" s="8">
        <f>IF($F332="","","PRD-"&amp;TEXT(ROW()-3,"0000"))</f>
        <v/>
      </c>
      <c r="B332" s="5" t="n"/>
      <c r="C332" s="5" t="n"/>
      <c r="D332" s="5" t="n"/>
      <c r="E332" s="5" t="n"/>
      <c r="F332" s="5" t="n"/>
      <c r="G332" s="5" t="n"/>
      <c r="H332" s="5" t="n"/>
      <c r="I332" s="5" t="n"/>
      <c r="J332" s="5" t="n"/>
      <c r="K332" s="5" t="n"/>
      <c r="L332" s="5" t="n"/>
      <c r="M332" s="9" t="n"/>
      <c r="N332" s="9" t="n"/>
      <c r="O332" s="9" t="n"/>
      <c r="P332" s="9" t="n"/>
      <c r="Q332" s="9" t="n"/>
      <c r="R332" s="8">
        <f>IF($A332="","",COUNTIF(INV_Product,$A332))</f>
        <v/>
      </c>
      <c r="S332" s="8">
        <f>IF($A332="","",COUNTIFS(INV_Product,$A332,INV_Status,"Available"))</f>
        <v/>
      </c>
      <c r="T332" s="8">
        <f>IF($D332="","",IF(COUNTIFS(DD_PairCategory,$C332,DD_Subcategory,$D332)&gt;0,"ok","✗ "&amp;$D332&amp;" is not under "&amp;$C332))</f>
        <v/>
      </c>
      <c r="U332" s="8">
        <f>IF($F332="","",IF(COUNTIFS(PM_Brand,$E332,PM_Model,$F332)&gt;1,"⚠ duplicate product",IF(AND($B332&lt;&gt;"",COUNTIF(PM_Short,$B332)&gt;1),"⚠ short code reused","")))</f>
        <v/>
      </c>
      <c r="V332" s="5" t="n"/>
    </row>
    <row r="333">
      <c r="A333" s="8">
        <f>IF($F333="","","PRD-"&amp;TEXT(ROW()-3,"0000"))</f>
        <v/>
      </c>
      <c r="B333" s="5" t="n"/>
      <c r="C333" s="5" t="n"/>
      <c r="D333" s="5" t="n"/>
      <c r="E333" s="5" t="n"/>
      <c r="F333" s="5" t="n"/>
      <c r="G333" s="5" t="n"/>
      <c r="H333" s="5" t="n"/>
      <c r="I333" s="5" t="n"/>
      <c r="J333" s="5" t="n"/>
      <c r="K333" s="5" t="n"/>
      <c r="L333" s="5" t="n"/>
      <c r="M333" s="9" t="n"/>
      <c r="N333" s="9" t="n"/>
      <c r="O333" s="9" t="n"/>
      <c r="P333" s="9" t="n"/>
      <c r="Q333" s="9" t="n"/>
      <c r="R333" s="8">
        <f>IF($A333="","",COUNTIF(INV_Product,$A333))</f>
        <v/>
      </c>
      <c r="S333" s="8">
        <f>IF($A333="","",COUNTIFS(INV_Product,$A333,INV_Status,"Available"))</f>
        <v/>
      </c>
      <c r="T333" s="8">
        <f>IF($D333="","",IF(COUNTIFS(DD_PairCategory,$C333,DD_Subcategory,$D333)&gt;0,"ok","✗ "&amp;$D333&amp;" is not under "&amp;$C333))</f>
        <v/>
      </c>
      <c r="U333" s="8">
        <f>IF($F333="","",IF(COUNTIFS(PM_Brand,$E333,PM_Model,$F333)&gt;1,"⚠ duplicate product",IF(AND($B333&lt;&gt;"",COUNTIF(PM_Short,$B333)&gt;1),"⚠ short code reused","")))</f>
        <v/>
      </c>
      <c r="V333" s="5" t="n"/>
    </row>
    <row r="334">
      <c r="A334" s="8">
        <f>IF($F334="","","PRD-"&amp;TEXT(ROW()-3,"0000"))</f>
        <v/>
      </c>
      <c r="B334" s="5" t="n"/>
      <c r="C334" s="5" t="n"/>
      <c r="D334" s="5" t="n"/>
      <c r="E334" s="5" t="n"/>
      <c r="F334" s="5" t="n"/>
      <c r="G334" s="5" t="n"/>
      <c r="H334" s="5" t="n"/>
      <c r="I334" s="5" t="n"/>
      <c r="J334" s="5" t="n"/>
      <c r="K334" s="5" t="n"/>
      <c r="L334" s="5" t="n"/>
      <c r="M334" s="9" t="n"/>
      <c r="N334" s="9" t="n"/>
      <c r="O334" s="9" t="n"/>
      <c r="P334" s="9" t="n"/>
      <c r="Q334" s="9" t="n"/>
      <c r="R334" s="8">
        <f>IF($A334="","",COUNTIF(INV_Product,$A334))</f>
        <v/>
      </c>
      <c r="S334" s="8">
        <f>IF($A334="","",COUNTIFS(INV_Product,$A334,INV_Status,"Available"))</f>
        <v/>
      </c>
      <c r="T334" s="8">
        <f>IF($D334="","",IF(COUNTIFS(DD_PairCategory,$C334,DD_Subcategory,$D334)&gt;0,"ok","✗ "&amp;$D334&amp;" is not under "&amp;$C334))</f>
        <v/>
      </c>
      <c r="U334" s="8">
        <f>IF($F334="","",IF(COUNTIFS(PM_Brand,$E334,PM_Model,$F334)&gt;1,"⚠ duplicate product",IF(AND($B334&lt;&gt;"",COUNTIF(PM_Short,$B334)&gt;1),"⚠ short code reused","")))</f>
        <v/>
      </c>
      <c r="V334" s="5" t="n"/>
    </row>
    <row r="335">
      <c r="A335" s="8">
        <f>IF($F335="","","PRD-"&amp;TEXT(ROW()-3,"0000"))</f>
        <v/>
      </c>
      <c r="B335" s="5" t="n"/>
      <c r="C335" s="5" t="n"/>
      <c r="D335" s="5" t="n"/>
      <c r="E335" s="5" t="n"/>
      <c r="F335" s="5" t="n"/>
      <c r="G335" s="5" t="n"/>
      <c r="H335" s="5" t="n"/>
      <c r="I335" s="5" t="n"/>
      <c r="J335" s="5" t="n"/>
      <c r="K335" s="5" t="n"/>
      <c r="L335" s="5" t="n"/>
      <c r="M335" s="9" t="n"/>
      <c r="N335" s="9" t="n"/>
      <c r="O335" s="9" t="n"/>
      <c r="P335" s="9" t="n"/>
      <c r="Q335" s="9" t="n"/>
      <c r="R335" s="8">
        <f>IF($A335="","",COUNTIF(INV_Product,$A335))</f>
        <v/>
      </c>
      <c r="S335" s="8">
        <f>IF($A335="","",COUNTIFS(INV_Product,$A335,INV_Status,"Available"))</f>
        <v/>
      </c>
      <c r="T335" s="8">
        <f>IF($D335="","",IF(COUNTIFS(DD_PairCategory,$C335,DD_Subcategory,$D335)&gt;0,"ok","✗ "&amp;$D335&amp;" is not under "&amp;$C335))</f>
        <v/>
      </c>
      <c r="U335" s="8">
        <f>IF($F335="","",IF(COUNTIFS(PM_Brand,$E335,PM_Model,$F335)&gt;1,"⚠ duplicate product",IF(AND($B335&lt;&gt;"",COUNTIF(PM_Short,$B335)&gt;1),"⚠ short code reused","")))</f>
        <v/>
      </c>
      <c r="V335" s="5" t="n"/>
    </row>
    <row r="336">
      <c r="A336" s="8">
        <f>IF($F336="","","PRD-"&amp;TEXT(ROW()-3,"0000"))</f>
        <v/>
      </c>
      <c r="B336" s="5" t="n"/>
      <c r="C336" s="5" t="n"/>
      <c r="D336" s="5" t="n"/>
      <c r="E336" s="5" t="n"/>
      <c r="F336" s="5" t="n"/>
      <c r="G336" s="5" t="n"/>
      <c r="H336" s="5" t="n"/>
      <c r="I336" s="5" t="n"/>
      <c r="J336" s="5" t="n"/>
      <c r="K336" s="5" t="n"/>
      <c r="L336" s="5" t="n"/>
      <c r="M336" s="9" t="n"/>
      <c r="N336" s="9" t="n"/>
      <c r="O336" s="9" t="n"/>
      <c r="P336" s="9" t="n"/>
      <c r="Q336" s="9" t="n"/>
      <c r="R336" s="8">
        <f>IF($A336="","",COUNTIF(INV_Product,$A336))</f>
        <v/>
      </c>
      <c r="S336" s="8">
        <f>IF($A336="","",COUNTIFS(INV_Product,$A336,INV_Status,"Available"))</f>
        <v/>
      </c>
      <c r="T336" s="8">
        <f>IF($D336="","",IF(COUNTIFS(DD_PairCategory,$C336,DD_Subcategory,$D336)&gt;0,"ok","✗ "&amp;$D336&amp;" is not under "&amp;$C336))</f>
        <v/>
      </c>
      <c r="U336" s="8">
        <f>IF($F336="","",IF(COUNTIFS(PM_Brand,$E336,PM_Model,$F336)&gt;1,"⚠ duplicate product",IF(AND($B336&lt;&gt;"",COUNTIF(PM_Short,$B336)&gt;1),"⚠ short code reused","")))</f>
        <v/>
      </c>
      <c r="V336" s="5" t="n"/>
    </row>
    <row r="337">
      <c r="A337" s="8">
        <f>IF($F337="","","PRD-"&amp;TEXT(ROW()-3,"0000"))</f>
        <v/>
      </c>
      <c r="B337" s="5" t="n"/>
      <c r="C337" s="5" t="n"/>
      <c r="D337" s="5" t="n"/>
      <c r="E337" s="5" t="n"/>
      <c r="F337" s="5" t="n"/>
      <c r="G337" s="5" t="n"/>
      <c r="H337" s="5" t="n"/>
      <c r="I337" s="5" t="n"/>
      <c r="J337" s="5" t="n"/>
      <c r="K337" s="5" t="n"/>
      <c r="L337" s="5" t="n"/>
      <c r="M337" s="9" t="n"/>
      <c r="N337" s="9" t="n"/>
      <c r="O337" s="9" t="n"/>
      <c r="P337" s="9" t="n"/>
      <c r="Q337" s="9" t="n"/>
      <c r="R337" s="8">
        <f>IF($A337="","",COUNTIF(INV_Product,$A337))</f>
        <v/>
      </c>
      <c r="S337" s="8">
        <f>IF($A337="","",COUNTIFS(INV_Product,$A337,INV_Status,"Available"))</f>
        <v/>
      </c>
      <c r="T337" s="8">
        <f>IF($D337="","",IF(COUNTIFS(DD_PairCategory,$C337,DD_Subcategory,$D337)&gt;0,"ok","✗ "&amp;$D337&amp;" is not under "&amp;$C337))</f>
        <v/>
      </c>
      <c r="U337" s="8">
        <f>IF($F337="","",IF(COUNTIFS(PM_Brand,$E337,PM_Model,$F337)&gt;1,"⚠ duplicate product",IF(AND($B337&lt;&gt;"",COUNTIF(PM_Short,$B337)&gt;1),"⚠ short code reused","")))</f>
        <v/>
      </c>
      <c r="V337" s="5" t="n"/>
    </row>
    <row r="338">
      <c r="A338" s="8">
        <f>IF($F338="","","PRD-"&amp;TEXT(ROW()-3,"0000"))</f>
        <v/>
      </c>
      <c r="B338" s="5" t="n"/>
      <c r="C338" s="5" t="n"/>
      <c r="D338" s="5" t="n"/>
      <c r="E338" s="5" t="n"/>
      <c r="F338" s="5" t="n"/>
      <c r="G338" s="5" t="n"/>
      <c r="H338" s="5" t="n"/>
      <c r="I338" s="5" t="n"/>
      <c r="J338" s="5" t="n"/>
      <c r="K338" s="5" t="n"/>
      <c r="L338" s="5" t="n"/>
      <c r="M338" s="9" t="n"/>
      <c r="N338" s="9" t="n"/>
      <c r="O338" s="9" t="n"/>
      <c r="P338" s="9" t="n"/>
      <c r="Q338" s="9" t="n"/>
      <c r="R338" s="8">
        <f>IF($A338="","",COUNTIF(INV_Product,$A338))</f>
        <v/>
      </c>
      <c r="S338" s="8">
        <f>IF($A338="","",COUNTIFS(INV_Product,$A338,INV_Status,"Available"))</f>
        <v/>
      </c>
      <c r="T338" s="8">
        <f>IF($D338="","",IF(COUNTIFS(DD_PairCategory,$C338,DD_Subcategory,$D338)&gt;0,"ok","✗ "&amp;$D338&amp;" is not under "&amp;$C338))</f>
        <v/>
      </c>
      <c r="U338" s="8">
        <f>IF($F338="","",IF(COUNTIFS(PM_Brand,$E338,PM_Model,$F338)&gt;1,"⚠ duplicate product",IF(AND($B338&lt;&gt;"",COUNTIF(PM_Short,$B338)&gt;1),"⚠ short code reused","")))</f>
        <v/>
      </c>
      <c r="V338" s="5" t="n"/>
    </row>
    <row r="339">
      <c r="A339" s="8">
        <f>IF($F339="","","PRD-"&amp;TEXT(ROW()-3,"0000"))</f>
        <v/>
      </c>
      <c r="B339" s="5" t="n"/>
      <c r="C339" s="5" t="n"/>
      <c r="D339" s="5" t="n"/>
      <c r="E339" s="5" t="n"/>
      <c r="F339" s="5" t="n"/>
      <c r="G339" s="5" t="n"/>
      <c r="H339" s="5" t="n"/>
      <c r="I339" s="5" t="n"/>
      <c r="J339" s="5" t="n"/>
      <c r="K339" s="5" t="n"/>
      <c r="L339" s="5" t="n"/>
      <c r="M339" s="9" t="n"/>
      <c r="N339" s="9" t="n"/>
      <c r="O339" s="9" t="n"/>
      <c r="P339" s="9" t="n"/>
      <c r="Q339" s="9" t="n"/>
      <c r="R339" s="8">
        <f>IF($A339="","",COUNTIF(INV_Product,$A339))</f>
        <v/>
      </c>
      <c r="S339" s="8">
        <f>IF($A339="","",COUNTIFS(INV_Product,$A339,INV_Status,"Available"))</f>
        <v/>
      </c>
      <c r="T339" s="8">
        <f>IF($D339="","",IF(COUNTIFS(DD_PairCategory,$C339,DD_Subcategory,$D339)&gt;0,"ok","✗ "&amp;$D339&amp;" is not under "&amp;$C339))</f>
        <v/>
      </c>
      <c r="U339" s="8">
        <f>IF($F339="","",IF(COUNTIFS(PM_Brand,$E339,PM_Model,$F339)&gt;1,"⚠ duplicate product",IF(AND($B339&lt;&gt;"",COUNTIF(PM_Short,$B339)&gt;1),"⚠ short code reused","")))</f>
        <v/>
      </c>
      <c r="V339" s="5" t="n"/>
    </row>
    <row r="340">
      <c r="A340" s="8">
        <f>IF($F340="","","PRD-"&amp;TEXT(ROW()-3,"0000"))</f>
        <v/>
      </c>
      <c r="B340" s="5" t="n"/>
      <c r="C340" s="5" t="n"/>
      <c r="D340" s="5" t="n"/>
      <c r="E340" s="5" t="n"/>
      <c r="F340" s="5" t="n"/>
      <c r="G340" s="5" t="n"/>
      <c r="H340" s="5" t="n"/>
      <c r="I340" s="5" t="n"/>
      <c r="J340" s="5" t="n"/>
      <c r="K340" s="5" t="n"/>
      <c r="L340" s="5" t="n"/>
      <c r="M340" s="9" t="n"/>
      <c r="N340" s="9" t="n"/>
      <c r="O340" s="9" t="n"/>
      <c r="P340" s="9" t="n"/>
      <c r="Q340" s="9" t="n"/>
      <c r="R340" s="8">
        <f>IF($A340="","",COUNTIF(INV_Product,$A340))</f>
        <v/>
      </c>
      <c r="S340" s="8">
        <f>IF($A340="","",COUNTIFS(INV_Product,$A340,INV_Status,"Available"))</f>
        <v/>
      </c>
      <c r="T340" s="8">
        <f>IF($D340="","",IF(COUNTIFS(DD_PairCategory,$C340,DD_Subcategory,$D340)&gt;0,"ok","✗ "&amp;$D340&amp;" is not under "&amp;$C340))</f>
        <v/>
      </c>
      <c r="U340" s="8">
        <f>IF($F340="","",IF(COUNTIFS(PM_Brand,$E340,PM_Model,$F340)&gt;1,"⚠ duplicate product",IF(AND($B340&lt;&gt;"",COUNTIF(PM_Short,$B340)&gt;1),"⚠ short code reused","")))</f>
        <v/>
      </c>
      <c r="V340" s="5" t="n"/>
    </row>
    <row r="341">
      <c r="A341" s="8">
        <f>IF($F341="","","PRD-"&amp;TEXT(ROW()-3,"0000"))</f>
        <v/>
      </c>
      <c r="B341" s="5" t="n"/>
      <c r="C341" s="5" t="n"/>
      <c r="D341" s="5" t="n"/>
      <c r="E341" s="5" t="n"/>
      <c r="F341" s="5" t="n"/>
      <c r="G341" s="5" t="n"/>
      <c r="H341" s="5" t="n"/>
      <c r="I341" s="5" t="n"/>
      <c r="J341" s="5" t="n"/>
      <c r="K341" s="5" t="n"/>
      <c r="L341" s="5" t="n"/>
      <c r="M341" s="9" t="n"/>
      <c r="N341" s="9" t="n"/>
      <c r="O341" s="9" t="n"/>
      <c r="P341" s="9" t="n"/>
      <c r="Q341" s="9" t="n"/>
      <c r="R341" s="8">
        <f>IF($A341="","",COUNTIF(INV_Product,$A341))</f>
        <v/>
      </c>
      <c r="S341" s="8">
        <f>IF($A341="","",COUNTIFS(INV_Product,$A341,INV_Status,"Available"))</f>
        <v/>
      </c>
      <c r="T341" s="8">
        <f>IF($D341="","",IF(COUNTIFS(DD_PairCategory,$C341,DD_Subcategory,$D341)&gt;0,"ok","✗ "&amp;$D341&amp;" is not under "&amp;$C341))</f>
        <v/>
      </c>
      <c r="U341" s="8">
        <f>IF($F341="","",IF(COUNTIFS(PM_Brand,$E341,PM_Model,$F341)&gt;1,"⚠ duplicate product",IF(AND($B341&lt;&gt;"",COUNTIF(PM_Short,$B341)&gt;1),"⚠ short code reused","")))</f>
        <v/>
      </c>
      <c r="V341" s="5" t="n"/>
    </row>
    <row r="342">
      <c r="A342" s="8">
        <f>IF($F342="","","PRD-"&amp;TEXT(ROW()-3,"0000"))</f>
        <v/>
      </c>
      <c r="B342" s="5" t="n"/>
      <c r="C342" s="5" t="n"/>
      <c r="D342" s="5" t="n"/>
      <c r="E342" s="5" t="n"/>
      <c r="F342" s="5" t="n"/>
      <c r="G342" s="5" t="n"/>
      <c r="H342" s="5" t="n"/>
      <c r="I342" s="5" t="n"/>
      <c r="J342" s="5" t="n"/>
      <c r="K342" s="5" t="n"/>
      <c r="L342" s="5" t="n"/>
      <c r="M342" s="9" t="n"/>
      <c r="N342" s="9" t="n"/>
      <c r="O342" s="9" t="n"/>
      <c r="P342" s="9" t="n"/>
      <c r="Q342" s="9" t="n"/>
      <c r="R342" s="8">
        <f>IF($A342="","",COUNTIF(INV_Product,$A342))</f>
        <v/>
      </c>
      <c r="S342" s="8">
        <f>IF($A342="","",COUNTIFS(INV_Product,$A342,INV_Status,"Available"))</f>
        <v/>
      </c>
      <c r="T342" s="8">
        <f>IF($D342="","",IF(COUNTIFS(DD_PairCategory,$C342,DD_Subcategory,$D342)&gt;0,"ok","✗ "&amp;$D342&amp;" is not under "&amp;$C342))</f>
        <v/>
      </c>
      <c r="U342" s="8">
        <f>IF($F342="","",IF(COUNTIFS(PM_Brand,$E342,PM_Model,$F342)&gt;1,"⚠ duplicate product",IF(AND($B342&lt;&gt;"",COUNTIF(PM_Short,$B342)&gt;1),"⚠ short code reused","")))</f>
        <v/>
      </c>
      <c r="V342" s="5" t="n"/>
    </row>
    <row r="343">
      <c r="A343" s="8">
        <f>IF($F343="","","PRD-"&amp;TEXT(ROW()-3,"0000"))</f>
        <v/>
      </c>
      <c r="B343" s="5" t="n"/>
      <c r="C343" s="5" t="n"/>
      <c r="D343" s="5" t="n"/>
      <c r="E343" s="5" t="n"/>
      <c r="F343" s="5" t="n"/>
      <c r="G343" s="5" t="n"/>
      <c r="H343" s="5" t="n"/>
      <c r="I343" s="5" t="n"/>
      <c r="J343" s="5" t="n"/>
      <c r="K343" s="5" t="n"/>
      <c r="L343" s="5" t="n"/>
      <c r="M343" s="9" t="n"/>
      <c r="N343" s="9" t="n"/>
      <c r="O343" s="9" t="n"/>
      <c r="P343" s="9" t="n"/>
      <c r="Q343" s="9" t="n"/>
      <c r="R343" s="8">
        <f>IF($A343="","",COUNTIF(INV_Product,$A343))</f>
        <v/>
      </c>
      <c r="S343" s="8">
        <f>IF($A343="","",COUNTIFS(INV_Product,$A343,INV_Status,"Available"))</f>
        <v/>
      </c>
      <c r="T343" s="8">
        <f>IF($D343="","",IF(COUNTIFS(DD_PairCategory,$C343,DD_Subcategory,$D343)&gt;0,"ok","✗ "&amp;$D343&amp;" is not under "&amp;$C343))</f>
        <v/>
      </c>
      <c r="U343" s="8">
        <f>IF($F343="","",IF(COUNTIFS(PM_Brand,$E343,PM_Model,$F343)&gt;1,"⚠ duplicate product",IF(AND($B343&lt;&gt;"",COUNTIF(PM_Short,$B343)&gt;1),"⚠ short code reused","")))</f>
        <v/>
      </c>
      <c r="V343" s="5" t="n"/>
    </row>
    <row r="344">
      <c r="A344" s="8">
        <f>IF($F344="","","PRD-"&amp;TEXT(ROW()-3,"0000"))</f>
        <v/>
      </c>
      <c r="B344" s="5" t="n"/>
      <c r="C344" s="5" t="n"/>
      <c r="D344" s="5" t="n"/>
      <c r="E344" s="5" t="n"/>
      <c r="F344" s="5" t="n"/>
      <c r="G344" s="5" t="n"/>
      <c r="H344" s="5" t="n"/>
      <c r="I344" s="5" t="n"/>
      <c r="J344" s="5" t="n"/>
      <c r="K344" s="5" t="n"/>
      <c r="L344" s="5" t="n"/>
      <c r="M344" s="9" t="n"/>
      <c r="N344" s="9" t="n"/>
      <c r="O344" s="9" t="n"/>
      <c r="P344" s="9" t="n"/>
      <c r="Q344" s="9" t="n"/>
      <c r="R344" s="8">
        <f>IF($A344="","",COUNTIF(INV_Product,$A344))</f>
        <v/>
      </c>
      <c r="S344" s="8">
        <f>IF($A344="","",COUNTIFS(INV_Product,$A344,INV_Status,"Available"))</f>
        <v/>
      </c>
      <c r="T344" s="8">
        <f>IF($D344="","",IF(COUNTIFS(DD_PairCategory,$C344,DD_Subcategory,$D344)&gt;0,"ok","✗ "&amp;$D344&amp;" is not under "&amp;$C344))</f>
        <v/>
      </c>
      <c r="U344" s="8">
        <f>IF($F344="","",IF(COUNTIFS(PM_Brand,$E344,PM_Model,$F344)&gt;1,"⚠ duplicate product",IF(AND($B344&lt;&gt;"",COUNTIF(PM_Short,$B344)&gt;1),"⚠ short code reused","")))</f>
        <v/>
      </c>
      <c r="V344" s="5" t="n"/>
    </row>
    <row r="345">
      <c r="A345" s="8">
        <f>IF($F345="","","PRD-"&amp;TEXT(ROW()-3,"0000"))</f>
        <v/>
      </c>
      <c r="B345" s="5" t="n"/>
      <c r="C345" s="5" t="n"/>
      <c r="D345" s="5" t="n"/>
      <c r="E345" s="5" t="n"/>
      <c r="F345" s="5" t="n"/>
      <c r="G345" s="5" t="n"/>
      <c r="H345" s="5" t="n"/>
      <c r="I345" s="5" t="n"/>
      <c r="J345" s="5" t="n"/>
      <c r="K345" s="5" t="n"/>
      <c r="L345" s="5" t="n"/>
      <c r="M345" s="9" t="n"/>
      <c r="N345" s="9" t="n"/>
      <c r="O345" s="9" t="n"/>
      <c r="P345" s="9" t="n"/>
      <c r="Q345" s="9" t="n"/>
      <c r="R345" s="8">
        <f>IF($A345="","",COUNTIF(INV_Product,$A345))</f>
        <v/>
      </c>
      <c r="S345" s="8">
        <f>IF($A345="","",COUNTIFS(INV_Product,$A345,INV_Status,"Available"))</f>
        <v/>
      </c>
      <c r="T345" s="8">
        <f>IF($D345="","",IF(COUNTIFS(DD_PairCategory,$C345,DD_Subcategory,$D345)&gt;0,"ok","✗ "&amp;$D345&amp;" is not under "&amp;$C345))</f>
        <v/>
      </c>
      <c r="U345" s="8">
        <f>IF($F345="","",IF(COUNTIFS(PM_Brand,$E345,PM_Model,$F345)&gt;1,"⚠ duplicate product",IF(AND($B345&lt;&gt;"",COUNTIF(PM_Short,$B345)&gt;1),"⚠ short code reused","")))</f>
        <v/>
      </c>
      <c r="V345" s="5" t="n"/>
    </row>
    <row r="346">
      <c r="A346" s="8">
        <f>IF($F346="","","PRD-"&amp;TEXT(ROW()-3,"0000"))</f>
        <v/>
      </c>
      <c r="B346" s="5" t="n"/>
      <c r="C346" s="5" t="n"/>
      <c r="D346" s="5" t="n"/>
      <c r="E346" s="5" t="n"/>
      <c r="F346" s="5" t="n"/>
      <c r="G346" s="5" t="n"/>
      <c r="H346" s="5" t="n"/>
      <c r="I346" s="5" t="n"/>
      <c r="J346" s="5" t="n"/>
      <c r="K346" s="5" t="n"/>
      <c r="L346" s="5" t="n"/>
      <c r="M346" s="9" t="n"/>
      <c r="N346" s="9" t="n"/>
      <c r="O346" s="9" t="n"/>
      <c r="P346" s="9" t="n"/>
      <c r="Q346" s="9" t="n"/>
      <c r="R346" s="8">
        <f>IF($A346="","",COUNTIF(INV_Product,$A346))</f>
        <v/>
      </c>
      <c r="S346" s="8">
        <f>IF($A346="","",COUNTIFS(INV_Product,$A346,INV_Status,"Available"))</f>
        <v/>
      </c>
      <c r="T346" s="8">
        <f>IF($D346="","",IF(COUNTIFS(DD_PairCategory,$C346,DD_Subcategory,$D346)&gt;0,"ok","✗ "&amp;$D346&amp;" is not under "&amp;$C346))</f>
        <v/>
      </c>
      <c r="U346" s="8">
        <f>IF($F346="","",IF(COUNTIFS(PM_Brand,$E346,PM_Model,$F346)&gt;1,"⚠ duplicate product",IF(AND($B346&lt;&gt;"",COUNTIF(PM_Short,$B346)&gt;1),"⚠ short code reused","")))</f>
        <v/>
      </c>
      <c r="V346" s="5" t="n"/>
    </row>
    <row r="347">
      <c r="A347" s="8">
        <f>IF($F347="","","PRD-"&amp;TEXT(ROW()-3,"0000"))</f>
        <v/>
      </c>
      <c r="B347" s="5" t="n"/>
      <c r="C347" s="5" t="n"/>
      <c r="D347" s="5" t="n"/>
      <c r="E347" s="5" t="n"/>
      <c r="F347" s="5" t="n"/>
      <c r="G347" s="5" t="n"/>
      <c r="H347" s="5" t="n"/>
      <c r="I347" s="5" t="n"/>
      <c r="J347" s="5" t="n"/>
      <c r="K347" s="5" t="n"/>
      <c r="L347" s="5" t="n"/>
      <c r="M347" s="9" t="n"/>
      <c r="N347" s="9" t="n"/>
      <c r="O347" s="9" t="n"/>
      <c r="P347" s="9" t="n"/>
      <c r="Q347" s="9" t="n"/>
      <c r="R347" s="8">
        <f>IF($A347="","",COUNTIF(INV_Product,$A347))</f>
        <v/>
      </c>
      <c r="S347" s="8">
        <f>IF($A347="","",COUNTIFS(INV_Product,$A347,INV_Status,"Available"))</f>
        <v/>
      </c>
      <c r="T347" s="8">
        <f>IF($D347="","",IF(COUNTIFS(DD_PairCategory,$C347,DD_Subcategory,$D347)&gt;0,"ok","✗ "&amp;$D347&amp;" is not under "&amp;$C347))</f>
        <v/>
      </c>
      <c r="U347" s="8">
        <f>IF($F347="","",IF(COUNTIFS(PM_Brand,$E347,PM_Model,$F347)&gt;1,"⚠ duplicate product",IF(AND($B347&lt;&gt;"",COUNTIF(PM_Short,$B347)&gt;1),"⚠ short code reused","")))</f>
        <v/>
      </c>
      <c r="V347" s="5" t="n"/>
    </row>
    <row r="348">
      <c r="A348" s="8">
        <f>IF($F348="","","PRD-"&amp;TEXT(ROW()-3,"0000"))</f>
        <v/>
      </c>
      <c r="B348" s="5" t="n"/>
      <c r="C348" s="5" t="n"/>
      <c r="D348" s="5" t="n"/>
      <c r="E348" s="5" t="n"/>
      <c r="F348" s="5" t="n"/>
      <c r="G348" s="5" t="n"/>
      <c r="H348" s="5" t="n"/>
      <c r="I348" s="5" t="n"/>
      <c r="J348" s="5" t="n"/>
      <c r="K348" s="5" t="n"/>
      <c r="L348" s="5" t="n"/>
      <c r="M348" s="9" t="n"/>
      <c r="N348" s="9" t="n"/>
      <c r="O348" s="9" t="n"/>
      <c r="P348" s="9" t="n"/>
      <c r="Q348" s="9" t="n"/>
      <c r="R348" s="8">
        <f>IF($A348="","",COUNTIF(INV_Product,$A348))</f>
        <v/>
      </c>
      <c r="S348" s="8">
        <f>IF($A348="","",COUNTIFS(INV_Product,$A348,INV_Status,"Available"))</f>
        <v/>
      </c>
      <c r="T348" s="8">
        <f>IF($D348="","",IF(COUNTIFS(DD_PairCategory,$C348,DD_Subcategory,$D348)&gt;0,"ok","✗ "&amp;$D348&amp;" is not under "&amp;$C348))</f>
        <v/>
      </c>
      <c r="U348" s="8">
        <f>IF($F348="","",IF(COUNTIFS(PM_Brand,$E348,PM_Model,$F348)&gt;1,"⚠ duplicate product",IF(AND($B348&lt;&gt;"",COUNTIF(PM_Short,$B348)&gt;1),"⚠ short code reused","")))</f>
        <v/>
      </c>
      <c r="V348" s="5" t="n"/>
    </row>
    <row r="349">
      <c r="A349" s="8">
        <f>IF($F349="","","PRD-"&amp;TEXT(ROW()-3,"0000"))</f>
        <v/>
      </c>
      <c r="B349" s="5" t="n"/>
      <c r="C349" s="5" t="n"/>
      <c r="D349" s="5" t="n"/>
      <c r="E349" s="5" t="n"/>
      <c r="F349" s="5" t="n"/>
      <c r="G349" s="5" t="n"/>
      <c r="H349" s="5" t="n"/>
      <c r="I349" s="5" t="n"/>
      <c r="J349" s="5" t="n"/>
      <c r="K349" s="5" t="n"/>
      <c r="L349" s="5" t="n"/>
      <c r="M349" s="9" t="n"/>
      <c r="N349" s="9" t="n"/>
      <c r="O349" s="9" t="n"/>
      <c r="P349" s="9" t="n"/>
      <c r="Q349" s="9" t="n"/>
      <c r="R349" s="8">
        <f>IF($A349="","",COUNTIF(INV_Product,$A349))</f>
        <v/>
      </c>
      <c r="S349" s="8">
        <f>IF($A349="","",COUNTIFS(INV_Product,$A349,INV_Status,"Available"))</f>
        <v/>
      </c>
      <c r="T349" s="8">
        <f>IF($D349="","",IF(COUNTIFS(DD_PairCategory,$C349,DD_Subcategory,$D349)&gt;0,"ok","✗ "&amp;$D349&amp;" is not under "&amp;$C349))</f>
        <v/>
      </c>
      <c r="U349" s="8">
        <f>IF($F349="","",IF(COUNTIFS(PM_Brand,$E349,PM_Model,$F349)&gt;1,"⚠ duplicate product",IF(AND($B349&lt;&gt;"",COUNTIF(PM_Short,$B349)&gt;1),"⚠ short code reused","")))</f>
        <v/>
      </c>
      <c r="V349" s="5" t="n"/>
    </row>
    <row r="350">
      <c r="A350" s="8">
        <f>IF($F350="","","PRD-"&amp;TEXT(ROW()-3,"0000"))</f>
        <v/>
      </c>
      <c r="B350" s="5" t="n"/>
      <c r="C350" s="5" t="n"/>
      <c r="D350" s="5" t="n"/>
      <c r="E350" s="5" t="n"/>
      <c r="F350" s="5" t="n"/>
      <c r="G350" s="5" t="n"/>
      <c r="H350" s="5" t="n"/>
      <c r="I350" s="5" t="n"/>
      <c r="J350" s="5" t="n"/>
      <c r="K350" s="5" t="n"/>
      <c r="L350" s="5" t="n"/>
      <c r="M350" s="9" t="n"/>
      <c r="N350" s="9" t="n"/>
      <c r="O350" s="9" t="n"/>
      <c r="P350" s="9" t="n"/>
      <c r="Q350" s="9" t="n"/>
      <c r="R350" s="8">
        <f>IF($A350="","",COUNTIF(INV_Product,$A350))</f>
        <v/>
      </c>
      <c r="S350" s="8">
        <f>IF($A350="","",COUNTIFS(INV_Product,$A350,INV_Status,"Available"))</f>
        <v/>
      </c>
      <c r="T350" s="8">
        <f>IF($D350="","",IF(COUNTIFS(DD_PairCategory,$C350,DD_Subcategory,$D350)&gt;0,"ok","✗ "&amp;$D350&amp;" is not under "&amp;$C350))</f>
        <v/>
      </c>
      <c r="U350" s="8">
        <f>IF($F350="","",IF(COUNTIFS(PM_Brand,$E350,PM_Model,$F350)&gt;1,"⚠ duplicate product",IF(AND($B350&lt;&gt;"",COUNTIF(PM_Short,$B350)&gt;1),"⚠ short code reused","")))</f>
        <v/>
      </c>
      <c r="V350" s="5" t="n"/>
    </row>
    <row r="351">
      <c r="A351" s="8">
        <f>IF($F351="","","PRD-"&amp;TEXT(ROW()-3,"0000"))</f>
        <v/>
      </c>
      <c r="B351" s="5" t="n"/>
      <c r="C351" s="5" t="n"/>
      <c r="D351" s="5" t="n"/>
      <c r="E351" s="5" t="n"/>
      <c r="F351" s="5" t="n"/>
      <c r="G351" s="5" t="n"/>
      <c r="H351" s="5" t="n"/>
      <c r="I351" s="5" t="n"/>
      <c r="J351" s="5" t="n"/>
      <c r="K351" s="5" t="n"/>
      <c r="L351" s="5" t="n"/>
      <c r="M351" s="9" t="n"/>
      <c r="N351" s="9" t="n"/>
      <c r="O351" s="9" t="n"/>
      <c r="P351" s="9" t="n"/>
      <c r="Q351" s="9" t="n"/>
      <c r="R351" s="8">
        <f>IF($A351="","",COUNTIF(INV_Product,$A351))</f>
        <v/>
      </c>
      <c r="S351" s="8">
        <f>IF($A351="","",COUNTIFS(INV_Product,$A351,INV_Status,"Available"))</f>
        <v/>
      </c>
      <c r="T351" s="8">
        <f>IF($D351="","",IF(COUNTIFS(DD_PairCategory,$C351,DD_Subcategory,$D351)&gt;0,"ok","✗ "&amp;$D351&amp;" is not under "&amp;$C351))</f>
        <v/>
      </c>
      <c r="U351" s="8">
        <f>IF($F351="","",IF(COUNTIFS(PM_Brand,$E351,PM_Model,$F351)&gt;1,"⚠ duplicate product",IF(AND($B351&lt;&gt;"",COUNTIF(PM_Short,$B351)&gt;1),"⚠ short code reused","")))</f>
        <v/>
      </c>
      <c r="V351" s="5" t="n"/>
    </row>
    <row r="352">
      <c r="A352" s="8">
        <f>IF($F352="","","PRD-"&amp;TEXT(ROW()-3,"0000"))</f>
        <v/>
      </c>
      <c r="B352" s="5" t="n"/>
      <c r="C352" s="5" t="n"/>
      <c r="D352" s="5" t="n"/>
      <c r="E352" s="5" t="n"/>
      <c r="F352" s="5" t="n"/>
      <c r="G352" s="5" t="n"/>
      <c r="H352" s="5" t="n"/>
      <c r="I352" s="5" t="n"/>
      <c r="J352" s="5" t="n"/>
      <c r="K352" s="5" t="n"/>
      <c r="L352" s="5" t="n"/>
      <c r="M352" s="9" t="n"/>
      <c r="N352" s="9" t="n"/>
      <c r="O352" s="9" t="n"/>
      <c r="P352" s="9" t="n"/>
      <c r="Q352" s="9" t="n"/>
      <c r="R352" s="8">
        <f>IF($A352="","",COUNTIF(INV_Product,$A352))</f>
        <v/>
      </c>
      <c r="S352" s="8">
        <f>IF($A352="","",COUNTIFS(INV_Product,$A352,INV_Status,"Available"))</f>
        <v/>
      </c>
      <c r="T352" s="8">
        <f>IF($D352="","",IF(COUNTIFS(DD_PairCategory,$C352,DD_Subcategory,$D352)&gt;0,"ok","✗ "&amp;$D352&amp;" is not under "&amp;$C352))</f>
        <v/>
      </c>
      <c r="U352" s="8">
        <f>IF($F352="","",IF(COUNTIFS(PM_Brand,$E352,PM_Model,$F352)&gt;1,"⚠ duplicate product",IF(AND($B352&lt;&gt;"",COUNTIF(PM_Short,$B352)&gt;1),"⚠ short code reused","")))</f>
        <v/>
      </c>
      <c r="V352" s="5" t="n"/>
    </row>
    <row r="353">
      <c r="A353" s="8">
        <f>IF($F353="","","PRD-"&amp;TEXT(ROW()-3,"0000"))</f>
        <v/>
      </c>
      <c r="B353" s="5" t="n"/>
      <c r="C353" s="5" t="n"/>
      <c r="D353" s="5" t="n"/>
      <c r="E353" s="5" t="n"/>
      <c r="F353" s="5" t="n"/>
      <c r="G353" s="5" t="n"/>
      <c r="H353" s="5" t="n"/>
      <c r="I353" s="5" t="n"/>
      <c r="J353" s="5" t="n"/>
      <c r="K353" s="5" t="n"/>
      <c r="L353" s="5" t="n"/>
      <c r="M353" s="9" t="n"/>
      <c r="N353" s="9" t="n"/>
      <c r="O353" s="9" t="n"/>
      <c r="P353" s="9" t="n"/>
      <c r="Q353" s="9" t="n"/>
      <c r="R353" s="8">
        <f>IF($A353="","",COUNTIF(INV_Product,$A353))</f>
        <v/>
      </c>
      <c r="S353" s="8">
        <f>IF($A353="","",COUNTIFS(INV_Product,$A353,INV_Status,"Available"))</f>
        <v/>
      </c>
      <c r="T353" s="8">
        <f>IF($D353="","",IF(COUNTIFS(DD_PairCategory,$C353,DD_Subcategory,$D353)&gt;0,"ok","✗ "&amp;$D353&amp;" is not under "&amp;$C353))</f>
        <v/>
      </c>
      <c r="U353" s="8">
        <f>IF($F353="","",IF(COUNTIFS(PM_Brand,$E353,PM_Model,$F353)&gt;1,"⚠ duplicate product",IF(AND($B353&lt;&gt;"",COUNTIF(PM_Short,$B353)&gt;1),"⚠ short code reused","")))</f>
        <v/>
      </c>
      <c r="V353" s="5" t="n"/>
    </row>
    <row r="354">
      <c r="A354" s="8">
        <f>IF($F354="","","PRD-"&amp;TEXT(ROW()-3,"0000"))</f>
        <v/>
      </c>
      <c r="B354" s="5" t="n"/>
      <c r="C354" s="5" t="n"/>
      <c r="D354" s="5" t="n"/>
      <c r="E354" s="5" t="n"/>
      <c r="F354" s="5" t="n"/>
      <c r="G354" s="5" t="n"/>
      <c r="H354" s="5" t="n"/>
      <c r="I354" s="5" t="n"/>
      <c r="J354" s="5" t="n"/>
      <c r="K354" s="5" t="n"/>
      <c r="L354" s="5" t="n"/>
      <c r="M354" s="9" t="n"/>
      <c r="N354" s="9" t="n"/>
      <c r="O354" s="9" t="n"/>
      <c r="P354" s="9" t="n"/>
      <c r="Q354" s="9" t="n"/>
      <c r="R354" s="8">
        <f>IF($A354="","",COUNTIF(INV_Product,$A354))</f>
        <v/>
      </c>
      <c r="S354" s="8">
        <f>IF($A354="","",COUNTIFS(INV_Product,$A354,INV_Status,"Available"))</f>
        <v/>
      </c>
      <c r="T354" s="8">
        <f>IF($D354="","",IF(COUNTIFS(DD_PairCategory,$C354,DD_Subcategory,$D354)&gt;0,"ok","✗ "&amp;$D354&amp;" is not under "&amp;$C354))</f>
        <v/>
      </c>
      <c r="U354" s="8">
        <f>IF($F354="","",IF(COUNTIFS(PM_Brand,$E354,PM_Model,$F354)&gt;1,"⚠ duplicate product",IF(AND($B354&lt;&gt;"",COUNTIF(PM_Short,$B354)&gt;1),"⚠ short code reused","")))</f>
        <v/>
      </c>
      <c r="V354" s="5" t="n"/>
    </row>
    <row r="355">
      <c r="A355" s="8">
        <f>IF($F355="","","PRD-"&amp;TEXT(ROW()-3,"0000"))</f>
        <v/>
      </c>
      <c r="B355" s="5" t="n"/>
      <c r="C355" s="5" t="n"/>
      <c r="D355" s="5" t="n"/>
      <c r="E355" s="5" t="n"/>
      <c r="F355" s="5" t="n"/>
      <c r="G355" s="5" t="n"/>
      <c r="H355" s="5" t="n"/>
      <c r="I355" s="5" t="n"/>
      <c r="J355" s="5" t="n"/>
      <c r="K355" s="5" t="n"/>
      <c r="L355" s="5" t="n"/>
      <c r="M355" s="9" t="n"/>
      <c r="N355" s="9" t="n"/>
      <c r="O355" s="9" t="n"/>
      <c r="P355" s="9" t="n"/>
      <c r="Q355" s="9" t="n"/>
      <c r="R355" s="8">
        <f>IF($A355="","",COUNTIF(INV_Product,$A355))</f>
        <v/>
      </c>
      <c r="S355" s="8">
        <f>IF($A355="","",COUNTIFS(INV_Product,$A355,INV_Status,"Available"))</f>
        <v/>
      </c>
      <c r="T355" s="8">
        <f>IF($D355="","",IF(COUNTIFS(DD_PairCategory,$C355,DD_Subcategory,$D355)&gt;0,"ok","✗ "&amp;$D355&amp;" is not under "&amp;$C355))</f>
        <v/>
      </c>
      <c r="U355" s="8">
        <f>IF($F355="","",IF(COUNTIFS(PM_Brand,$E355,PM_Model,$F355)&gt;1,"⚠ duplicate product",IF(AND($B355&lt;&gt;"",COUNTIF(PM_Short,$B355)&gt;1),"⚠ short code reused","")))</f>
        <v/>
      </c>
      <c r="V355" s="5" t="n"/>
    </row>
    <row r="356">
      <c r="A356" s="8">
        <f>IF($F356="","","PRD-"&amp;TEXT(ROW()-3,"0000"))</f>
        <v/>
      </c>
      <c r="B356" s="5" t="n"/>
      <c r="C356" s="5" t="n"/>
      <c r="D356" s="5" t="n"/>
      <c r="E356" s="5" t="n"/>
      <c r="F356" s="5" t="n"/>
      <c r="G356" s="5" t="n"/>
      <c r="H356" s="5" t="n"/>
      <c r="I356" s="5" t="n"/>
      <c r="J356" s="5" t="n"/>
      <c r="K356" s="5" t="n"/>
      <c r="L356" s="5" t="n"/>
      <c r="M356" s="9" t="n"/>
      <c r="N356" s="9" t="n"/>
      <c r="O356" s="9" t="n"/>
      <c r="P356" s="9" t="n"/>
      <c r="Q356" s="9" t="n"/>
      <c r="R356" s="8">
        <f>IF($A356="","",COUNTIF(INV_Product,$A356))</f>
        <v/>
      </c>
      <c r="S356" s="8">
        <f>IF($A356="","",COUNTIFS(INV_Product,$A356,INV_Status,"Available"))</f>
        <v/>
      </c>
      <c r="T356" s="8">
        <f>IF($D356="","",IF(COUNTIFS(DD_PairCategory,$C356,DD_Subcategory,$D356)&gt;0,"ok","✗ "&amp;$D356&amp;" is not under "&amp;$C356))</f>
        <v/>
      </c>
      <c r="U356" s="8">
        <f>IF($F356="","",IF(COUNTIFS(PM_Brand,$E356,PM_Model,$F356)&gt;1,"⚠ duplicate product",IF(AND($B356&lt;&gt;"",COUNTIF(PM_Short,$B356)&gt;1),"⚠ short code reused","")))</f>
        <v/>
      </c>
      <c r="V356" s="5" t="n"/>
    </row>
    <row r="357">
      <c r="A357" s="8">
        <f>IF($F357="","","PRD-"&amp;TEXT(ROW()-3,"0000"))</f>
        <v/>
      </c>
      <c r="B357" s="5" t="n"/>
      <c r="C357" s="5" t="n"/>
      <c r="D357" s="5" t="n"/>
      <c r="E357" s="5" t="n"/>
      <c r="F357" s="5" t="n"/>
      <c r="G357" s="5" t="n"/>
      <c r="H357" s="5" t="n"/>
      <c r="I357" s="5" t="n"/>
      <c r="J357" s="5" t="n"/>
      <c r="K357" s="5" t="n"/>
      <c r="L357" s="5" t="n"/>
      <c r="M357" s="9" t="n"/>
      <c r="N357" s="9" t="n"/>
      <c r="O357" s="9" t="n"/>
      <c r="P357" s="9" t="n"/>
      <c r="Q357" s="9" t="n"/>
      <c r="R357" s="8">
        <f>IF($A357="","",COUNTIF(INV_Product,$A357))</f>
        <v/>
      </c>
      <c r="S357" s="8">
        <f>IF($A357="","",COUNTIFS(INV_Product,$A357,INV_Status,"Available"))</f>
        <v/>
      </c>
      <c r="T357" s="8">
        <f>IF($D357="","",IF(COUNTIFS(DD_PairCategory,$C357,DD_Subcategory,$D357)&gt;0,"ok","✗ "&amp;$D357&amp;" is not under "&amp;$C357))</f>
        <v/>
      </c>
      <c r="U357" s="8">
        <f>IF($F357="","",IF(COUNTIFS(PM_Brand,$E357,PM_Model,$F357)&gt;1,"⚠ duplicate product",IF(AND($B357&lt;&gt;"",COUNTIF(PM_Short,$B357)&gt;1),"⚠ short code reused","")))</f>
        <v/>
      </c>
      <c r="V357" s="5" t="n"/>
    </row>
    <row r="358">
      <c r="A358" s="8">
        <f>IF($F358="","","PRD-"&amp;TEXT(ROW()-3,"0000"))</f>
        <v/>
      </c>
      <c r="B358" s="5" t="n"/>
      <c r="C358" s="5" t="n"/>
      <c r="D358" s="5" t="n"/>
      <c r="E358" s="5" t="n"/>
      <c r="F358" s="5" t="n"/>
      <c r="G358" s="5" t="n"/>
      <c r="H358" s="5" t="n"/>
      <c r="I358" s="5" t="n"/>
      <c r="J358" s="5" t="n"/>
      <c r="K358" s="5" t="n"/>
      <c r="L358" s="5" t="n"/>
      <c r="M358" s="9" t="n"/>
      <c r="N358" s="9" t="n"/>
      <c r="O358" s="9" t="n"/>
      <c r="P358" s="9" t="n"/>
      <c r="Q358" s="9" t="n"/>
      <c r="R358" s="8">
        <f>IF($A358="","",COUNTIF(INV_Product,$A358))</f>
        <v/>
      </c>
      <c r="S358" s="8">
        <f>IF($A358="","",COUNTIFS(INV_Product,$A358,INV_Status,"Available"))</f>
        <v/>
      </c>
      <c r="T358" s="8">
        <f>IF($D358="","",IF(COUNTIFS(DD_PairCategory,$C358,DD_Subcategory,$D358)&gt;0,"ok","✗ "&amp;$D358&amp;" is not under "&amp;$C358))</f>
        <v/>
      </c>
      <c r="U358" s="8">
        <f>IF($F358="","",IF(COUNTIFS(PM_Brand,$E358,PM_Model,$F358)&gt;1,"⚠ duplicate product",IF(AND($B358&lt;&gt;"",COUNTIF(PM_Short,$B358)&gt;1),"⚠ short code reused","")))</f>
        <v/>
      </c>
      <c r="V358" s="5" t="n"/>
    </row>
    <row r="359">
      <c r="A359" s="8">
        <f>IF($F359="","","PRD-"&amp;TEXT(ROW()-3,"0000"))</f>
        <v/>
      </c>
      <c r="B359" s="5" t="n"/>
      <c r="C359" s="5" t="n"/>
      <c r="D359" s="5" t="n"/>
      <c r="E359" s="5" t="n"/>
      <c r="F359" s="5" t="n"/>
      <c r="G359" s="5" t="n"/>
      <c r="H359" s="5" t="n"/>
      <c r="I359" s="5" t="n"/>
      <c r="J359" s="5" t="n"/>
      <c r="K359" s="5" t="n"/>
      <c r="L359" s="5" t="n"/>
      <c r="M359" s="9" t="n"/>
      <c r="N359" s="9" t="n"/>
      <c r="O359" s="9" t="n"/>
      <c r="P359" s="9" t="n"/>
      <c r="Q359" s="9" t="n"/>
      <c r="R359" s="8">
        <f>IF($A359="","",COUNTIF(INV_Product,$A359))</f>
        <v/>
      </c>
      <c r="S359" s="8">
        <f>IF($A359="","",COUNTIFS(INV_Product,$A359,INV_Status,"Available"))</f>
        <v/>
      </c>
      <c r="T359" s="8">
        <f>IF($D359="","",IF(COUNTIFS(DD_PairCategory,$C359,DD_Subcategory,$D359)&gt;0,"ok","✗ "&amp;$D359&amp;" is not under "&amp;$C359))</f>
        <v/>
      </c>
      <c r="U359" s="8">
        <f>IF($F359="","",IF(COUNTIFS(PM_Brand,$E359,PM_Model,$F359)&gt;1,"⚠ duplicate product",IF(AND($B359&lt;&gt;"",COUNTIF(PM_Short,$B359)&gt;1),"⚠ short code reused","")))</f>
        <v/>
      </c>
      <c r="V359" s="5" t="n"/>
    </row>
    <row r="360">
      <c r="A360" s="8">
        <f>IF($F360="","","PRD-"&amp;TEXT(ROW()-3,"0000"))</f>
        <v/>
      </c>
      <c r="B360" s="5" t="n"/>
      <c r="C360" s="5" t="n"/>
      <c r="D360" s="5" t="n"/>
      <c r="E360" s="5" t="n"/>
      <c r="F360" s="5" t="n"/>
      <c r="G360" s="5" t="n"/>
      <c r="H360" s="5" t="n"/>
      <c r="I360" s="5" t="n"/>
      <c r="J360" s="5" t="n"/>
      <c r="K360" s="5" t="n"/>
      <c r="L360" s="5" t="n"/>
      <c r="M360" s="9" t="n"/>
      <c r="N360" s="9" t="n"/>
      <c r="O360" s="9" t="n"/>
      <c r="P360" s="9" t="n"/>
      <c r="Q360" s="9" t="n"/>
      <c r="R360" s="8">
        <f>IF($A360="","",COUNTIF(INV_Product,$A360))</f>
        <v/>
      </c>
      <c r="S360" s="8">
        <f>IF($A360="","",COUNTIFS(INV_Product,$A360,INV_Status,"Available"))</f>
        <v/>
      </c>
      <c r="T360" s="8">
        <f>IF($D360="","",IF(COUNTIFS(DD_PairCategory,$C360,DD_Subcategory,$D360)&gt;0,"ok","✗ "&amp;$D360&amp;" is not under "&amp;$C360))</f>
        <v/>
      </c>
      <c r="U360" s="8">
        <f>IF($F360="","",IF(COUNTIFS(PM_Brand,$E360,PM_Model,$F360)&gt;1,"⚠ duplicate product",IF(AND($B360&lt;&gt;"",COUNTIF(PM_Short,$B360)&gt;1),"⚠ short code reused","")))</f>
        <v/>
      </c>
      <c r="V360" s="5" t="n"/>
    </row>
    <row r="361">
      <c r="A361" s="8">
        <f>IF($F361="","","PRD-"&amp;TEXT(ROW()-3,"0000"))</f>
        <v/>
      </c>
      <c r="B361" s="5" t="n"/>
      <c r="C361" s="5" t="n"/>
      <c r="D361" s="5" t="n"/>
      <c r="E361" s="5" t="n"/>
      <c r="F361" s="5" t="n"/>
      <c r="G361" s="5" t="n"/>
      <c r="H361" s="5" t="n"/>
      <c r="I361" s="5" t="n"/>
      <c r="J361" s="5" t="n"/>
      <c r="K361" s="5" t="n"/>
      <c r="L361" s="5" t="n"/>
      <c r="M361" s="9" t="n"/>
      <c r="N361" s="9" t="n"/>
      <c r="O361" s="9" t="n"/>
      <c r="P361" s="9" t="n"/>
      <c r="Q361" s="9" t="n"/>
      <c r="R361" s="8">
        <f>IF($A361="","",COUNTIF(INV_Product,$A361))</f>
        <v/>
      </c>
      <c r="S361" s="8">
        <f>IF($A361="","",COUNTIFS(INV_Product,$A361,INV_Status,"Available"))</f>
        <v/>
      </c>
      <c r="T361" s="8">
        <f>IF($D361="","",IF(COUNTIFS(DD_PairCategory,$C361,DD_Subcategory,$D361)&gt;0,"ok","✗ "&amp;$D361&amp;" is not under "&amp;$C361))</f>
        <v/>
      </c>
      <c r="U361" s="8">
        <f>IF($F361="","",IF(COUNTIFS(PM_Brand,$E361,PM_Model,$F361)&gt;1,"⚠ duplicate product",IF(AND($B361&lt;&gt;"",COUNTIF(PM_Short,$B361)&gt;1),"⚠ short code reused","")))</f>
        <v/>
      </c>
      <c r="V361" s="5" t="n"/>
    </row>
    <row r="362">
      <c r="A362" s="8">
        <f>IF($F362="","","PRD-"&amp;TEXT(ROW()-3,"0000"))</f>
        <v/>
      </c>
      <c r="B362" s="5" t="n"/>
      <c r="C362" s="5" t="n"/>
      <c r="D362" s="5" t="n"/>
      <c r="E362" s="5" t="n"/>
      <c r="F362" s="5" t="n"/>
      <c r="G362" s="5" t="n"/>
      <c r="H362" s="5" t="n"/>
      <c r="I362" s="5" t="n"/>
      <c r="J362" s="5" t="n"/>
      <c r="K362" s="5" t="n"/>
      <c r="L362" s="5" t="n"/>
      <c r="M362" s="9" t="n"/>
      <c r="N362" s="9" t="n"/>
      <c r="O362" s="9" t="n"/>
      <c r="P362" s="9" t="n"/>
      <c r="Q362" s="9" t="n"/>
      <c r="R362" s="8">
        <f>IF($A362="","",COUNTIF(INV_Product,$A362))</f>
        <v/>
      </c>
      <c r="S362" s="8">
        <f>IF($A362="","",COUNTIFS(INV_Product,$A362,INV_Status,"Available"))</f>
        <v/>
      </c>
      <c r="T362" s="8">
        <f>IF($D362="","",IF(COUNTIFS(DD_PairCategory,$C362,DD_Subcategory,$D362)&gt;0,"ok","✗ "&amp;$D362&amp;" is not under "&amp;$C362))</f>
        <v/>
      </c>
      <c r="U362" s="8">
        <f>IF($F362="","",IF(COUNTIFS(PM_Brand,$E362,PM_Model,$F362)&gt;1,"⚠ duplicate product",IF(AND($B362&lt;&gt;"",COUNTIF(PM_Short,$B362)&gt;1),"⚠ short code reused","")))</f>
        <v/>
      </c>
      <c r="V362" s="5" t="n"/>
    </row>
    <row r="363">
      <c r="A363" s="8">
        <f>IF($F363="","","PRD-"&amp;TEXT(ROW()-3,"0000"))</f>
        <v/>
      </c>
      <c r="B363" s="5" t="n"/>
      <c r="C363" s="5" t="n"/>
      <c r="D363" s="5" t="n"/>
      <c r="E363" s="5" t="n"/>
      <c r="F363" s="5" t="n"/>
      <c r="G363" s="5" t="n"/>
      <c r="H363" s="5" t="n"/>
      <c r="I363" s="5" t="n"/>
      <c r="J363" s="5" t="n"/>
      <c r="K363" s="5" t="n"/>
      <c r="L363" s="5" t="n"/>
      <c r="M363" s="9" t="n"/>
      <c r="N363" s="9" t="n"/>
      <c r="O363" s="9" t="n"/>
      <c r="P363" s="9" t="n"/>
      <c r="Q363" s="9" t="n"/>
      <c r="R363" s="8">
        <f>IF($A363="","",COUNTIF(INV_Product,$A363))</f>
        <v/>
      </c>
      <c r="S363" s="8">
        <f>IF($A363="","",COUNTIFS(INV_Product,$A363,INV_Status,"Available"))</f>
        <v/>
      </c>
      <c r="T363" s="8">
        <f>IF($D363="","",IF(COUNTIFS(DD_PairCategory,$C363,DD_Subcategory,$D363)&gt;0,"ok","✗ "&amp;$D363&amp;" is not under "&amp;$C363))</f>
        <v/>
      </c>
      <c r="U363" s="8">
        <f>IF($F363="","",IF(COUNTIFS(PM_Brand,$E363,PM_Model,$F363)&gt;1,"⚠ duplicate product",IF(AND($B363&lt;&gt;"",COUNTIF(PM_Short,$B363)&gt;1),"⚠ short code reused","")))</f>
        <v/>
      </c>
      <c r="V363" s="5" t="n"/>
    </row>
    <row r="364">
      <c r="A364" s="8">
        <f>IF($F364="","","PRD-"&amp;TEXT(ROW()-3,"0000"))</f>
        <v/>
      </c>
      <c r="B364" s="5" t="n"/>
      <c r="C364" s="5" t="n"/>
      <c r="D364" s="5" t="n"/>
      <c r="E364" s="5" t="n"/>
      <c r="F364" s="5" t="n"/>
      <c r="G364" s="5" t="n"/>
      <c r="H364" s="5" t="n"/>
      <c r="I364" s="5" t="n"/>
      <c r="J364" s="5" t="n"/>
      <c r="K364" s="5" t="n"/>
      <c r="L364" s="5" t="n"/>
      <c r="M364" s="9" t="n"/>
      <c r="N364" s="9" t="n"/>
      <c r="O364" s="9" t="n"/>
      <c r="P364" s="9" t="n"/>
      <c r="Q364" s="9" t="n"/>
      <c r="R364" s="8">
        <f>IF($A364="","",COUNTIF(INV_Product,$A364))</f>
        <v/>
      </c>
      <c r="S364" s="8">
        <f>IF($A364="","",COUNTIFS(INV_Product,$A364,INV_Status,"Available"))</f>
        <v/>
      </c>
      <c r="T364" s="8">
        <f>IF($D364="","",IF(COUNTIFS(DD_PairCategory,$C364,DD_Subcategory,$D364)&gt;0,"ok","✗ "&amp;$D364&amp;" is not under "&amp;$C364))</f>
        <v/>
      </c>
      <c r="U364" s="8">
        <f>IF($F364="","",IF(COUNTIFS(PM_Brand,$E364,PM_Model,$F364)&gt;1,"⚠ duplicate product",IF(AND($B364&lt;&gt;"",COUNTIF(PM_Short,$B364)&gt;1),"⚠ short code reused","")))</f>
        <v/>
      </c>
      <c r="V364" s="5" t="n"/>
    </row>
    <row r="365">
      <c r="A365" s="8">
        <f>IF($F365="","","PRD-"&amp;TEXT(ROW()-3,"0000"))</f>
        <v/>
      </c>
      <c r="B365" s="5" t="n"/>
      <c r="C365" s="5" t="n"/>
      <c r="D365" s="5" t="n"/>
      <c r="E365" s="5" t="n"/>
      <c r="F365" s="5" t="n"/>
      <c r="G365" s="5" t="n"/>
      <c r="H365" s="5" t="n"/>
      <c r="I365" s="5" t="n"/>
      <c r="J365" s="5" t="n"/>
      <c r="K365" s="5" t="n"/>
      <c r="L365" s="5" t="n"/>
      <c r="M365" s="9" t="n"/>
      <c r="N365" s="9" t="n"/>
      <c r="O365" s="9" t="n"/>
      <c r="P365" s="9" t="n"/>
      <c r="Q365" s="9" t="n"/>
      <c r="R365" s="8">
        <f>IF($A365="","",COUNTIF(INV_Product,$A365))</f>
        <v/>
      </c>
      <c r="S365" s="8">
        <f>IF($A365="","",COUNTIFS(INV_Product,$A365,INV_Status,"Available"))</f>
        <v/>
      </c>
      <c r="T365" s="8">
        <f>IF($D365="","",IF(COUNTIFS(DD_PairCategory,$C365,DD_Subcategory,$D365)&gt;0,"ok","✗ "&amp;$D365&amp;" is not under "&amp;$C365))</f>
        <v/>
      </c>
      <c r="U365" s="8">
        <f>IF($F365="","",IF(COUNTIFS(PM_Brand,$E365,PM_Model,$F365)&gt;1,"⚠ duplicate product",IF(AND($B365&lt;&gt;"",COUNTIF(PM_Short,$B365)&gt;1),"⚠ short code reused","")))</f>
        <v/>
      </c>
      <c r="V365" s="5" t="n"/>
    </row>
    <row r="366">
      <c r="A366" s="8">
        <f>IF($F366="","","PRD-"&amp;TEXT(ROW()-3,"0000"))</f>
        <v/>
      </c>
      <c r="B366" s="5" t="n"/>
      <c r="C366" s="5" t="n"/>
      <c r="D366" s="5" t="n"/>
      <c r="E366" s="5" t="n"/>
      <c r="F366" s="5" t="n"/>
      <c r="G366" s="5" t="n"/>
      <c r="H366" s="5" t="n"/>
      <c r="I366" s="5" t="n"/>
      <c r="J366" s="5" t="n"/>
      <c r="K366" s="5" t="n"/>
      <c r="L366" s="5" t="n"/>
      <c r="M366" s="9" t="n"/>
      <c r="N366" s="9" t="n"/>
      <c r="O366" s="9" t="n"/>
      <c r="P366" s="9" t="n"/>
      <c r="Q366" s="9" t="n"/>
      <c r="R366" s="8">
        <f>IF($A366="","",COUNTIF(INV_Product,$A366))</f>
        <v/>
      </c>
      <c r="S366" s="8">
        <f>IF($A366="","",COUNTIFS(INV_Product,$A366,INV_Status,"Available"))</f>
        <v/>
      </c>
      <c r="T366" s="8">
        <f>IF($D366="","",IF(COUNTIFS(DD_PairCategory,$C366,DD_Subcategory,$D366)&gt;0,"ok","✗ "&amp;$D366&amp;" is not under "&amp;$C366))</f>
        <v/>
      </c>
      <c r="U366" s="8">
        <f>IF($F366="","",IF(COUNTIFS(PM_Brand,$E366,PM_Model,$F366)&gt;1,"⚠ duplicate product",IF(AND($B366&lt;&gt;"",COUNTIF(PM_Short,$B366)&gt;1),"⚠ short code reused","")))</f>
        <v/>
      </c>
      <c r="V366" s="5" t="n"/>
    </row>
    <row r="367">
      <c r="A367" s="8">
        <f>IF($F367="","","PRD-"&amp;TEXT(ROW()-3,"0000"))</f>
        <v/>
      </c>
      <c r="B367" s="5" t="n"/>
      <c r="C367" s="5" t="n"/>
      <c r="D367" s="5" t="n"/>
      <c r="E367" s="5" t="n"/>
      <c r="F367" s="5" t="n"/>
      <c r="G367" s="5" t="n"/>
      <c r="H367" s="5" t="n"/>
      <c r="I367" s="5" t="n"/>
      <c r="J367" s="5" t="n"/>
      <c r="K367" s="5" t="n"/>
      <c r="L367" s="5" t="n"/>
      <c r="M367" s="9" t="n"/>
      <c r="N367" s="9" t="n"/>
      <c r="O367" s="9" t="n"/>
      <c r="P367" s="9" t="n"/>
      <c r="Q367" s="9" t="n"/>
      <c r="R367" s="8">
        <f>IF($A367="","",COUNTIF(INV_Product,$A367))</f>
        <v/>
      </c>
      <c r="S367" s="8">
        <f>IF($A367="","",COUNTIFS(INV_Product,$A367,INV_Status,"Available"))</f>
        <v/>
      </c>
      <c r="T367" s="8">
        <f>IF($D367="","",IF(COUNTIFS(DD_PairCategory,$C367,DD_Subcategory,$D367)&gt;0,"ok","✗ "&amp;$D367&amp;" is not under "&amp;$C367))</f>
        <v/>
      </c>
      <c r="U367" s="8">
        <f>IF($F367="","",IF(COUNTIFS(PM_Brand,$E367,PM_Model,$F367)&gt;1,"⚠ duplicate product",IF(AND($B367&lt;&gt;"",COUNTIF(PM_Short,$B367)&gt;1),"⚠ short code reused","")))</f>
        <v/>
      </c>
      <c r="V367" s="5" t="n"/>
    </row>
    <row r="368">
      <c r="A368" s="8">
        <f>IF($F368="","","PRD-"&amp;TEXT(ROW()-3,"0000"))</f>
        <v/>
      </c>
      <c r="B368" s="5" t="n"/>
      <c r="C368" s="5" t="n"/>
      <c r="D368" s="5" t="n"/>
      <c r="E368" s="5" t="n"/>
      <c r="F368" s="5" t="n"/>
      <c r="G368" s="5" t="n"/>
      <c r="H368" s="5" t="n"/>
      <c r="I368" s="5" t="n"/>
      <c r="J368" s="5" t="n"/>
      <c r="K368" s="5" t="n"/>
      <c r="L368" s="5" t="n"/>
      <c r="M368" s="9" t="n"/>
      <c r="N368" s="9" t="n"/>
      <c r="O368" s="9" t="n"/>
      <c r="P368" s="9" t="n"/>
      <c r="Q368" s="9" t="n"/>
      <c r="R368" s="8">
        <f>IF($A368="","",COUNTIF(INV_Product,$A368))</f>
        <v/>
      </c>
      <c r="S368" s="8">
        <f>IF($A368="","",COUNTIFS(INV_Product,$A368,INV_Status,"Available"))</f>
        <v/>
      </c>
      <c r="T368" s="8">
        <f>IF($D368="","",IF(COUNTIFS(DD_PairCategory,$C368,DD_Subcategory,$D368)&gt;0,"ok","✗ "&amp;$D368&amp;" is not under "&amp;$C368))</f>
        <v/>
      </c>
      <c r="U368" s="8">
        <f>IF($F368="","",IF(COUNTIFS(PM_Brand,$E368,PM_Model,$F368)&gt;1,"⚠ duplicate product",IF(AND($B368&lt;&gt;"",COUNTIF(PM_Short,$B368)&gt;1),"⚠ short code reused","")))</f>
        <v/>
      </c>
      <c r="V368" s="5" t="n"/>
    </row>
    <row r="369">
      <c r="A369" s="8">
        <f>IF($F369="","","PRD-"&amp;TEXT(ROW()-3,"0000"))</f>
        <v/>
      </c>
      <c r="B369" s="5" t="n"/>
      <c r="C369" s="5" t="n"/>
      <c r="D369" s="5" t="n"/>
      <c r="E369" s="5" t="n"/>
      <c r="F369" s="5" t="n"/>
      <c r="G369" s="5" t="n"/>
      <c r="H369" s="5" t="n"/>
      <c r="I369" s="5" t="n"/>
      <c r="J369" s="5" t="n"/>
      <c r="K369" s="5" t="n"/>
      <c r="L369" s="5" t="n"/>
      <c r="M369" s="9" t="n"/>
      <c r="N369" s="9" t="n"/>
      <c r="O369" s="9" t="n"/>
      <c r="P369" s="9" t="n"/>
      <c r="Q369" s="9" t="n"/>
      <c r="R369" s="8">
        <f>IF($A369="","",COUNTIF(INV_Product,$A369))</f>
        <v/>
      </c>
      <c r="S369" s="8">
        <f>IF($A369="","",COUNTIFS(INV_Product,$A369,INV_Status,"Available"))</f>
        <v/>
      </c>
      <c r="T369" s="8">
        <f>IF($D369="","",IF(COUNTIFS(DD_PairCategory,$C369,DD_Subcategory,$D369)&gt;0,"ok","✗ "&amp;$D369&amp;" is not under "&amp;$C369))</f>
        <v/>
      </c>
      <c r="U369" s="8">
        <f>IF($F369="","",IF(COUNTIFS(PM_Brand,$E369,PM_Model,$F369)&gt;1,"⚠ duplicate product",IF(AND($B369&lt;&gt;"",COUNTIF(PM_Short,$B369)&gt;1),"⚠ short code reused","")))</f>
        <v/>
      </c>
      <c r="V369" s="5" t="n"/>
    </row>
    <row r="370">
      <c r="A370" s="8">
        <f>IF($F370="","","PRD-"&amp;TEXT(ROW()-3,"0000"))</f>
        <v/>
      </c>
      <c r="B370" s="5" t="n"/>
      <c r="C370" s="5" t="n"/>
      <c r="D370" s="5" t="n"/>
      <c r="E370" s="5" t="n"/>
      <c r="F370" s="5" t="n"/>
      <c r="G370" s="5" t="n"/>
      <c r="H370" s="5" t="n"/>
      <c r="I370" s="5" t="n"/>
      <c r="J370" s="5" t="n"/>
      <c r="K370" s="5" t="n"/>
      <c r="L370" s="5" t="n"/>
      <c r="M370" s="9" t="n"/>
      <c r="N370" s="9" t="n"/>
      <c r="O370" s="9" t="n"/>
      <c r="P370" s="9" t="n"/>
      <c r="Q370" s="9" t="n"/>
      <c r="R370" s="8">
        <f>IF($A370="","",COUNTIF(INV_Product,$A370))</f>
        <v/>
      </c>
      <c r="S370" s="8">
        <f>IF($A370="","",COUNTIFS(INV_Product,$A370,INV_Status,"Available"))</f>
        <v/>
      </c>
      <c r="T370" s="8">
        <f>IF($D370="","",IF(COUNTIFS(DD_PairCategory,$C370,DD_Subcategory,$D370)&gt;0,"ok","✗ "&amp;$D370&amp;" is not under "&amp;$C370))</f>
        <v/>
      </c>
      <c r="U370" s="8">
        <f>IF($F370="","",IF(COUNTIFS(PM_Brand,$E370,PM_Model,$F370)&gt;1,"⚠ duplicate product",IF(AND($B370&lt;&gt;"",COUNTIF(PM_Short,$B370)&gt;1),"⚠ short code reused","")))</f>
        <v/>
      </c>
      <c r="V370" s="5" t="n"/>
    </row>
    <row r="371">
      <c r="A371" s="8">
        <f>IF($F371="","","PRD-"&amp;TEXT(ROW()-3,"0000"))</f>
        <v/>
      </c>
      <c r="B371" s="5" t="n"/>
      <c r="C371" s="5" t="n"/>
      <c r="D371" s="5" t="n"/>
      <c r="E371" s="5" t="n"/>
      <c r="F371" s="5" t="n"/>
      <c r="G371" s="5" t="n"/>
      <c r="H371" s="5" t="n"/>
      <c r="I371" s="5" t="n"/>
      <c r="J371" s="5" t="n"/>
      <c r="K371" s="5" t="n"/>
      <c r="L371" s="5" t="n"/>
      <c r="M371" s="9" t="n"/>
      <c r="N371" s="9" t="n"/>
      <c r="O371" s="9" t="n"/>
      <c r="P371" s="9" t="n"/>
      <c r="Q371" s="9" t="n"/>
      <c r="R371" s="8">
        <f>IF($A371="","",COUNTIF(INV_Product,$A371))</f>
        <v/>
      </c>
      <c r="S371" s="8">
        <f>IF($A371="","",COUNTIFS(INV_Product,$A371,INV_Status,"Available"))</f>
        <v/>
      </c>
      <c r="T371" s="8">
        <f>IF($D371="","",IF(COUNTIFS(DD_PairCategory,$C371,DD_Subcategory,$D371)&gt;0,"ok","✗ "&amp;$D371&amp;" is not under "&amp;$C371))</f>
        <v/>
      </c>
      <c r="U371" s="8">
        <f>IF($F371="","",IF(COUNTIFS(PM_Brand,$E371,PM_Model,$F371)&gt;1,"⚠ duplicate product",IF(AND($B371&lt;&gt;"",COUNTIF(PM_Short,$B371)&gt;1),"⚠ short code reused","")))</f>
        <v/>
      </c>
      <c r="V371" s="5" t="n"/>
    </row>
    <row r="372">
      <c r="A372" s="8">
        <f>IF($F372="","","PRD-"&amp;TEXT(ROW()-3,"0000"))</f>
        <v/>
      </c>
      <c r="B372" s="5" t="n"/>
      <c r="C372" s="5" t="n"/>
      <c r="D372" s="5" t="n"/>
      <c r="E372" s="5" t="n"/>
      <c r="F372" s="5" t="n"/>
      <c r="G372" s="5" t="n"/>
      <c r="H372" s="5" t="n"/>
      <c r="I372" s="5" t="n"/>
      <c r="J372" s="5" t="n"/>
      <c r="K372" s="5" t="n"/>
      <c r="L372" s="5" t="n"/>
      <c r="M372" s="9" t="n"/>
      <c r="N372" s="9" t="n"/>
      <c r="O372" s="9" t="n"/>
      <c r="P372" s="9" t="n"/>
      <c r="Q372" s="9" t="n"/>
      <c r="R372" s="8">
        <f>IF($A372="","",COUNTIF(INV_Product,$A372))</f>
        <v/>
      </c>
      <c r="S372" s="8">
        <f>IF($A372="","",COUNTIFS(INV_Product,$A372,INV_Status,"Available"))</f>
        <v/>
      </c>
      <c r="T372" s="8">
        <f>IF($D372="","",IF(COUNTIFS(DD_PairCategory,$C372,DD_Subcategory,$D372)&gt;0,"ok","✗ "&amp;$D372&amp;" is not under "&amp;$C372))</f>
        <v/>
      </c>
      <c r="U372" s="8">
        <f>IF($F372="","",IF(COUNTIFS(PM_Brand,$E372,PM_Model,$F372)&gt;1,"⚠ duplicate product",IF(AND($B372&lt;&gt;"",COUNTIF(PM_Short,$B372)&gt;1),"⚠ short code reused","")))</f>
        <v/>
      </c>
      <c r="V372" s="5" t="n"/>
    </row>
    <row r="373">
      <c r="A373" s="8">
        <f>IF($F373="","","PRD-"&amp;TEXT(ROW()-3,"0000"))</f>
        <v/>
      </c>
      <c r="B373" s="5" t="n"/>
      <c r="C373" s="5" t="n"/>
      <c r="D373" s="5" t="n"/>
      <c r="E373" s="5" t="n"/>
      <c r="F373" s="5" t="n"/>
      <c r="G373" s="5" t="n"/>
      <c r="H373" s="5" t="n"/>
      <c r="I373" s="5" t="n"/>
      <c r="J373" s="5" t="n"/>
      <c r="K373" s="5" t="n"/>
      <c r="L373" s="5" t="n"/>
      <c r="M373" s="9" t="n"/>
      <c r="N373" s="9" t="n"/>
      <c r="O373" s="9" t="n"/>
      <c r="P373" s="9" t="n"/>
      <c r="Q373" s="9" t="n"/>
      <c r="R373" s="8">
        <f>IF($A373="","",COUNTIF(INV_Product,$A373))</f>
        <v/>
      </c>
      <c r="S373" s="8">
        <f>IF($A373="","",COUNTIFS(INV_Product,$A373,INV_Status,"Available"))</f>
        <v/>
      </c>
      <c r="T373" s="8">
        <f>IF($D373="","",IF(COUNTIFS(DD_PairCategory,$C373,DD_Subcategory,$D373)&gt;0,"ok","✗ "&amp;$D373&amp;" is not under "&amp;$C373))</f>
        <v/>
      </c>
      <c r="U373" s="8">
        <f>IF($F373="","",IF(COUNTIFS(PM_Brand,$E373,PM_Model,$F373)&gt;1,"⚠ duplicate product",IF(AND($B373&lt;&gt;"",COUNTIF(PM_Short,$B373)&gt;1),"⚠ short code reused","")))</f>
        <v/>
      </c>
      <c r="V373" s="5" t="n"/>
    </row>
    <row r="374">
      <c r="A374" s="8">
        <f>IF($F374="","","PRD-"&amp;TEXT(ROW()-3,"0000"))</f>
        <v/>
      </c>
      <c r="B374" s="5" t="n"/>
      <c r="C374" s="5" t="n"/>
      <c r="D374" s="5" t="n"/>
      <c r="E374" s="5" t="n"/>
      <c r="F374" s="5" t="n"/>
      <c r="G374" s="5" t="n"/>
      <c r="H374" s="5" t="n"/>
      <c r="I374" s="5" t="n"/>
      <c r="J374" s="5" t="n"/>
      <c r="K374" s="5" t="n"/>
      <c r="L374" s="5" t="n"/>
      <c r="M374" s="9" t="n"/>
      <c r="N374" s="9" t="n"/>
      <c r="O374" s="9" t="n"/>
      <c r="P374" s="9" t="n"/>
      <c r="Q374" s="9" t="n"/>
      <c r="R374" s="8">
        <f>IF($A374="","",COUNTIF(INV_Product,$A374))</f>
        <v/>
      </c>
      <c r="S374" s="8">
        <f>IF($A374="","",COUNTIFS(INV_Product,$A374,INV_Status,"Available"))</f>
        <v/>
      </c>
      <c r="T374" s="8">
        <f>IF($D374="","",IF(COUNTIFS(DD_PairCategory,$C374,DD_Subcategory,$D374)&gt;0,"ok","✗ "&amp;$D374&amp;" is not under "&amp;$C374))</f>
        <v/>
      </c>
      <c r="U374" s="8">
        <f>IF($F374="","",IF(COUNTIFS(PM_Brand,$E374,PM_Model,$F374)&gt;1,"⚠ duplicate product",IF(AND($B374&lt;&gt;"",COUNTIF(PM_Short,$B374)&gt;1),"⚠ short code reused","")))</f>
        <v/>
      </c>
      <c r="V374" s="5" t="n"/>
    </row>
    <row r="375">
      <c r="A375" s="8">
        <f>IF($F375="","","PRD-"&amp;TEXT(ROW()-3,"0000"))</f>
        <v/>
      </c>
      <c r="B375" s="5" t="n"/>
      <c r="C375" s="5" t="n"/>
      <c r="D375" s="5" t="n"/>
      <c r="E375" s="5" t="n"/>
      <c r="F375" s="5" t="n"/>
      <c r="G375" s="5" t="n"/>
      <c r="H375" s="5" t="n"/>
      <c r="I375" s="5" t="n"/>
      <c r="J375" s="5" t="n"/>
      <c r="K375" s="5" t="n"/>
      <c r="L375" s="5" t="n"/>
      <c r="M375" s="9" t="n"/>
      <c r="N375" s="9" t="n"/>
      <c r="O375" s="9" t="n"/>
      <c r="P375" s="9" t="n"/>
      <c r="Q375" s="9" t="n"/>
      <c r="R375" s="8">
        <f>IF($A375="","",COUNTIF(INV_Product,$A375))</f>
        <v/>
      </c>
      <c r="S375" s="8">
        <f>IF($A375="","",COUNTIFS(INV_Product,$A375,INV_Status,"Available"))</f>
        <v/>
      </c>
      <c r="T375" s="8">
        <f>IF($D375="","",IF(COUNTIFS(DD_PairCategory,$C375,DD_Subcategory,$D375)&gt;0,"ok","✗ "&amp;$D375&amp;" is not under "&amp;$C375))</f>
        <v/>
      </c>
      <c r="U375" s="8">
        <f>IF($F375="","",IF(COUNTIFS(PM_Brand,$E375,PM_Model,$F375)&gt;1,"⚠ duplicate product",IF(AND($B375&lt;&gt;"",COUNTIF(PM_Short,$B375)&gt;1),"⚠ short code reused","")))</f>
        <v/>
      </c>
      <c r="V375" s="5" t="n"/>
    </row>
    <row r="376">
      <c r="A376" s="8">
        <f>IF($F376="","","PRD-"&amp;TEXT(ROW()-3,"0000"))</f>
        <v/>
      </c>
      <c r="B376" s="5" t="n"/>
      <c r="C376" s="5" t="n"/>
      <c r="D376" s="5" t="n"/>
      <c r="E376" s="5" t="n"/>
      <c r="F376" s="5" t="n"/>
      <c r="G376" s="5" t="n"/>
      <c r="H376" s="5" t="n"/>
      <c r="I376" s="5" t="n"/>
      <c r="J376" s="5" t="n"/>
      <c r="K376" s="5" t="n"/>
      <c r="L376" s="5" t="n"/>
      <c r="M376" s="9" t="n"/>
      <c r="N376" s="9" t="n"/>
      <c r="O376" s="9" t="n"/>
      <c r="P376" s="9" t="n"/>
      <c r="Q376" s="9" t="n"/>
      <c r="R376" s="8">
        <f>IF($A376="","",COUNTIF(INV_Product,$A376))</f>
        <v/>
      </c>
      <c r="S376" s="8">
        <f>IF($A376="","",COUNTIFS(INV_Product,$A376,INV_Status,"Available"))</f>
        <v/>
      </c>
      <c r="T376" s="8">
        <f>IF($D376="","",IF(COUNTIFS(DD_PairCategory,$C376,DD_Subcategory,$D376)&gt;0,"ok","✗ "&amp;$D376&amp;" is not under "&amp;$C376))</f>
        <v/>
      </c>
      <c r="U376" s="8">
        <f>IF($F376="","",IF(COUNTIFS(PM_Brand,$E376,PM_Model,$F376)&gt;1,"⚠ duplicate product",IF(AND($B376&lt;&gt;"",COUNTIF(PM_Short,$B376)&gt;1),"⚠ short code reused","")))</f>
        <v/>
      </c>
      <c r="V376" s="5" t="n"/>
    </row>
    <row r="377">
      <c r="A377" s="8">
        <f>IF($F377="","","PRD-"&amp;TEXT(ROW()-3,"0000"))</f>
        <v/>
      </c>
      <c r="B377" s="5" t="n"/>
      <c r="C377" s="5" t="n"/>
      <c r="D377" s="5" t="n"/>
      <c r="E377" s="5" t="n"/>
      <c r="F377" s="5" t="n"/>
      <c r="G377" s="5" t="n"/>
      <c r="H377" s="5" t="n"/>
      <c r="I377" s="5" t="n"/>
      <c r="J377" s="5" t="n"/>
      <c r="K377" s="5" t="n"/>
      <c r="L377" s="5" t="n"/>
      <c r="M377" s="9" t="n"/>
      <c r="N377" s="9" t="n"/>
      <c r="O377" s="9" t="n"/>
      <c r="P377" s="9" t="n"/>
      <c r="Q377" s="9" t="n"/>
      <c r="R377" s="8">
        <f>IF($A377="","",COUNTIF(INV_Product,$A377))</f>
        <v/>
      </c>
      <c r="S377" s="8">
        <f>IF($A377="","",COUNTIFS(INV_Product,$A377,INV_Status,"Available"))</f>
        <v/>
      </c>
      <c r="T377" s="8">
        <f>IF($D377="","",IF(COUNTIFS(DD_PairCategory,$C377,DD_Subcategory,$D377)&gt;0,"ok","✗ "&amp;$D377&amp;" is not under "&amp;$C377))</f>
        <v/>
      </c>
      <c r="U377" s="8">
        <f>IF($F377="","",IF(COUNTIFS(PM_Brand,$E377,PM_Model,$F377)&gt;1,"⚠ duplicate product",IF(AND($B377&lt;&gt;"",COUNTIF(PM_Short,$B377)&gt;1),"⚠ short code reused","")))</f>
        <v/>
      </c>
      <c r="V377" s="5" t="n"/>
    </row>
    <row r="378">
      <c r="A378" s="8">
        <f>IF($F378="","","PRD-"&amp;TEXT(ROW()-3,"0000"))</f>
        <v/>
      </c>
      <c r="B378" s="5" t="n"/>
      <c r="C378" s="5" t="n"/>
      <c r="D378" s="5" t="n"/>
      <c r="E378" s="5" t="n"/>
      <c r="F378" s="5" t="n"/>
      <c r="G378" s="5" t="n"/>
      <c r="H378" s="5" t="n"/>
      <c r="I378" s="5" t="n"/>
      <c r="J378" s="5" t="n"/>
      <c r="K378" s="5" t="n"/>
      <c r="L378" s="5" t="n"/>
      <c r="M378" s="9" t="n"/>
      <c r="N378" s="9" t="n"/>
      <c r="O378" s="9" t="n"/>
      <c r="P378" s="9" t="n"/>
      <c r="Q378" s="9" t="n"/>
      <c r="R378" s="8">
        <f>IF($A378="","",COUNTIF(INV_Product,$A378))</f>
        <v/>
      </c>
      <c r="S378" s="8">
        <f>IF($A378="","",COUNTIFS(INV_Product,$A378,INV_Status,"Available"))</f>
        <v/>
      </c>
      <c r="T378" s="8">
        <f>IF($D378="","",IF(COUNTIFS(DD_PairCategory,$C378,DD_Subcategory,$D378)&gt;0,"ok","✗ "&amp;$D378&amp;" is not under "&amp;$C378))</f>
        <v/>
      </c>
      <c r="U378" s="8">
        <f>IF($F378="","",IF(COUNTIFS(PM_Brand,$E378,PM_Model,$F378)&gt;1,"⚠ duplicate product",IF(AND($B378&lt;&gt;"",COUNTIF(PM_Short,$B378)&gt;1),"⚠ short code reused","")))</f>
        <v/>
      </c>
      <c r="V378" s="5" t="n"/>
    </row>
    <row r="379">
      <c r="A379" s="8">
        <f>IF($F379="","","PRD-"&amp;TEXT(ROW()-3,"0000"))</f>
        <v/>
      </c>
      <c r="B379" s="5" t="n"/>
      <c r="C379" s="5" t="n"/>
      <c r="D379" s="5" t="n"/>
      <c r="E379" s="5" t="n"/>
      <c r="F379" s="5" t="n"/>
      <c r="G379" s="5" t="n"/>
      <c r="H379" s="5" t="n"/>
      <c r="I379" s="5" t="n"/>
      <c r="J379" s="5" t="n"/>
      <c r="K379" s="5" t="n"/>
      <c r="L379" s="5" t="n"/>
      <c r="M379" s="9" t="n"/>
      <c r="N379" s="9" t="n"/>
      <c r="O379" s="9" t="n"/>
      <c r="P379" s="9" t="n"/>
      <c r="Q379" s="9" t="n"/>
      <c r="R379" s="8">
        <f>IF($A379="","",COUNTIF(INV_Product,$A379))</f>
        <v/>
      </c>
      <c r="S379" s="8">
        <f>IF($A379="","",COUNTIFS(INV_Product,$A379,INV_Status,"Available"))</f>
        <v/>
      </c>
      <c r="T379" s="8">
        <f>IF($D379="","",IF(COUNTIFS(DD_PairCategory,$C379,DD_Subcategory,$D379)&gt;0,"ok","✗ "&amp;$D379&amp;" is not under "&amp;$C379))</f>
        <v/>
      </c>
      <c r="U379" s="8">
        <f>IF($F379="","",IF(COUNTIFS(PM_Brand,$E379,PM_Model,$F379)&gt;1,"⚠ duplicate product",IF(AND($B379&lt;&gt;"",COUNTIF(PM_Short,$B379)&gt;1),"⚠ short code reused","")))</f>
        <v/>
      </c>
      <c r="V379" s="5" t="n"/>
    </row>
    <row r="380">
      <c r="A380" s="8">
        <f>IF($F380="","","PRD-"&amp;TEXT(ROW()-3,"0000"))</f>
        <v/>
      </c>
      <c r="B380" s="5" t="n"/>
      <c r="C380" s="5" t="n"/>
      <c r="D380" s="5" t="n"/>
      <c r="E380" s="5" t="n"/>
      <c r="F380" s="5" t="n"/>
      <c r="G380" s="5" t="n"/>
      <c r="H380" s="5" t="n"/>
      <c r="I380" s="5" t="n"/>
      <c r="J380" s="5" t="n"/>
      <c r="K380" s="5" t="n"/>
      <c r="L380" s="5" t="n"/>
      <c r="M380" s="9" t="n"/>
      <c r="N380" s="9" t="n"/>
      <c r="O380" s="9" t="n"/>
      <c r="P380" s="9" t="n"/>
      <c r="Q380" s="9" t="n"/>
      <c r="R380" s="8">
        <f>IF($A380="","",COUNTIF(INV_Product,$A380))</f>
        <v/>
      </c>
      <c r="S380" s="8">
        <f>IF($A380="","",COUNTIFS(INV_Product,$A380,INV_Status,"Available"))</f>
        <v/>
      </c>
      <c r="T380" s="8">
        <f>IF($D380="","",IF(COUNTIFS(DD_PairCategory,$C380,DD_Subcategory,$D380)&gt;0,"ok","✗ "&amp;$D380&amp;" is not under "&amp;$C380))</f>
        <v/>
      </c>
      <c r="U380" s="8">
        <f>IF($F380="","",IF(COUNTIFS(PM_Brand,$E380,PM_Model,$F380)&gt;1,"⚠ duplicate product",IF(AND($B380&lt;&gt;"",COUNTIF(PM_Short,$B380)&gt;1),"⚠ short code reused","")))</f>
        <v/>
      </c>
      <c r="V380" s="5" t="n"/>
    </row>
    <row r="381">
      <c r="A381" s="8">
        <f>IF($F381="","","PRD-"&amp;TEXT(ROW()-3,"0000"))</f>
        <v/>
      </c>
      <c r="B381" s="5" t="n"/>
      <c r="C381" s="5" t="n"/>
      <c r="D381" s="5" t="n"/>
      <c r="E381" s="5" t="n"/>
      <c r="F381" s="5" t="n"/>
      <c r="G381" s="5" t="n"/>
      <c r="H381" s="5" t="n"/>
      <c r="I381" s="5" t="n"/>
      <c r="J381" s="5" t="n"/>
      <c r="K381" s="5" t="n"/>
      <c r="L381" s="5" t="n"/>
      <c r="M381" s="9" t="n"/>
      <c r="N381" s="9" t="n"/>
      <c r="O381" s="9" t="n"/>
      <c r="P381" s="9" t="n"/>
      <c r="Q381" s="9" t="n"/>
      <c r="R381" s="8">
        <f>IF($A381="","",COUNTIF(INV_Product,$A381))</f>
        <v/>
      </c>
      <c r="S381" s="8">
        <f>IF($A381="","",COUNTIFS(INV_Product,$A381,INV_Status,"Available"))</f>
        <v/>
      </c>
      <c r="T381" s="8">
        <f>IF($D381="","",IF(COUNTIFS(DD_PairCategory,$C381,DD_Subcategory,$D381)&gt;0,"ok","✗ "&amp;$D381&amp;" is not under "&amp;$C381))</f>
        <v/>
      </c>
      <c r="U381" s="8">
        <f>IF($F381="","",IF(COUNTIFS(PM_Brand,$E381,PM_Model,$F381)&gt;1,"⚠ duplicate product",IF(AND($B381&lt;&gt;"",COUNTIF(PM_Short,$B381)&gt;1),"⚠ short code reused","")))</f>
        <v/>
      </c>
      <c r="V381" s="5" t="n"/>
    </row>
    <row r="382">
      <c r="A382" s="8">
        <f>IF($F382="","","PRD-"&amp;TEXT(ROW()-3,"0000"))</f>
        <v/>
      </c>
      <c r="B382" s="5" t="n"/>
      <c r="C382" s="5" t="n"/>
      <c r="D382" s="5" t="n"/>
      <c r="E382" s="5" t="n"/>
      <c r="F382" s="5" t="n"/>
      <c r="G382" s="5" t="n"/>
      <c r="H382" s="5" t="n"/>
      <c r="I382" s="5" t="n"/>
      <c r="J382" s="5" t="n"/>
      <c r="K382" s="5" t="n"/>
      <c r="L382" s="5" t="n"/>
      <c r="M382" s="9" t="n"/>
      <c r="N382" s="9" t="n"/>
      <c r="O382" s="9" t="n"/>
      <c r="P382" s="9" t="n"/>
      <c r="Q382" s="9" t="n"/>
      <c r="R382" s="8">
        <f>IF($A382="","",COUNTIF(INV_Product,$A382))</f>
        <v/>
      </c>
      <c r="S382" s="8">
        <f>IF($A382="","",COUNTIFS(INV_Product,$A382,INV_Status,"Available"))</f>
        <v/>
      </c>
      <c r="T382" s="8">
        <f>IF($D382="","",IF(COUNTIFS(DD_PairCategory,$C382,DD_Subcategory,$D382)&gt;0,"ok","✗ "&amp;$D382&amp;" is not under "&amp;$C382))</f>
        <v/>
      </c>
      <c r="U382" s="8">
        <f>IF($F382="","",IF(COUNTIFS(PM_Brand,$E382,PM_Model,$F382)&gt;1,"⚠ duplicate product",IF(AND($B382&lt;&gt;"",COUNTIF(PM_Short,$B382)&gt;1),"⚠ short code reused","")))</f>
        <v/>
      </c>
      <c r="V382" s="5" t="n"/>
    </row>
    <row r="383">
      <c r="A383" s="8">
        <f>IF($F383="","","PRD-"&amp;TEXT(ROW()-3,"0000"))</f>
        <v/>
      </c>
      <c r="B383" s="5" t="n"/>
      <c r="C383" s="5" t="n"/>
      <c r="D383" s="5" t="n"/>
      <c r="E383" s="5" t="n"/>
      <c r="F383" s="5" t="n"/>
      <c r="G383" s="5" t="n"/>
      <c r="H383" s="5" t="n"/>
      <c r="I383" s="5" t="n"/>
      <c r="J383" s="5" t="n"/>
      <c r="K383" s="5" t="n"/>
      <c r="L383" s="5" t="n"/>
      <c r="M383" s="9" t="n"/>
      <c r="N383" s="9" t="n"/>
      <c r="O383" s="9" t="n"/>
      <c r="P383" s="9" t="n"/>
      <c r="Q383" s="9" t="n"/>
      <c r="R383" s="8">
        <f>IF($A383="","",COUNTIF(INV_Product,$A383))</f>
        <v/>
      </c>
      <c r="S383" s="8">
        <f>IF($A383="","",COUNTIFS(INV_Product,$A383,INV_Status,"Available"))</f>
        <v/>
      </c>
      <c r="T383" s="8">
        <f>IF($D383="","",IF(COUNTIFS(DD_PairCategory,$C383,DD_Subcategory,$D383)&gt;0,"ok","✗ "&amp;$D383&amp;" is not under "&amp;$C383))</f>
        <v/>
      </c>
      <c r="U383" s="8">
        <f>IF($F383="","",IF(COUNTIFS(PM_Brand,$E383,PM_Model,$F383)&gt;1,"⚠ duplicate product",IF(AND($B383&lt;&gt;"",COUNTIF(PM_Short,$B383)&gt;1),"⚠ short code reused","")))</f>
        <v/>
      </c>
      <c r="V383" s="5" t="n"/>
    </row>
    <row r="384">
      <c r="A384" s="8">
        <f>IF($F384="","","PRD-"&amp;TEXT(ROW()-3,"0000"))</f>
        <v/>
      </c>
      <c r="B384" s="5" t="n"/>
      <c r="C384" s="5" t="n"/>
      <c r="D384" s="5" t="n"/>
      <c r="E384" s="5" t="n"/>
      <c r="F384" s="5" t="n"/>
      <c r="G384" s="5" t="n"/>
      <c r="H384" s="5" t="n"/>
      <c r="I384" s="5" t="n"/>
      <c r="J384" s="5" t="n"/>
      <c r="K384" s="5" t="n"/>
      <c r="L384" s="5" t="n"/>
      <c r="M384" s="9" t="n"/>
      <c r="N384" s="9" t="n"/>
      <c r="O384" s="9" t="n"/>
      <c r="P384" s="9" t="n"/>
      <c r="Q384" s="9" t="n"/>
      <c r="R384" s="8">
        <f>IF($A384="","",COUNTIF(INV_Product,$A384))</f>
        <v/>
      </c>
      <c r="S384" s="8">
        <f>IF($A384="","",COUNTIFS(INV_Product,$A384,INV_Status,"Available"))</f>
        <v/>
      </c>
      <c r="T384" s="8">
        <f>IF($D384="","",IF(COUNTIFS(DD_PairCategory,$C384,DD_Subcategory,$D384)&gt;0,"ok","✗ "&amp;$D384&amp;" is not under "&amp;$C384))</f>
        <v/>
      </c>
      <c r="U384" s="8">
        <f>IF($F384="","",IF(COUNTIFS(PM_Brand,$E384,PM_Model,$F384)&gt;1,"⚠ duplicate product",IF(AND($B384&lt;&gt;"",COUNTIF(PM_Short,$B384)&gt;1),"⚠ short code reused","")))</f>
        <v/>
      </c>
      <c r="V384" s="5" t="n"/>
    </row>
    <row r="385">
      <c r="A385" s="8">
        <f>IF($F385="","","PRD-"&amp;TEXT(ROW()-3,"0000"))</f>
        <v/>
      </c>
      <c r="B385" s="5" t="n"/>
      <c r="C385" s="5" t="n"/>
      <c r="D385" s="5" t="n"/>
      <c r="E385" s="5" t="n"/>
      <c r="F385" s="5" t="n"/>
      <c r="G385" s="5" t="n"/>
      <c r="H385" s="5" t="n"/>
      <c r="I385" s="5" t="n"/>
      <c r="J385" s="5" t="n"/>
      <c r="K385" s="5" t="n"/>
      <c r="L385" s="5" t="n"/>
      <c r="M385" s="9" t="n"/>
      <c r="N385" s="9" t="n"/>
      <c r="O385" s="9" t="n"/>
      <c r="P385" s="9" t="n"/>
      <c r="Q385" s="9" t="n"/>
      <c r="R385" s="8">
        <f>IF($A385="","",COUNTIF(INV_Product,$A385))</f>
        <v/>
      </c>
      <c r="S385" s="8">
        <f>IF($A385="","",COUNTIFS(INV_Product,$A385,INV_Status,"Available"))</f>
        <v/>
      </c>
      <c r="T385" s="8">
        <f>IF($D385="","",IF(COUNTIFS(DD_PairCategory,$C385,DD_Subcategory,$D385)&gt;0,"ok","✗ "&amp;$D385&amp;" is not under "&amp;$C385))</f>
        <v/>
      </c>
      <c r="U385" s="8">
        <f>IF($F385="","",IF(COUNTIFS(PM_Brand,$E385,PM_Model,$F385)&gt;1,"⚠ duplicate product",IF(AND($B385&lt;&gt;"",COUNTIF(PM_Short,$B385)&gt;1),"⚠ short code reused","")))</f>
        <v/>
      </c>
      <c r="V385" s="5" t="n"/>
    </row>
    <row r="386">
      <c r="A386" s="8">
        <f>IF($F386="","","PRD-"&amp;TEXT(ROW()-3,"0000"))</f>
        <v/>
      </c>
      <c r="B386" s="5" t="n"/>
      <c r="C386" s="5" t="n"/>
      <c r="D386" s="5" t="n"/>
      <c r="E386" s="5" t="n"/>
      <c r="F386" s="5" t="n"/>
      <c r="G386" s="5" t="n"/>
      <c r="H386" s="5" t="n"/>
      <c r="I386" s="5" t="n"/>
      <c r="J386" s="5" t="n"/>
      <c r="K386" s="5" t="n"/>
      <c r="L386" s="5" t="n"/>
      <c r="M386" s="9" t="n"/>
      <c r="N386" s="9" t="n"/>
      <c r="O386" s="9" t="n"/>
      <c r="P386" s="9" t="n"/>
      <c r="Q386" s="9" t="n"/>
      <c r="R386" s="8">
        <f>IF($A386="","",COUNTIF(INV_Product,$A386))</f>
        <v/>
      </c>
      <c r="S386" s="8">
        <f>IF($A386="","",COUNTIFS(INV_Product,$A386,INV_Status,"Available"))</f>
        <v/>
      </c>
      <c r="T386" s="8">
        <f>IF($D386="","",IF(COUNTIFS(DD_PairCategory,$C386,DD_Subcategory,$D386)&gt;0,"ok","✗ "&amp;$D386&amp;" is not under "&amp;$C386))</f>
        <v/>
      </c>
      <c r="U386" s="8">
        <f>IF($F386="","",IF(COUNTIFS(PM_Brand,$E386,PM_Model,$F386)&gt;1,"⚠ duplicate product",IF(AND($B386&lt;&gt;"",COUNTIF(PM_Short,$B386)&gt;1),"⚠ short code reused","")))</f>
        <v/>
      </c>
      <c r="V386" s="5" t="n"/>
    </row>
    <row r="387">
      <c r="A387" s="8">
        <f>IF($F387="","","PRD-"&amp;TEXT(ROW()-3,"0000"))</f>
        <v/>
      </c>
      <c r="B387" s="5" t="n"/>
      <c r="C387" s="5" t="n"/>
      <c r="D387" s="5" t="n"/>
      <c r="E387" s="5" t="n"/>
      <c r="F387" s="5" t="n"/>
      <c r="G387" s="5" t="n"/>
      <c r="H387" s="5" t="n"/>
      <c r="I387" s="5" t="n"/>
      <c r="J387" s="5" t="n"/>
      <c r="K387" s="5" t="n"/>
      <c r="L387" s="5" t="n"/>
      <c r="M387" s="9" t="n"/>
      <c r="N387" s="9" t="n"/>
      <c r="O387" s="9" t="n"/>
      <c r="P387" s="9" t="n"/>
      <c r="Q387" s="9" t="n"/>
      <c r="R387" s="8">
        <f>IF($A387="","",COUNTIF(INV_Product,$A387))</f>
        <v/>
      </c>
      <c r="S387" s="8">
        <f>IF($A387="","",COUNTIFS(INV_Product,$A387,INV_Status,"Available"))</f>
        <v/>
      </c>
      <c r="T387" s="8">
        <f>IF($D387="","",IF(COUNTIFS(DD_PairCategory,$C387,DD_Subcategory,$D387)&gt;0,"ok","✗ "&amp;$D387&amp;" is not under "&amp;$C387))</f>
        <v/>
      </c>
      <c r="U387" s="8">
        <f>IF($F387="","",IF(COUNTIFS(PM_Brand,$E387,PM_Model,$F387)&gt;1,"⚠ duplicate product",IF(AND($B387&lt;&gt;"",COUNTIF(PM_Short,$B387)&gt;1),"⚠ short code reused","")))</f>
        <v/>
      </c>
      <c r="V387" s="5" t="n"/>
    </row>
    <row r="388">
      <c r="A388" s="8">
        <f>IF($F388="","","PRD-"&amp;TEXT(ROW()-3,"0000"))</f>
        <v/>
      </c>
      <c r="B388" s="5" t="n"/>
      <c r="C388" s="5" t="n"/>
      <c r="D388" s="5" t="n"/>
      <c r="E388" s="5" t="n"/>
      <c r="F388" s="5" t="n"/>
      <c r="G388" s="5" t="n"/>
      <c r="H388" s="5" t="n"/>
      <c r="I388" s="5" t="n"/>
      <c r="J388" s="5" t="n"/>
      <c r="K388" s="5" t="n"/>
      <c r="L388" s="5" t="n"/>
      <c r="M388" s="9" t="n"/>
      <c r="N388" s="9" t="n"/>
      <c r="O388" s="9" t="n"/>
      <c r="P388" s="9" t="n"/>
      <c r="Q388" s="9" t="n"/>
      <c r="R388" s="8">
        <f>IF($A388="","",COUNTIF(INV_Product,$A388))</f>
        <v/>
      </c>
      <c r="S388" s="8">
        <f>IF($A388="","",COUNTIFS(INV_Product,$A388,INV_Status,"Available"))</f>
        <v/>
      </c>
      <c r="T388" s="8">
        <f>IF($D388="","",IF(COUNTIFS(DD_PairCategory,$C388,DD_Subcategory,$D388)&gt;0,"ok","✗ "&amp;$D388&amp;" is not under "&amp;$C388))</f>
        <v/>
      </c>
      <c r="U388" s="8">
        <f>IF($F388="","",IF(COUNTIFS(PM_Brand,$E388,PM_Model,$F388)&gt;1,"⚠ duplicate product",IF(AND($B388&lt;&gt;"",COUNTIF(PM_Short,$B388)&gt;1),"⚠ short code reused","")))</f>
        <v/>
      </c>
      <c r="V388" s="5" t="n"/>
    </row>
    <row r="389">
      <c r="A389" s="8">
        <f>IF($F389="","","PRD-"&amp;TEXT(ROW()-3,"0000"))</f>
        <v/>
      </c>
      <c r="B389" s="5" t="n"/>
      <c r="C389" s="5" t="n"/>
      <c r="D389" s="5" t="n"/>
      <c r="E389" s="5" t="n"/>
      <c r="F389" s="5" t="n"/>
      <c r="G389" s="5" t="n"/>
      <c r="H389" s="5" t="n"/>
      <c r="I389" s="5" t="n"/>
      <c r="J389" s="5" t="n"/>
      <c r="K389" s="5" t="n"/>
      <c r="L389" s="5" t="n"/>
      <c r="M389" s="9" t="n"/>
      <c r="N389" s="9" t="n"/>
      <c r="O389" s="9" t="n"/>
      <c r="P389" s="9" t="n"/>
      <c r="Q389" s="9" t="n"/>
      <c r="R389" s="8">
        <f>IF($A389="","",COUNTIF(INV_Product,$A389))</f>
        <v/>
      </c>
      <c r="S389" s="8">
        <f>IF($A389="","",COUNTIFS(INV_Product,$A389,INV_Status,"Available"))</f>
        <v/>
      </c>
      <c r="T389" s="8">
        <f>IF($D389="","",IF(COUNTIFS(DD_PairCategory,$C389,DD_Subcategory,$D389)&gt;0,"ok","✗ "&amp;$D389&amp;" is not under "&amp;$C389))</f>
        <v/>
      </c>
      <c r="U389" s="8">
        <f>IF($F389="","",IF(COUNTIFS(PM_Brand,$E389,PM_Model,$F389)&gt;1,"⚠ duplicate product",IF(AND($B389&lt;&gt;"",COUNTIF(PM_Short,$B389)&gt;1),"⚠ short code reused","")))</f>
        <v/>
      </c>
      <c r="V389" s="5" t="n"/>
    </row>
    <row r="390">
      <c r="A390" s="8">
        <f>IF($F390="","","PRD-"&amp;TEXT(ROW()-3,"0000"))</f>
        <v/>
      </c>
      <c r="B390" s="5" t="n"/>
      <c r="C390" s="5" t="n"/>
      <c r="D390" s="5" t="n"/>
      <c r="E390" s="5" t="n"/>
      <c r="F390" s="5" t="n"/>
      <c r="G390" s="5" t="n"/>
      <c r="H390" s="5" t="n"/>
      <c r="I390" s="5" t="n"/>
      <c r="J390" s="5" t="n"/>
      <c r="K390" s="5" t="n"/>
      <c r="L390" s="5" t="n"/>
      <c r="M390" s="9" t="n"/>
      <c r="N390" s="9" t="n"/>
      <c r="O390" s="9" t="n"/>
      <c r="P390" s="9" t="n"/>
      <c r="Q390" s="9" t="n"/>
      <c r="R390" s="8">
        <f>IF($A390="","",COUNTIF(INV_Product,$A390))</f>
        <v/>
      </c>
      <c r="S390" s="8">
        <f>IF($A390="","",COUNTIFS(INV_Product,$A390,INV_Status,"Available"))</f>
        <v/>
      </c>
      <c r="T390" s="8">
        <f>IF($D390="","",IF(COUNTIFS(DD_PairCategory,$C390,DD_Subcategory,$D390)&gt;0,"ok","✗ "&amp;$D390&amp;" is not under "&amp;$C390))</f>
        <v/>
      </c>
      <c r="U390" s="8">
        <f>IF($F390="","",IF(COUNTIFS(PM_Brand,$E390,PM_Model,$F390)&gt;1,"⚠ duplicate product",IF(AND($B390&lt;&gt;"",COUNTIF(PM_Short,$B390)&gt;1),"⚠ short code reused","")))</f>
        <v/>
      </c>
      <c r="V390" s="5" t="n"/>
    </row>
    <row r="391">
      <c r="A391" s="8">
        <f>IF($F391="","","PRD-"&amp;TEXT(ROW()-3,"0000"))</f>
        <v/>
      </c>
      <c r="B391" s="5" t="n"/>
      <c r="C391" s="5" t="n"/>
      <c r="D391" s="5" t="n"/>
      <c r="E391" s="5" t="n"/>
      <c r="F391" s="5" t="n"/>
      <c r="G391" s="5" t="n"/>
      <c r="H391" s="5" t="n"/>
      <c r="I391" s="5" t="n"/>
      <c r="J391" s="5" t="n"/>
      <c r="K391" s="5" t="n"/>
      <c r="L391" s="5" t="n"/>
      <c r="M391" s="9" t="n"/>
      <c r="N391" s="9" t="n"/>
      <c r="O391" s="9" t="n"/>
      <c r="P391" s="9" t="n"/>
      <c r="Q391" s="9" t="n"/>
      <c r="R391" s="8">
        <f>IF($A391="","",COUNTIF(INV_Product,$A391))</f>
        <v/>
      </c>
      <c r="S391" s="8">
        <f>IF($A391="","",COUNTIFS(INV_Product,$A391,INV_Status,"Available"))</f>
        <v/>
      </c>
      <c r="T391" s="8">
        <f>IF($D391="","",IF(COUNTIFS(DD_PairCategory,$C391,DD_Subcategory,$D391)&gt;0,"ok","✗ "&amp;$D391&amp;" is not under "&amp;$C391))</f>
        <v/>
      </c>
      <c r="U391" s="8">
        <f>IF($F391="","",IF(COUNTIFS(PM_Brand,$E391,PM_Model,$F391)&gt;1,"⚠ duplicate product",IF(AND($B391&lt;&gt;"",COUNTIF(PM_Short,$B391)&gt;1),"⚠ short code reused","")))</f>
        <v/>
      </c>
      <c r="V391" s="5" t="n"/>
    </row>
    <row r="392">
      <c r="A392" s="8">
        <f>IF($F392="","","PRD-"&amp;TEXT(ROW()-3,"0000"))</f>
        <v/>
      </c>
      <c r="B392" s="5" t="n"/>
      <c r="C392" s="5" t="n"/>
      <c r="D392" s="5" t="n"/>
      <c r="E392" s="5" t="n"/>
      <c r="F392" s="5" t="n"/>
      <c r="G392" s="5" t="n"/>
      <c r="H392" s="5" t="n"/>
      <c r="I392" s="5" t="n"/>
      <c r="J392" s="5" t="n"/>
      <c r="K392" s="5" t="n"/>
      <c r="L392" s="5" t="n"/>
      <c r="M392" s="9" t="n"/>
      <c r="N392" s="9" t="n"/>
      <c r="O392" s="9" t="n"/>
      <c r="P392" s="9" t="n"/>
      <c r="Q392" s="9" t="n"/>
      <c r="R392" s="8">
        <f>IF($A392="","",COUNTIF(INV_Product,$A392))</f>
        <v/>
      </c>
      <c r="S392" s="8">
        <f>IF($A392="","",COUNTIFS(INV_Product,$A392,INV_Status,"Available"))</f>
        <v/>
      </c>
      <c r="T392" s="8">
        <f>IF($D392="","",IF(COUNTIFS(DD_PairCategory,$C392,DD_Subcategory,$D392)&gt;0,"ok","✗ "&amp;$D392&amp;" is not under "&amp;$C392))</f>
        <v/>
      </c>
      <c r="U392" s="8">
        <f>IF($F392="","",IF(COUNTIFS(PM_Brand,$E392,PM_Model,$F392)&gt;1,"⚠ duplicate product",IF(AND($B392&lt;&gt;"",COUNTIF(PM_Short,$B392)&gt;1),"⚠ short code reused","")))</f>
        <v/>
      </c>
      <c r="V392" s="5" t="n"/>
    </row>
    <row r="393">
      <c r="A393" s="8">
        <f>IF($F393="","","PRD-"&amp;TEXT(ROW()-3,"0000"))</f>
        <v/>
      </c>
      <c r="B393" s="5" t="n"/>
      <c r="C393" s="5" t="n"/>
      <c r="D393" s="5" t="n"/>
      <c r="E393" s="5" t="n"/>
      <c r="F393" s="5" t="n"/>
      <c r="G393" s="5" t="n"/>
      <c r="H393" s="5" t="n"/>
      <c r="I393" s="5" t="n"/>
      <c r="J393" s="5" t="n"/>
      <c r="K393" s="5" t="n"/>
      <c r="L393" s="5" t="n"/>
      <c r="M393" s="9" t="n"/>
      <c r="N393" s="9" t="n"/>
      <c r="O393" s="9" t="n"/>
      <c r="P393" s="9" t="n"/>
      <c r="Q393" s="9" t="n"/>
      <c r="R393" s="8">
        <f>IF($A393="","",COUNTIF(INV_Product,$A393))</f>
        <v/>
      </c>
      <c r="S393" s="8">
        <f>IF($A393="","",COUNTIFS(INV_Product,$A393,INV_Status,"Available"))</f>
        <v/>
      </c>
      <c r="T393" s="8">
        <f>IF($D393="","",IF(COUNTIFS(DD_PairCategory,$C393,DD_Subcategory,$D393)&gt;0,"ok","✗ "&amp;$D393&amp;" is not under "&amp;$C393))</f>
        <v/>
      </c>
      <c r="U393" s="8">
        <f>IF($F393="","",IF(COUNTIFS(PM_Brand,$E393,PM_Model,$F393)&gt;1,"⚠ duplicate product",IF(AND($B393&lt;&gt;"",COUNTIF(PM_Short,$B393)&gt;1),"⚠ short code reused","")))</f>
        <v/>
      </c>
      <c r="V393" s="5" t="n"/>
    </row>
    <row r="394">
      <c r="A394" s="8">
        <f>IF($F394="","","PRD-"&amp;TEXT(ROW()-3,"0000"))</f>
        <v/>
      </c>
      <c r="B394" s="5" t="n"/>
      <c r="C394" s="5" t="n"/>
      <c r="D394" s="5" t="n"/>
      <c r="E394" s="5" t="n"/>
      <c r="F394" s="5" t="n"/>
      <c r="G394" s="5" t="n"/>
      <c r="H394" s="5" t="n"/>
      <c r="I394" s="5" t="n"/>
      <c r="J394" s="5" t="n"/>
      <c r="K394" s="5" t="n"/>
      <c r="L394" s="5" t="n"/>
      <c r="M394" s="9" t="n"/>
      <c r="N394" s="9" t="n"/>
      <c r="O394" s="9" t="n"/>
      <c r="P394" s="9" t="n"/>
      <c r="Q394" s="9" t="n"/>
      <c r="R394" s="8">
        <f>IF($A394="","",COUNTIF(INV_Product,$A394))</f>
        <v/>
      </c>
      <c r="S394" s="8">
        <f>IF($A394="","",COUNTIFS(INV_Product,$A394,INV_Status,"Available"))</f>
        <v/>
      </c>
      <c r="T394" s="8">
        <f>IF($D394="","",IF(COUNTIFS(DD_PairCategory,$C394,DD_Subcategory,$D394)&gt;0,"ok","✗ "&amp;$D394&amp;" is not under "&amp;$C394))</f>
        <v/>
      </c>
      <c r="U394" s="8">
        <f>IF($F394="","",IF(COUNTIFS(PM_Brand,$E394,PM_Model,$F394)&gt;1,"⚠ duplicate product",IF(AND($B394&lt;&gt;"",COUNTIF(PM_Short,$B394)&gt;1),"⚠ short code reused","")))</f>
        <v/>
      </c>
      <c r="V394" s="5" t="n"/>
    </row>
    <row r="395">
      <c r="A395" s="8">
        <f>IF($F395="","","PRD-"&amp;TEXT(ROW()-3,"0000"))</f>
        <v/>
      </c>
      <c r="B395" s="5" t="n"/>
      <c r="C395" s="5" t="n"/>
      <c r="D395" s="5" t="n"/>
      <c r="E395" s="5" t="n"/>
      <c r="F395" s="5" t="n"/>
      <c r="G395" s="5" t="n"/>
      <c r="H395" s="5" t="n"/>
      <c r="I395" s="5" t="n"/>
      <c r="J395" s="5" t="n"/>
      <c r="K395" s="5" t="n"/>
      <c r="L395" s="5" t="n"/>
      <c r="M395" s="9" t="n"/>
      <c r="N395" s="9" t="n"/>
      <c r="O395" s="9" t="n"/>
      <c r="P395" s="9" t="n"/>
      <c r="Q395" s="9" t="n"/>
      <c r="R395" s="8">
        <f>IF($A395="","",COUNTIF(INV_Product,$A395))</f>
        <v/>
      </c>
      <c r="S395" s="8">
        <f>IF($A395="","",COUNTIFS(INV_Product,$A395,INV_Status,"Available"))</f>
        <v/>
      </c>
      <c r="T395" s="8">
        <f>IF($D395="","",IF(COUNTIFS(DD_PairCategory,$C395,DD_Subcategory,$D395)&gt;0,"ok","✗ "&amp;$D395&amp;" is not under "&amp;$C395))</f>
        <v/>
      </c>
      <c r="U395" s="8">
        <f>IF($F395="","",IF(COUNTIFS(PM_Brand,$E395,PM_Model,$F395)&gt;1,"⚠ duplicate product",IF(AND($B395&lt;&gt;"",COUNTIF(PM_Short,$B395)&gt;1),"⚠ short code reused","")))</f>
        <v/>
      </c>
      <c r="V395" s="5" t="n"/>
    </row>
    <row r="396">
      <c r="A396" s="8">
        <f>IF($F396="","","PRD-"&amp;TEXT(ROW()-3,"0000"))</f>
        <v/>
      </c>
      <c r="B396" s="5" t="n"/>
      <c r="C396" s="5" t="n"/>
      <c r="D396" s="5" t="n"/>
      <c r="E396" s="5" t="n"/>
      <c r="F396" s="5" t="n"/>
      <c r="G396" s="5" t="n"/>
      <c r="H396" s="5" t="n"/>
      <c r="I396" s="5" t="n"/>
      <c r="J396" s="5" t="n"/>
      <c r="K396" s="5" t="n"/>
      <c r="L396" s="5" t="n"/>
      <c r="M396" s="9" t="n"/>
      <c r="N396" s="9" t="n"/>
      <c r="O396" s="9" t="n"/>
      <c r="P396" s="9" t="n"/>
      <c r="Q396" s="9" t="n"/>
      <c r="R396" s="8">
        <f>IF($A396="","",COUNTIF(INV_Product,$A396))</f>
        <v/>
      </c>
      <c r="S396" s="8">
        <f>IF($A396="","",COUNTIFS(INV_Product,$A396,INV_Status,"Available"))</f>
        <v/>
      </c>
      <c r="T396" s="8">
        <f>IF($D396="","",IF(COUNTIFS(DD_PairCategory,$C396,DD_Subcategory,$D396)&gt;0,"ok","✗ "&amp;$D396&amp;" is not under "&amp;$C396))</f>
        <v/>
      </c>
      <c r="U396" s="8">
        <f>IF($F396="","",IF(COUNTIFS(PM_Brand,$E396,PM_Model,$F396)&gt;1,"⚠ duplicate product",IF(AND($B396&lt;&gt;"",COUNTIF(PM_Short,$B396)&gt;1),"⚠ short code reused","")))</f>
        <v/>
      </c>
      <c r="V396" s="5" t="n"/>
    </row>
    <row r="397">
      <c r="A397" s="8">
        <f>IF($F397="","","PRD-"&amp;TEXT(ROW()-3,"0000"))</f>
        <v/>
      </c>
      <c r="B397" s="5" t="n"/>
      <c r="C397" s="5" t="n"/>
      <c r="D397" s="5" t="n"/>
      <c r="E397" s="5" t="n"/>
      <c r="F397" s="5" t="n"/>
      <c r="G397" s="5" t="n"/>
      <c r="H397" s="5" t="n"/>
      <c r="I397" s="5" t="n"/>
      <c r="J397" s="5" t="n"/>
      <c r="K397" s="5" t="n"/>
      <c r="L397" s="5" t="n"/>
      <c r="M397" s="9" t="n"/>
      <c r="N397" s="9" t="n"/>
      <c r="O397" s="9" t="n"/>
      <c r="P397" s="9" t="n"/>
      <c r="Q397" s="9" t="n"/>
      <c r="R397" s="8">
        <f>IF($A397="","",COUNTIF(INV_Product,$A397))</f>
        <v/>
      </c>
      <c r="S397" s="8">
        <f>IF($A397="","",COUNTIFS(INV_Product,$A397,INV_Status,"Available"))</f>
        <v/>
      </c>
      <c r="T397" s="8">
        <f>IF($D397="","",IF(COUNTIFS(DD_PairCategory,$C397,DD_Subcategory,$D397)&gt;0,"ok","✗ "&amp;$D397&amp;" is not under "&amp;$C397))</f>
        <v/>
      </c>
      <c r="U397" s="8">
        <f>IF($F397="","",IF(COUNTIFS(PM_Brand,$E397,PM_Model,$F397)&gt;1,"⚠ duplicate product",IF(AND($B397&lt;&gt;"",COUNTIF(PM_Short,$B397)&gt;1),"⚠ short code reused","")))</f>
        <v/>
      </c>
      <c r="V397" s="5" t="n"/>
    </row>
    <row r="398">
      <c r="A398" s="8">
        <f>IF($F398="","","PRD-"&amp;TEXT(ROW()-3,"0000"))</f>
        <v/>
      </c>
      <c r="B398" s="5" t="n"/>
      <c r="C398" s="5" t="n"/>
      <c r="D398" s="5" t="n"/>
      <c r="E398" s="5" t="n"/>
      <c r="F398" s="5" t="n"/>
      <c r="G398" s="5" t="n"/>
      <c r="H398" s="5" t="n"/>
      <c r="I398" s="5" t="n"/>
      <c r="J398" s="5" t="n"/>
      <c r="K398" s="5" t="n"/>
      <c r="L398" s="5" t="n"/>
      <c r="M398" s="9" t="n"/>
      <c r="N398" s="9" t="n"/>
      <c r="O398" s="9" t="n"/>
      <c r="P398" s="9" t="n"/>
      <c r="Q398" s="9" t="n"/>
      <c r="R398" s="8">
        <f>IF($A398="","",COUNTIF(INV_Product,$A398))</f>
        <v/>
      </c>
      <c r="S398" s="8">
        <f>IF($A398="","",COUNTIFS(INV_Product,$A398,INV_Status,"Available"))</f>
        <v/>
      </c>
      <c r="T398" s="8">
        <f>IF($D398="","",IF(COUNTIFS(DD_PairCategory,$C398,DD_Subcategory,$D398)&gt;0,"ok","✗ "&amp;$D398&amp;" is not under "&amp;$C398))</f>
        <v/>
      </c>
      <c r="U398" s="8">
        <f>IF($F398="","",IF(COUNTIFS(PM_Brand,$E398,PM_Model,$F398)&gt;1,"⚠ duplicate product",IF(AND($B398&lt;&gt;"",COUNTIF(PM_Short,$B398)&gt;1),"⚠ short code reused","")))</f>
        <v/>
      </c>
      <c r="V398" s="5" t="n"/>
    </row>
    <row r="399">
      <c r="A399" s="8">
        <f>IF($F399="","","PRD-"&amp;TEXT(ROW()-3,"0000"))</f>
        <v/>
      </c>
      <c r="B399" s="5" t="n"/>
      <c r="C399" s="5" t="n"/>
      <c r="D399" s="5" t="n"/>
      <c r="E399" s="5" t="n"/>
      <c r="F399" s="5" t="n"/>
      <c r="G399" s="5" t="n"/>
      <c r="H399" s="5" t="n"/>
      <c r="I399" s="5" t="n"/>
      <c r="J399" s="5" t="n"/>
      <c r="K399" s="5" t="n"/>
      <c r="L399" s="5" t="n"/>
      <c r="M399" s="9" t="n"/>
      <c r="N399" s="9" t="n"/>
      <c r="O399" s="9" t="n"/>
      <c r="P399" s="9" t="n"/>
      <c r="Q399" s="9" t="n"/>
      <c r="R399" s="8">
        <f>IF($A399="","",COUNTIF(INV_Product,$A399))</f>
        <v/>
      </c>
      <c r="S399" s="8">
        <f>IF($A399="","",COUNTIFS(INV_Product,$A399,INV_Status,"Available"))</f>
        <v/>
      </c>
      <c r="T399" s="8">
        <f>IF($D399="","",IF(COUNTIFS(DD_PairCategory,$C399,DD_Subcategory,$D399)&gt;0,"ok","✗ "&amp;$D399&amp;" is not under "&amp;$C399))</f>
        <v/>
      </c>
      <c r="U399" s="8">
        <f>IF($F399="","",IF(COUNTIFS(PM_Brand,$E399,PM_Model,$F399)&gt;1,"⚠ duplicate product",IF(AND($B399&lt;&gt;"",COUNTIF(PM_Short,$B399)&gt;1),"⚠ short code reused","")))</f>
        <v/>
      </c>
      <c r="V399" s="5" t="n"/>
    </row>
    <row r="400">
      <c r="A400" s="8">
        <f>IF($F400="","","PRD-"&amp;TEXT(ROW()-3,"0000"))</f>
        <v/>
      </c>
      <c r="B400" s="5" t="n"/>
      <c r="C400" s="5" t="n"/>
      <c r="D400" s="5" t="n"/>
      <c r="E400" s="5" t="n"/>
      <c r="F400" s="5" t="n"/>
      <c r="G400" s="5" t="n"/>
      <c r="H400" s="5" t="n"/>
      <c r="I400" s="5" t="n"/>
      <c r="J400" s="5" t="n"/>
      <c r="K400" s="5" t="n"/>
      <c r="L400" s="5" t="n"/>
      <c r="M400" s="9" t="n"/>
      <c r="N400" s="9" t="n"/>
      <c r="O400" s="9" t="n"/>
      <c r="P400" s="9" t="n"/>
      <c r="Q400" s="9" t="n"/>
      <c r="R400" s="8">
        <f>IF($A400="","",COUNTIF(INV_Product,$A400))</f>
        <v/>
      </c>
      <c r="S400" s="8">
        <f>IF($A400="","",COUNTIFS(INV_Product,$A400,INV_Status,"Available"))</f>
        <v/>
      </c>
      <c r="T400" s="8">
        <f>IF($D400="","",IF(COUNTIFS(DD_PairCategory,$C400,DD_Subcategory,$D400)&gt;0,"ok","✗ "&amp;$D400&amp;" is not under "&amp;$C400))</f>
        <v/>
      </c>
      <c r="U400" s="8">
        <f>IF($F400="","",IF(COUNTIFS(PM_Brand,$E400,PM_Model,$F400)&gt;1,"⚠ duplicate product",IF(AND($B400&lt;&gt;"",COUNTIF(PM_Short,$B400)&gt;1),"⚠ short code reused","")))</f>
        <v/>
      </c>
      <c r="V400" s="5" t="n"/>
    </row>
    <row r="401">
      <c r="A401" s="8">
        <f>IF($F401="","","PRD-"&amp;TEXT(ROW()-3,"0000"))</f>
        <v/>
      </c>
      <c r="B401" s="5" t="n"/>
      <c r="C401" s="5" t="n"/>
      <c r="D401" s="5" t="n"/>
      <c r="E401" s="5" t="n"/>
      <c r="F401" s="5" t="n"/>
      <c r="G401" s="5" t="n"/>
      <c r="H401" s="5" t="n"/>
      <c r="I401" s="5" t="n"/>
      <c r="J401" s="5" t="n"/>
      <c r="K401" s="5" t="n"/>
      <c r="L401" s="5" t="n"/>
      <c r="M401" s="9" t="n"/>
      <c r="N401" s="9" t="n"/>
      <c r="O401" s="9" t="n"/>
      <c r="P401" s="9" t="n"/>
      <c r="Q401" s="9" t="n"/>
      <c r="R401" s="8">
        <f>IF($A401="","",COUNTIF(INV_Product,$A401))</f>
        <v/>
      </c>
      <c r="S401" s="8">
        <f>IF($A401="","",COUNTIFS(INV_Product,$A401,INV_Status,"Available"))</f>
        <v/>
      </c>
      <c r="T401" s="8">
        <f>IF($D401="","",IF(COUNTIFS(DD_PairCategory,$C401,DD_Subcategory,$D401)&gt;0,"ok","✗ "&amp;$D401&amp;" is not under "&amp;$C401))</f>
        <v/>
      </c>
      <c r="U401" s="8">
        <f>IF($F401="","",IF(COUNTIFS(PM_Brand,$E401,PM_Model,$F401)&gt;1,"⚠ duplicate product",IF(AND($B401&lt;&gt;"",COUNTIF(PM_Short,$B401)&gt;1),"⚠ short code reused","")))</f>
        <v/>
      </c>
      <c r="V401" s="5" t="n"/>
    </row>
    <row r="402">
      <c r="A402" s="8">
        <f>IF($F402="","","PRD-"&amp;TEXT(ROW()-3,"0000"))</f>
        <v/>
      </c>
      <c r="B402" s="5" t="n"/>
      <c r="C402" s="5" t="n"/>
      <c r="D402" s="5" t="n"/>
      <c r="E402" s="5" t="n"/>
      <c r="F402" s="5" t="n"/>
      <c r="G402" s="5" t="n"/>
      <c r="H402" s="5" t="n"/>
      <c r="I402" s="5" t="n"/>
      <c r="J402" s="5" t="n"/>
      <c r="K402" s="5" t="n"/>
      <c r="L402" s="5" t="n"/>
      <c r="M402" s="9" t="n"/>
      <c r="N402" s="9" t="n"/>
      <c r="O402" s="9" t="n"/>
      <c r="P402" s="9" t="n"/>
      <c r="Q402" s="9" t="n"/>
      <c r="R402" s="8">
        <f>IF($A402="","",COUNTIF(INV_Product,$A402))</f>
        <v/>
      </c>
      <c r="S402" s="8">
        <f>IF($A402="","",COUNTIFS(INV_Product,$A402,INV_Status,"Available"))</f>
        <v/>
      </c>
      <c r="T402" s="8">
        <f>IF($D402="","",IF(COUNTIFS(DD_PairCategory,$C402,DD_Subcategory,$D402)&gt;0,"ok","✗ "&amp;$D402&amp;" is not under "&amp;$C402))</f>
        <v/>
      </c>
      <c r="U402" s="8">
        <f>IF($F402="","",IF(COUNTIFS(PM_Brand,$E402,PM_Model,$F402)&gt;1,"⚠ duplicate product",IF(AND($B402&lt;&gt;"",COUNTIF(PM_Short,$B402)&gt;1),"⚠ short code reused","")))</f>
        <v/>
      </c>
      <c r="V402" s="5" t="n"/>
    </row>
    <row r="403">
      <c r="A403" s="8">
        <f>IF($F403="","","PRD-"&amp;TEXT(ROW()-3,"0000"))</f>
        <v/>
      </c>
      <c r="B403" s="5" t="n"/>
      <c r="C403" s="5" t="n"/>
      <c r="D403" s="5" t="n"/>
      <c r="E403" s="5" t="n"/>
      <c r="F403" s="5" t="n"/>
      <c r="G403" s="5" t="n"/>
      <c r="H403" s="5" t="n"/>
      <c r="I403" s="5" t="n"/>
      <c r="J403" s="5" t="n"/>
      <c r="K403" s="5" t="n"/>
      <c r="L403" s="5" t="n"/>
      <c r="M403" s="9" t="n"/>
      <c r="N403" s="9" t="n"/>
      <c r="O403" s="9" t="n"/>
      <c r="P403" s="9" t="n"/>
      <c r="Q403" s="9" t="n"/>
      <c r="R403" s="8">
        <f>IF($A403="","",COUNTIF(INV_Product,$A403))</f>
        <v/>
      </c>
      <c r="S403" s="8">
        <f>IF($A403="","",COUNTIFS(INV_Product,$A403,INV_Status,"Available"))</f>
        <v/>
      </c>
      <c r="T403" s="8">
        <f>IF($D403="","",IF(COUNTIFS(DD_PairCategory,$C403,DD_Subcategory,$D403)&gt;0,"ok","✗ "&amp;$D403&amp;" is not under "&amp;$C403))</f>
        <v/>
      </c>
      <c r="U403" s="8">
        <f>IF($F403="","",IF(COUNTIFS(PM_Brand,$E403,PM_Model,$F403)&gt;1,"⚠ duplicate product",IF(AND($B403&lt;&gt;"",COUNTIF(PM_Short,$B403)&gt;1),"⚠ short code reused","")))</f>
        <v/>
      </c>
      <c r="V403" s="5" t="n"/>
    </row>
    <row r="404">
      <c r="A404" s="8">
        <f>IF($F404="","","PRD-"&amp;TEXT(ROW()-3,"0000"))</f>
        <v/>
      </c>
      <c r="B404" s="5" t="n"/>
      <c r="C404" s="5" t="n"/>
      <c r="D404" s="5" t="n"/>
      <c r="E404" s="5" t="n"/>
      <c r="F404" s="5" t="n"/>
      <c r="G404" s="5" t="n"/>
      <c r="H404" s="5" t="n"/>
      <c r="I404" s="5" t="n"/>
      <c r="J404" s="5" t="n"/>
      <c r="K404" s="5" t="n"/>
      <c r="L404" s="5" t="n"/>
      <c r="M404" s="9" t="n"/>
      <c r="N404" s="9" t="n"/>
      <c r="O404" s="9" t="n"/>
      <c r="P404" s="9" t="n"/>
      <c r="Q404" s="9" t="n"/>
      <c r="R404" s="8">
        <f>IF($A404="","",COUNTIF(INV_Product,$A404))</f>
        <v/>
      </c>
      <c r="S404" s="8">
        <f>IF($A404="","",COUNTIFS(INV_Product,$A404,INV_Status,"Available"))</f>
        <v/>
      </c>
      <c r="T404" s="8">
        <f>IF($D404="","",IF(COUNTIFS(DD_PairCategory,$C404,DD_Subcategory,$D404)&gt;0,"ok","✗ "&amp;$D404&amp;" is not under "&amp;$C404))</f>
        <v/>
      </c>
      <c r="U404" s="8">
        <f>IF($F404="","",IF(COUNTIFS(PM_Brand,$E404,PM_Model,$F404)&gt;1,"⚠ duplicate product",IF(AND($B404&lt;&gt;"",COUNTIF(PM_Short,$B404)&gt;1),"⚠ short code reused","")))</f>
        <v/>
      </c>
      <c r="V404" s="5" t="n"/>
    </row>
    <row r="405">
      <c r="A405" s="8">
        <f>IF($F405="","","PRD-"&amp;TEXT(ROW()-3,"0000"))</f>
        <v/>
      </c>
      <c r="B405" s="5" t="n"/>
      <c r="C405" s="5" t="n"/>
      <c r="D405" s="5" t="n"/>
      <c r="E405" s="5" t="n"/>
      <c r="F405" s="5" t="n"/>
      <c r="G405" s="5" t="n"/>
      <c r="H405" s="5" t="n"/>
      <c r="I405" s="5" t="n"/>
      <c r="J405" s="5" t="n"/>
      <c r="K405" s="5" t="n"/>
      <c r="L405" s="5" t="n"/>
      <c r="M405" s="9" t="n"/>
      <c r="N405" s="9" t="n"/>
      <c r="O405" s="9" t="n"/>
      <c r="P405" s="9" t="n"/>
      <c r="Q405" s="9" t="n"/>
      <c r="R405" s="8">
        <f>IF($A405="","",COUNTIF(INV_Product,$A405))</f>
        <v/>
      </c>
      <c r="S405" s="8">
        <f>IF($A405="","",COUNTIFS(INV_Product,$A405,INV_Status,"Available"))</f>
        <v/>
      </c>
      <c r="T405" s="8">
        <f>IF($D405="","",IF(COUNTIFS(DD_PairCategory,$C405,DD_Subcategory,$D405)&gt;0,"ok","✗ "&amp;$D405&amp;" is not under "&amp;$C405))</f>
        <v/>
      </c>
      <c r="U405" s="8">
        <f>IF($F405="","",IF(COUNTIFS(PM_Brand,$E405,PM_Model,$F405)&gt;1,"⚠ duplicate product",IF(AND($B405&lt;&gt;"",COUNTIF(PM_Short,$B405)&gt;1),"⚠ short code reused","")))</f>
        <v/>
      </c>
      <c r="V405" s="5" t="n"/>
    </row>
    <row r="406">
      <c r="A406" s="8">
        <f>IF($F406="","","PRD-"&amp;TEXT(ROW()-3,"0000"))</f>
        <v/>
      </c>
      <c r="B406" s="5" t="n"/>
      <c r="C406" s="5" t="n"/>
      <c r="D406" s="5" t="n"/>
      <c r="E406" s="5" t="n"/>
      <c r="F406" s="5" t="n"/>
      <c r="G406" s="5" t="n"/>
      <c r="H406" s="5" t="n"/>
      <c r="I406" s="5" t="n"/>
      <c r="J406" s="5" t="n"/>
      <c r="K406" s="5" t="n"/>
      <c r="L406" s="5" t="n"/>
      <c r="M406" s="9" t="n"/>
      <c r="N406" s="9" t="n"/>
      <c r="O406" s="9" t="n"/>
      <c r="P406" s="9" t="n"/>
      <c r="Q406" s="9" t="n"/>
      <c r="R406" s="8">
        <f>IF($A406="","",COUNTIF(INV_Product,$A406))</f>
        <v/>
      </c>
      <c r="S406" s="8">
        <f>IF($A406="","",COUNTIFS(INV_Product,$A406,INV_Status,"Available"))</f>
        <v/>
      </c>
      <c r="T406" s="8">
        <f>IF($D406="","",IF(COUNTIFS(DD_PairCategory,$C406,DD_Subcategory,$D406)&gt;0,"ok","✗ "&amp;$D406&amp;" is not under "&amp;$C406))</f>
        <v/>
      </c>
      <c r="U406" s="8">
        <f>IF($F406="","",IF(COUNTIFS(PM_Brand,$E406,PM_Model,$F406)&gt;1,"⚠ duplicate product",IF(AND($B406&lt;&gt;"",COUNTIF(PM_Short,$B406)&gt;1),"⚠ short code reused","")))</f>
        <v/>
      </c>
      <c r="V406" s="5" t="n"/>
    </row>
    <row r="407">
      <c r="A407" s="8">
        <f>IF($F407="","","PRD-"&amp;TEXT(ROW()-3,"0000"))</f>
        <v/>
      </c>
      <c r="B407" s="5" t="n"/>
      <c r="C407" s="5" t="n"/>
      <c r="D407" s="5" t="n"/>
      <c r="E407" s="5" t="n"/>
      <c r="F407" s="5" t="n"/>
      <c r="G407" s="5" t="n"/>
      <c r="H407" s="5" t="n"/>
      <c r="I407" s="5" t="n"/>
      <c r="J407" s="5" t="n"/>
      <c r="K407" s="5" t="n"/>
      <c r="L407" s="5" t="n"/>
      <c r="M407" s="9" t="n"/>
      <c r="N407" s="9" t="n"/>
      <c r="O407" s="9" t="n"/>
      <c r="P407" s="9" t="n"/>
      <c r="Q407" s="9" t="n"/>
      <c r="R407" s="8">
        <f>IF($A407="","",COUNTIF(INV_Product,$A407))</f>
        <v/>
      </c>
      <c r="S407" s="8">
        <f>IF($A407="","",COUNTIFS(INV_Product,$A407,INV_Status,"Available"))</f>
        <v/>
      </c>
      <c r="T407" s="8">
        <f>IF($D407="","",IF(COUNTIFS(DD_PairCategory,$C407,DD_Subcategory,$D407)&gt;0,"ok","✗ "&amp;$D407&amp;" is not under "&amp;$C407))</f>
        <v/>
      </c>
      <c r="U407" s="8">
        <f>IF($F407="","",IF(COUNTIFS(PM_Brand,$E407,PM_Model,$F407)&gt;1,"⚠ duplicate product",IF(AND($B407&lt;&gt;"",COUNTIF(PM_Short,$B407)&gt;1),"⚠ short code reused","")))</f>
        <v/>
      </c>
      <c r="V407" s="5" t="n"/>
    </row>
    <row r="408">
      <c r="A408" s="8">
        <f>IF($F408="","","PRD-"&amp;TEXT(ROW()-3,"0000"))</f>
        <v/>
      </c>
      <c r="B408" s="5" t="n"/>
      <c r="C408" s="5" t="n"/>
      <c r="D408" s="5" t="n"/>
      <c r="E408" s="5" t="n"/>
      <c r="F408" s="5" t="n"/>
      <c r="G408" s="5" t="n"/>
      <c r="H408" s="5" t="n"/>
      <c r="I408" s="5" t="n"/>
      <c r="J408" s="5" t="n"/>
      <c r="K408" s="5" t="n"/>
      <c r="L408" s="5" t="n"/>
      <c r="M408" s="9" t="n"/>
      <c r="N408" s="9" t="n"/>
      <c r="O408" s="9" t="n"/>
      <c r="P408" s="9" t="n"/>
      <c r="Q408" s="9" t="n"/>
      <c r="R408" s="8">
        <f>IF($A408="","",COUNTIF(INV_Product,$A408))</f>
        <v/>
      </c>
      <c r="S408" s="8">
        <f>IF($A408="","",COUNTIFS(INV_Product,$A408,INV_Status,"Available"))</f>
        <v/>
      </c>
      <c r="T408" s="8">
        <f>IF($D408="","",IF(COUNTIFS(DD_PairCategory,$C408,DD_Subcategory,$D408)&gt;0,"ok","✗ "&amp;$D408&amp;" is not under "&amp;$C408))</f>
        <v/>
      </c>
      <c r="U408" s="8">
        <f>IF($F408="","",IF(COUNTIFS(PM_Brand,$E408,PM_Model,$F408)&gt;1,"⚠ duplicate product",IF(AND($B408&lt;&gt;"",COUNTIF(PM_Short,$B408)&gt;1),"⚠ short code reused","")))</f>
        <v/>
      </c>
      <c r="V408" s="5" t="n"/>
    </row>
    <row r="409">
      <c r="A409" s="8">
        <f>IF($F409="","","PRD-"&amp;TEXT(ROW()-3,"0000"))</f>
        <v/>
      </c>
      <c r="B409" s="5" t="n"/>
      <c r="C409" s="5" t="n"/>
      <c r="D409" s="5" t="n"/>
      <c r="E409" s="5" t="n"/>
      <c r="F409" s="5" t="n"/>
      <c r="G409" s="5" t="n"/>
      <c r="H409" s="5" t="n"/>
      <c r="I409" s="5" t="n"/>
      <c r="J409" s="5" t="n"/>
      <c r="K409" s="5" t="n"/>
      <c r="L409" s="5" t="n"/>
      <c r="M409" s="9" t="n"/>
      <c r="N409" s="9" t="n"/>
      <c r="O409" s="9" t="n"/>
      <c r="P409" s="9" t="n"/>
      <c r="Q409" s="9" t="n"/>
      <c r="R409" s="8">
        <f>IF($A409="","",COUNTIF(INV_Product,$A409))</f>
        <v/>
      </c>
      <c r="S409" s="8">
        <f>IF($A409="","",COUNTIFS(INV_Product,$A409,INV_Status,"Available"))</f>
        <v/>
      </c>
      <c r="T409" s="8">
        <f>IF($D409="","",IF(COUNTIFS(DD_PairCategory,$C409,DD_Subcategory,$D409)&gt;0,"ok","✗ "&amp;$D409&amp;" is not under "&amp;$C409))</f>
        <v/>
      </c>
      <c r="U409" s="8">
        <f>IF($F409="","",IF(COUNTIFS(PM_Brand,$E409,PM_Model,$F409)&gt;1,"⚠ duplicate product",IF(AND($B409&lt;&gt;"",COUNTIF(PM_Short,$B409)&gt;1),"⚠ short code reused","")))</f>
        <v/>
      </c>
      <c r="V409" s="5" t="n"/>
    </row>
    <row r="410">
      <c r="A410" s="8">
        <f>IF($F410="","","PRD-"&amp;TEXT(ROW()-3,"0000"))</f>
        <v/>
      </c>
      <c r="B410" s="5" t="n"/>
      <c r="C410" s="5" t="n"/>
      <c r="D410" s="5" t="n"/>
      <c r="E410" s="5" t="n"/>
      <c r="F410" s="5" t="n"/>
      <c r="G410" s="5" t="n"/>
      <c r="H410" s="5" t="n"/>
      <c r="I410" s="5" t="n"/>
      <c r="J410" s="5" t="n"/>
      <c r="K410" s="5" t="n"/>
      <c r="L410" s="5" t="n"/>
      <c r="M410" s="9" t="n"/>
      <c r="N410" s="9" t="n"/>
      <c r="O410" s="9" t="n"/>
      <c r="P410" s="9" t="n"/>
      <c r="Q410" s="9" t="n"/>
      <c r="R410" s="8">
        <f>IF($A410="","",COUNTIF(INV_Product,$A410))</f>
        <v/>
      </c>
      <c r="S410" s="8">
        <f>IF($A410="","",COUNTIFS(INV_Product,$A410,INV_Status,"Available"))</f>
        <v/>
      </c>
      <c r="T410" s="8">
        <f>IF($D410="","",IF(COUNTIFS(DD_PairCategory,$C410,DD_Subcategory,$D410)&gt;0,"ok","✗ "&amp;$D410&amp;" is not under "&amp;$C410))</f>
        <v/>
      </c>
      <c r="U410" s="8">
        <f>IF($F410="","",IF(COUNTIFS(PM_Brand,$E410,PM_Model,$F410)&gt;1,"⚠ duplicate product",IF(AND($B410&lt;&gt;"",COUNTIF(PM_Short,$B410)&gt;1),"⚠ short code reused","")))</f>
        <v/>
      </c>
      <c r="V410" s="5" t="n"/>
    </row>
    <row r="411">
      <c r="A411" s="8">
        <f>IF($F411="","","PRD-"&amp;TEXT(ROW()-3,"0000"))</f>
        <v/>
      </c>
      <c r="B411" s="5" t="n"/>
      <c r="C411" s="5" t="n"/>
      <c r="D411" s="5" t="n"/>
      <c r="E411" s="5" t="n"/>
      <c r="F411" s="5" t="n"/>
      <c r="G411" s="5" t="n"/>
      <c r="H411" s="5" t="n"/>
      <c r="I411" s="5" t="n"/>
      <c r="J411" s="5" t="n"/>
      <c r="K411" s="5" t="n"/>
      <c r="L411" s="5" t="n"/>
      <c r="M411" s="9" t="n"/>
      <c r="N411" s="9" t="n"/>
      <c r="O411" s="9" t="n"/>
      <c r="P411" s="9" t="n"/>
      <c r="Q411" s="9" t="n"/>
      <c r="R411" s="8">
        <f>IF($A411="","",COUNTIF(INV_Product,$A411))</f>
        <v/>
      </c>
      <c r="S411" s="8">
        <f>IF($A411="","",COUNTIFS(INV_Product,$A411,INV_Status,"Available"))</f>
        <v/>
      </c>
      <c r="T411" s="8">
        <f>IF($D411="","",IF(COUNTIFS(DD_PairCategory,$C411,DD_Subcategory,$D411)&gt;0,"ok","✗ "&amp;$D411&amp;" is not under "&amp;$C411))</f>
        <v/>
      </c>
      <c r="U411" s="8">
        <f>IF($F411="","",IF(COUNTIFS(PM_Brand,$E411,PM_Model,$F411)&gt;1,"⚠ duplicate product",IF(AND($B411&lt;&gt;"",COUNTIF(PM_Short,$B411)&gt;1),"⚠ short code reused","")))</f>
        <v/>
      </c>
      <c r="V411" s="5" t="n"/>
    </row>
    <row r="412">
      <c r="A412" s="8">
        <f>IF($F412="","","PRD-"&amp;TEXT(ROW()-3,"0000"))</f>
        <v/>
      </c>
      <c r="B412" s="5" t="n"/>
      <c r="C412" s="5" t="n"/>
      <c r="D412" s="5" t="n"/>
      <c r="E412" s="5" t="n"/>
      <c r="F412" s="5" t="n"/>
      <c r="G412" s="5" t="n"/>
      <c r="H412" s="5" t="n"/>
      <c r="I412" s="5" t="n"/>
      <c r="J412" s="5" t="n"/>
      <c r="K412" s="5" t="n"/>
      <c r="L412" s="5" t="n"/>
      <c r="M412" s="9" t="n"/>
      <c r="N412" s="9" t="n"/>
      <c r="O412" s="9" t="n"/>
      <c r="P412" s="9" t="n"/>
      <c r="Q412" s="9" t="n"/>
      <c r="R412" s="8">
        <f>IF($A412="","",COUNTIF(INV_Product,$A412))</f>
        <v/>
      </c>
      <c r="S412" s="8">
        <f>IF($A412="","",COUNTIFS(INV_Product,$A412,INV_Status,"Available"))</f>
        <v/>
      </c>
      <c r="T412" s="8">
        <f>IF($D412="","",IF(COUNTIFS(DD_PairCategory,$C412,DD_Subcategory,$D412)&gt;0,"ok","✗ "&amp;$D412&amp;" is not under "&amp;$C412))</f>
        <v/>
      </c>
      <c r="U412" s="8">
        <f>IF($F412="","",IF(COUNTIFS(PM_Brand,$E412,PM_Model,$F412)&gt;1,"⚠ duplicate product",IF(AND($B412&lt;&gt;"",COUNTIF(PM_Short,$B412)&gt;1),"⚠ short code reused","")))</f>
        <v/>
      </c>
      <c r="V412" s="5" t="n"/>
    </row>
    <row r="413">
      <c r="A413" s="8">
        <f>IF($F413="","","PRD-"&amp;TEXT(ROW()-3,"0000"))</f>
        <v/>
      </c>
      <c r="B413" s="5" t="n"/>
      <c r="C413" s="5" t="n"/>
      <c r="D413" s="5" t="n"/>
      <c r="E413" s="5" t="n"/>
      <c r="F413" s="5" t="n"/>
      <c r="G413" s="5" t="n"/>
      <c r="H413" s="5" t="n"/>
      <c r="I413" s="5" t="n"/>
      <c r="J413" s="5" t="n"/>
      <c r="K413" s="5" t="n"/>
      <c r="L413" s="5" t="n"/>
      <c r="M413" s="9" t="n"/>
      <c r="N413" s="9" t="n"/>
      <c r="O413" s="9" t="n"/>
      <c r="P413" s="9" t="n"/>
      <c r="Q413" s="9" t="n"/>
      <c r="R413" s="8">
        <f>IF($A413="","",COUNTIF(INV_Product,$A413))</f>
        <v/>
      </c>
      <c r="S413" s="8">
        <f>IF($A413="","",COUNTIFS(INV_Product,$A413,INV_Status,"Available"))</f>
        <v/>
      </c>
      <c r="T413" s="8">
        <f>IF($D413="","",IF(COUNTIFS(DD_PairCategory,$C413,DD_Subcategory,$D413)&gt;0,"ok","✗ "&amp;$D413&amp;" is not under "&amp;$C413))</f>
        <v/>
      </c>
      <c r="U413" s="8">
        <f>IF($F413="","",IF(COUNTIFS(PM_Brand,$E413,PM_Model,$F413)&gt;1,"⚠ duplicate product",IF(AND($B413&lt;&gt;"",COUNTIF(PM_Short,$B413)&gt;1),"⚠ short code reused","")))</f>
        <v/>
      </c>
      <c r="V413" s="5" t="n"/>
    </row>
    <row r="414">
      <c r="A414" s="8">
        <f>IF($F414="","","PRD-"&amp;TEXT(ROW()-3,"0000"))</f>
        <v/>
      </c>
      <c r="B414" s="5" t="n"/>
      <c r="C414" s="5" t="n"/>
      <c r="D414" s="5" t="n"/>
      <c r="E414" s="5" t="n"/>
      <c r="F414" s="5" t="n"/>
      <c r="G414" s="5" t="n"/>
      <c r="H414" s="5" t="n"/>
      <c r="I414" s="5" t="n"/>
      <c r="J414" s="5" t="n"/>
      <c r="K414" s="5" t="n"/>
      <c r="L414" s="5" t="n"/>
      <c r="M414" s="9" t="n"/>
      <c r="N414" s="9" t="n"/>
      <c r="O414" s="9" t="n"/>
      <c r="P414" s="9" t="n"/>
      <c r="Q414" s="9" t="n"/>
      <c r="R414" s="8">
        <f>IF($A414="","",COUNTIF(INV_Product,$A414))</f>
        <v/>
      </c>
      <c r="S414" s="8">
        <f>IF($A414="","",COUNTIFS(INV_Product,$A414,INV_Status,"Available"))</f>
        <v/>
      </c>
      <c r="T414" s="8">
        <f>IF($D414="","",IF(COUNTIFS(DD_PairCategory,$C414,DD_Subcategory,$D414)&gt;0,"ok","✗ "&amp;$D414&amp;" is not under "&amp;$C414))</f>
        <v/>
      </c>
      <c r="U414" s="8">
        <f>IF($F414="","",IF(COUNTIFS(PM_Brand,$E414,PM_Model,$F414)&gt;1,"⚠ duplicate product",IF(AND($B414&lt;&gt;"",COUNTIF(PM_Short,$B414)&gt;1),"⚠ short code reused","")))</f>
        <v/>
      </c>
      <c r="V414" s="5" t="n"/>
    </row>
    <row r="415">
      <c r="A415" s="8">
        <f>IF($F415="","","PRD-"&amp;TEXT(ROW()-3,"0000"))</f>
        <v/>
      </c>
      <c r="B415" s="5" t="n"/>
      <c r="C415" s="5" t="n"/>
      <c r="D415" s="5" t="n"/>
      <c r="E415" s="5" t="n"/>
      <c r="F415" s="5" t="n"/>
      <c r="G415" s="5" t="n"/>
      <c r="H415" s="5" t="n"/>
      <c r="I415" s="5" t="n"/>
      <c r="J415" s="5" t="n"/>
      <c r="K415" s="5" t="n"/>
      <c r="L415" s="5" t="n"/>
      <c r="M415" s="9" t="n"/>
      <c r="N415" s="9" t="n"/>
      <c r="O415" s="9" t="n"/>
      <c r="P415" s="9" t="n"/>
      <c r="Q415" s="9" t="n"/>
      <c r="R415" s="8">
        <f>IF($A415="","",COUNTIF(INV_Product,$A415))</f>
        <v/>
      </c>
      <c r="S415" s="8">
        <f>IF($A415="","",COUNTIFS(INV_Product,$A415,INV_Status,"Available"))</f>
        <v/>
      </c>
      <c r="T415" s="8">
        <f>IF($D415="","",IF(COUNTIFS(DD_PairCategory,$C415,DD_Subcategory,$D415)&gt;0,"ok","✗ "&amp;$D415&amp;" is not under "&amp;$C415))</f>
        <v/>
      </c>
      <c r="U415" s="8">
        <f>IF($F415="","",IF(COUNTIFS(PM_Brand,$E415,PM_Model,$F415)&gt;1,"⚠ duplicate product",IF(AND($B415&lt;&gt;"",COUNTIF(PM_Short,$B415)&gt;1),"⚠ short code reused","")))</f>
        <v/>
      </c>
      <c r="V415" s="5" t="n"/>
    </row>
    <row r="416">
      <c r="A416" s="8">
        <f>IF($F416="","","PRD-"&amp;TEXT(ROW()-3,"0000"))</f>
        <v/>
      </c>
      <c r="B416" s="5" t="n"/>
      <c r="C416" s="5" t="n"/>
      <c r="D416" s="5" t="n"/>
      <c r="E416" s="5" t="n"/>
      <c r="F416" s="5" t="n"/>
      <c r="G416" s="5" t="n"/>
      <c r="H416" s="5" t="n"/>
      <c r="I416" s="5" t="n"/>
      <c r="J416" s="5" t="n"/>
      <c r="K416" s="5" t="n"/>
      <c r="L416" s="5" t="n"/>
      <c r="M416" s="9" t="n"/>
      <c r="N416" s="9" t="n"/>
      <c r="O416" s="9" t="n"/>
      <c r="P416" s="9" t="n"/>
      <c r="Q416" s="9" t="n"/>
      <c r="R416" s="8">
        <f>IF($A416="","",COUNTIF(INV_Product,$A416))</f>
        <v/>
      </c>
      <c r="S416" s="8">
        <f>IF($A416="","",COUNTIFS(INV_Product,$A416,INV_Status,"Available"))</f>
        <v/>
      </c>
      <c r="T416" s="8">
        <f>IF($D416="","",IF(COUNTIFS(DD_PairCategory,$C416,DD_Subcategory,$D416)&gt;0,"ok","✗ "&amp;$D416&amp;" is not under "&amp;$C416))</f>
        <v/>
      </c>
      <c r="U416" s="8">
        <f>IF($F416="","",IF(COUNTIFS(PM_Brand,$E416,PM_Model,$F416)&gt;1,"⚠ duplicate product",IF(AND($B416&lt;&gt;"",COUNTIF(PM_Short,$B416)&gt;1),"⚠ short code reused","")))</f>
        <v/>
      </c>
      <c r="V416" s="5" t="n"/>
    </row>
    <row r="417">
      <c r="A417" s="8">
        <f>IF($F417="","","PRD-"&amp;TEXT(ROW()-3,"0000"))</f>
        <v/>
      </c>
      <c r="B417" s="5" t="n"/>
      <c r="C417" s="5" t="n"/>
      <c r="D417" s="5" t="n"/>
      <c r="E417" s="5" t="n"/>
      <c r="F417" s="5" t="n"/>
      <c r="G417" s="5" t="n"/>
      <c r="H417" s="5" t="n"/>
      <c r="I417" s="5" t="n"/>
      <c r="J417" s="5" t="n"/>
      <c r="K417" s="5" t="n"/>
      <c r="L417" s="5" t="n"/>
      <c r="M417" s="9" t="n"/>
      <c r="N417" s="9" t="n"/>
      <c r="O417" s="9" t="n"/>
      <c r="P417" s="9" t="n"/>
      <c r="Q417" s="9" t="n"/>
      <c r="R417" s="8">
        <f>IF($A417="","",COUNTIF(INV_Product,$A417))</f>
        <v/>
      </c>
      <c r="S417" s="8">
        <f>IF($A417="","",COUNTIFS(INV_Product,$A417,INV_Status,"Available"))</f>
        <v/>
      </c>
      <c r="T417" s="8">
        <f>IF($D417="","",IF(COUNTIFS(DD_PairCategory,$C417,DD_Subcategory,$D417)&gt;0,"ok","✗ "&amp;$D417&amp;" is not under "&amp;$C417))</f>
        <v/>
      </c>
      <c r="U417" s="8">
        <f>IF($F417="","",IF(COUNTIFS(PM_Brand,$E417,PM_Model,$F417)&gt;1,"⚠ duplicate product",IF(AND($B417&lt;&gt;"",COUNTIF(PM_Short,$B417)&gt;1),"⚠ short code reused","")))</f>
        <v/>
      </c>
      <c r="V417" s="5" t="n"/>
    </row>
    <row r="418">
      <c r="A418" s="8">
        <f>IF($F418="","","PRD-"&amp;TEXT(ROW()-3,"0000"))</f>
        <v/>
      </c>
      <c r="B418" s="5" t="n"/>
      <c r="C418" s="5" t="n"/>
      <c r="D418" s="5" t="n"/>
      <c r="E418" s="5" t="n"/>
      <c r="F418" s="5" t="n"/>
      <c r="G418" s="5" t="n"/>
      <c r="H418" s="5" t="n"/>
      <c r="I418" s="5" t="n"/>
      <c r="J418" s="5" t="n"/>
      <c r="K418" s="5" t="n"/>
      <c r="L418" s="5" t="n"/>
      <c r="M418" s="9" t="n"/>
      <c r="N418" s="9" t="n"/>
      <c r="O418" s="9" t="n"/>
      <c r="P418" s="9" t="n"/>
      <c r="Q418" s="9" t="n"/>
      <c r="R418" s="8">
        <f>IF($A418="","",COUNTIF(INV_Product,$A418))</f>
        <v/>
      </c>
      <c r="S418" s="8">
        <f>IF($A418="","",COUNTIFS(INV_Product,$A418,INV_Status,"Available"))</f>
        <v/>
      </c>
      <c r="T418" s="8">
        <f>IF($D418="","",IF(COUNTIFS(DD_PairCategory,$C418,DD_Subcategory,$D418)&gt;0,"ok","✗ "&amp;$D418&amp;" is not under "&amp;$C418))</f>
        <v/>
      </c>
      <c r="U418" s="8">
        <f>IF($F418="","",IF(COUNTIFS(PM_Brand,$E418,PM_Model,$F418)&gt;1,"⚠ duplicate product",IF(AND($B418&lt;&gt;"",COUNTIF(PM_Short,$B418)&gt;1),"⚠ short code reused","")))</f>
        <v/>
      </c>
      <c r="V418" s="5" t="n"/>
    </row>
    <row r="419">
      <c r="A419" s="8">
        <f>IF($F419="","","PRD-"&amp;TEXT(ROW()-3,"0000"))</f>
        <v/>
      </c>
      <c r="B419" s="5" t="n"/>
      <c r="C419" s="5" t="n"/>
      <c r="D419" s="5" t="n"/>
      <c r="E419" s="5" t="n"/>
      <c r="F419" s="5" t="n"/>
      <c r="G419" s="5" t="n"/>
      <c r="H419" s="5" t="n"/>
      <c r="I419" s="5" t="n"/>
      <c r="J419" s="5" t="n"/>
      <c r="K419" s="5" t="n"/>
      <c r="L419" s="5" t="n"/>
      <c r="M419" s="9" t="n"/>
      <c r="N419" s="9" t="n"/>
      <c r="O419" s="9" t="n"/>
      <c r="P419" s="9" t="n"/>
      <c r="Q419" s="9" t="n"/>
      <c r="R419" s="8">
        <f>IF($A419="","",COUNTIF(INV_Product,$A419))</f>
        <v/>
      </c>
      <c r="S419" s="8">
        <f>IF($A419="","",COUNTIFS(INV_Product,$A419,INV_Status,"Available"))</f>
        <v/>
      </c>
      <c r="T419" s="8">
        <f>IF($D419="","",IF(COUNTIFS(DD_PairCategory,$C419,DD_Subcategory,$D419)&gt;0,"ok","✗ "&amp;$D419&amp;" is not under "&amp;$C419))</f>
        <v/>
      </c>
      <c r="U419" s="8">
        <f>IF($F419="","",IF(COUNTIFS(PM_Brand,$E419,PM_Model,$F419)&gt;1,"⚠ duplicate product",IF(AND($B419&lt;&gt;"",COUNTIF(PM_Short,$B419)&gt;1),"⚠ short code reused","")))</f>
        <v/>
      </c>
      <c r="V419" s="5" t="n"/>
    </row>
    <row r="420">
      <c r="A420" s="8">
        <f>IF($F420="","","PRD-"&amp;TEXT(ROW()-3,"0000"))</f>
        <v/>
      </c>
      <c r="B420" s="5" t="n"/>
      <c r="C420" s="5" t="n"/>
      <c r="D420" s="5" t="n"/>
      <c r="E420" s="5" t="n"/>
      <c r="F420" s="5" t="n"/>
      <c r="G420" s="5" t="n"/>
      <c r="H420" s="5" t="n"/>
      <c r="I420" s="5" t="n"/>
      <c r="J420" s="5" t="n"/>
      <c r="K420" s="5" t="n"/>
      <c r="L420" s="5" t="n"/>
      <c r="M420" s="9" t="n"/>
      <c r="N420" s="9" t="n"/>
      <c r="O420" s="9" t="n"/>
      <c r="P420" s="9" t="n"/>
      <c r="Q420" s="9" t="n"/>
      <c r="R420" s="8">
        <f>IF($A420="","",COUNTIF(INV_Product,$A420))</f>
        <v/>
      </c>
      <c r="S420" s="8">
        <f>IF($A420="","",COUNTIFS(INV_Product,$A420,INV_Status,"Available"))</f>
        <v/>
      </c>
      <c r="T420" s="8">
        <f>IF($D420="","",IF(COUNTIFS(DD_PairCategory,$C420,DD_Subcategory,$D420)&gt;0,"ok","✗ "&amp;$D420&amp;" is not under "&amp;$C420))</f>
        <v/>
      </c>
      <c r="U420" s="8">
        <f>IF($F420="","",IF(COUNTIFS(PM_Brand,$E420,PM_Model,$F420)&gt;1,"⚠ duplicate product",IF(AND($B420&lt;&gt;"",COUNTIF(PM_Short,$B420)&gt;1),"⚠ short code reused","")))</f>
        <v/>
      </c>
      <c r="V420" s="5" t="n"/>
    </row>
    <row r="421">
      <c r="A421" s="8">
        <f>IF($F421="","","PRD-"&amp;TEXT(ROW()-3,"0000"))</f>
        <v/>
      </c>
      <c r="B421" s="5" t="n"/>
      <c r="C421" s="5" t="n"/>
      <c r="D421" s="5" t="n"/>
      <c r="E421" s="5" t="n"/>
      <c r="F421" s="5" t="n"/>
      <c r="G421" s="5" t="n"/>
      <c r="H421" s="5" t="n"/>
      <c r="I421" s="5" t="n"/>
      <c r="J421" s="5" t="n"/>
      <c r="K421" s="5" t="n"/>
      <c r="L421" s="5" t="n"/>
      <c r="M421" s="9" t="n"/>
      <c r="N421" s="9" t="n"/>
      <c r="O421" s="9" t="n"/>
      <c r="P421" s="9" t="n"/>
      <c r="Q421" s="9" t="n"/>
      <c r="R421" s="8">
        <f>IF($A421="","",COUNTIF(INV_Product,$A421))</f>
        <v/>
      </c>
      <c r="S421" s="8">
        <f>IF($A421="","",COUNTIFS(INV_Product,$A421,INV_Status,"Available"))</f>
        <v/>
      </c>
      <c r="T421" s="8">
        <f>IF($D421="","",IF(COUNTIFS(DD_PairCategory,$C421,DD_Subcategory,$D421)&gt;0,"ok","✗ "&amp;$D421&amp;" is not under "&amp;$C421))</f>
        <v/>
      </c>
      <c r="U421" s="8">
        <f>IF($F421="","",IF(COUNTIFS(PM_Brand,$E421,PM_Model,$F421)&gt;1,"⚠ duplicate product",IF(AND($B421&lt;&gt;"",COUNTIF(PM_Short,$B421)&gt;1),"⚠ short code reused","")))</f>
        <v/>
      </c>
      <c r="V421" s="5" t="n"/>
    </row>
    <row r="422">
      <c r="A422" s="8">
        <f>IF($F422="","","PRD-"&amp;TEXT(ROW()-3,"0000"))</f>
        <v/>
      </c>
      <c r="B422" s="5" t="n"/>
      <c r="C422" s="5" t="n"/>
      <c r="D422" s="5" t="n"/>
      <c r="E422" s="5" t="n"/>
      <c r="F422" s="5" t="n"/>
      <c r="G422" s="5" t="n"/>
      <c r="H422" s="5" t="n"/>
      <c r="I422" s="5" t="n"/>
      <c r="J422" s="5" t="n"/>
      <c r="K422" s="5" t="n"/>
      <c r="L422" s="5" t="n"/>
      <c r="M422" s="9" t="n"/>
      <c r="N422" s="9" t="n"/>
      <c r="O422" s="9" t="n"/>
      <c r="P422" s="9" t="n"/>
      <c r="Q422" s="9" t="n"/>
      <c r="R422" s="8">
        <f>IF($A422="","",COUNTIF(INV_Product,$A422))</f>
        <v/>
      </c>
      <c r="S422" s="8">
        <f>IF($A422="","",COUNTIFS(INV_Product,$A422,INV_Status,"Available"))</f>
        <v/>
      </c>
      <c r="T422" s="8">
        <f>IF($D422="","",IF(COUNTIFS(DD_PairCategory,$C422,DD_Subcategory,$D422)&gt;0,"ok","✗ "&amp;$D422&amp;" is not under "&amp;$C422))</f>
        <v/>
      </c>
      <c r="U422" s="8">
        <f>IF($F422="","",IF(COUNTIFS(PM_Brand,$E422,PM_Model,$F422)&gt;1,"⚠ duplicate product",IF(AND($B422&lt;&gt;"",COUNTIF(PM_Short,$B422)&gt;1),"⚠ short code reused","")))</f>
        <v/>
      </c>
      <c r="V422" s="5" t="n"/>
    </row>
    <row r="423">
      <c r="A423" s="8">
        <f>IF($F423="","","PRD-"&amp;TEXT(ROW()-3,"0000"))</f>
        <v/>
      </c>
      <c r="B423" s="5" t="n"/>
      <c r="C423" s="5" t="n"/>
      <c r="D423" s="5" t="n"/>
      <c r="E423" s="5" t="n"/>
      <c r="F423" s="5" t="n"/>
      <c r="G423" s="5" t="n"/>
      <c r="H423" s="5" t="n"/>
      <c r="I423" s="5" t="n"/>
      <c r="J423" s="5" t="n"/>
      <c r="K423" s="5" t="n"/>
      <c r="L423" s="5" t="n"/>
      <c r="M423" s="9" t="n"/>
      <c r="N423" s="9" t="n"/>
      <c r="O423" s="9" t="n"/>
      <c r="P423" s="9" t="n"/>
      <c r="Q423" s="9" t="n"/>
      <c r="R423" s="8">
        <f>IF($A423="","",COUNTIF(INV_Product,$A423))</f>
        <v/>
      </c>
      <c r="S423" s="8">
        <f>IF($A423="","",COUNTIFS(INV_Product,$A423,INV_Status,"Available"))</f>
        <v/>
      </c>
      <c r="T423" s="8">
        <f>IF($D423="","",IF(COUNTIFS(DD_PairCategory,$C423,DD_Subcategory,$D423)&gt;0,"ok","✗ "&amp;$D423&amp;" is not under "&amp;$C423))</f>
        <v/>
      </c>
      <c r="U423" s="8">
        <f>IF($F423="","",IF(COUNTIFS(PM_Brand,$E423,PM_Model,$F423)&gt;1,"⚠ duplicate product",IF(AND($B423&lt;&gt;"",COUNTIF(PM_Short,$B423)&gt;1),"⚠ short code reused","")))</f>
        <v/>
      </c>
      <c r="V423" s="5" t="n"/>
    </row>
    <row r="424">
      <c r="A424" s="8">
        <f>IF($F424="","","PRD-"&amp;TEXT(ROW()-3,"0000"))</f>
        <v/>
      </c>
      <c r="B424" s="5" t="n"/>
      <c r="C424" s="5" t="n"/>
      <c r="D424" s="5" t="n"/>
      <c r="E424" s="5" t="n"/>
      <c r="F424" s="5" t="n"/>
      <c r="G424" s="5" t="n"/>
      <c r="H424" s="5" t="n"/>
      <c r="I424" s="5" t="n"/>
      <c r="J424" s="5" t="n"/>
      <c r="K424" s="5" t="n"/>
      <c r="L424" s="5" t="n"/>
      <c r="M424" s="9" t="n"/>
      <c r="N424" s="9" t="n"/>
      <c r="O424" s="9" t="n"/>
      <c r="P424" s="9" t="n"/>
      <c r="Q424" s="9" t="n"/>
      <c r="R424" s="8">
        <f>IF($A424="","",COUNTIF(INV_Product,$A424))</f>
        <v/>
      </c>
      <c r="S424" s="8">
        <f>IF($A424="","",COUNTIFS(INV_Product,$A424,INV_Status,"Available"))</f>
        <v/>
      </c>
      <c r="T424" s="8">
        <f>IF($D424="","",IF(COUNTIFS(DD_PairCategory,$C424,DD_Subcategory,$D424)&gt;0,"ok","✗ "&amp;$D424&amp;" is not under "&amp;$C424))</f>
        <v/>
      </c>
      <c r="U424" s="8">
        <f>IF($F424="","",IF(COUNTIFS(PM_Brand,$E424,PM_Model,$F424)&gt;1,"⚠ duplicate product",IF(AND($B424&lt;&gt;"",COUNTIF(PM_Short,$B424)&gt;1),"⚠ short code reused","")))</f>
        <v/>
      </c>
      <c r="V424" s="5" t="n"/>
    </row>
    <row r="425">
      <c r="A425" s="8">
        <f>IF($F425="","","PRD-"&amp;TEXT(ROW()-3,"0000"))</f>
        <v/>
      </c>
      <c r="B425" s="5" t="n"/>
      <c r="C425" s="5" t="n"/>
      <c r="D425" s="5" t="n"/>
      <c r="E425" s="5" t="n"/>
      <c r="F425" s="5" t="n"/>
      <c r="G425" s="5" t="n"/>
      <c r="H425" s="5" t="n"/>
      <c r="I425" s="5" t="n"/>
      <c r="J425" s="5" t="n"/>
      <c r="K425" s="5" t="n"/>
      <c r="L425" s="5" t="n"/>
      <c r="M425" s="9" t="n"/>
      <c r="N425" s="9" t="n"/>
      <c r="O425" s="9" t="n"/>
      <c r="P425" s="9" t="n"/>
      <c r="Q425" s="9" t="n"/>
      <c r="R425" s="8">
        <f>IF($A425="","",COUNTIF(INV_Product,$A425))</f>
        <v/>
      </c>
      <c r="S425" s="8">
        <f>IF($A425="","",COUNTIFS(INV_Product,$A425,INV_Status,"Available"))</f>
        <v/>
      </c>
      <c r="T425" s="8">
        <f>IF($D425="","",IF(COUNTIFS(DD_PairCategory,$C425,DD_Subcategory,$D425)&gt;0,"ok","✗ "&amp;$D425&amp;" is not under "&amp;$C425))</f>
        <v/>
      </c>
      <c r="U425" s="8">
        <f>IF($F425="","",IF(COUNTIFS(PM_Brand,$E425,PM_Model,$F425)&gt;1,"⚠ duplicate product",IF(AND($B425&lt;&gt;"",COUNTIF(PM_Short,$B425)&gt;1),"⚠ short code reused","")))</f>
        <v/>
      </c>
      <c r="V425" s="5" t="n"/>
    </row>
    <row r="426">
      <c r="A426" s="8">
        <f>IF($F426="","","PRD-"&amp;TEXT(ROW()-3,"0000"))</f>
        <v/>
      </c>
      <c r="B426" s="5" t="n"/>
      <c r="C426" s="5" t="n"/>
      <c r="D426" s="5" t="n"/>
      <c r="E426" s="5" t="n"/>
      <c r="F426" s="5" t="n"/>
      <c r="G426" s="5" t="n"/>
      <c r="H426" s="5" t="n"/>
      <c r="I426" s="5" t="n"/>
      <c r="J426" s="5" t="n"/>
      <c r="K426" s="5" t="n"/>
      <c r="L426" s="5" t="n"/>
      <c r="M426" s="9" t="n"/>
      <c r="N426" s="9" t="n"/>
      <c r="O426" s="9" t="n"/>
      <c r="P426" s="9" t="n"/>
      <c r="Q426" s="9" t="n"/>
      <c r="R426" s="8">
        <f>IF($A426="","",COUNTIF(INV_Product,$A426))</f>
        <v/>
      </c>
      <c r="S426" s="8">
        <f>IF($A426="","",COUNTIFS(INV_Product,$A426,INV_Status,"Available"))</f>
        <v/>
      </c>
      <c r="T426" s="8">
        <f>IF($D426="","",IF(COUNTIFS(DD_PairCategory,$C426,DD_Subcategory,$D426)&gt;0,"ok","✗ "&amp;$D426&amp;" is not under "&amp;$C426))</f>
        <v/>
      </c>
      <c r="U426" s="8">
        <f>IF($F426="","",IF(COUNTIFS(PM_Brand,$E426,PM_Model,$F426)&gt;1,"⚠ duplicate product",IF(AND($B426&lt;&gt;"",COUNTIF(PM_Short,$B426)&gt;1),"⚠ short code reused","")))</f>
        <v/>
      </c>
      <c r="V426" s="5" t="n"/>
    </row>
    <row r="427">
      <c r="A427" s="8">
        <f>IF($F427="","","PRD-"&amp;TEXT(ROW()-3,"0000"))</f>
        <v/>
      </c>
      <c r="B427" s="5" t="n"/>
      <c r="C427" s="5" t="n"/>
      <c r="D427" s="5" t="n"/>
      <c r="E427" s="5" t="n"/>
      <c r="F427" s="5" t="n"/>
      <c r="G427" s="5" t="n"/>
      <c r="H427" s="5" t="n"/>
      <c r="I427" s="5" t="n"/>
      <c r="J427" s="5" t="n"/>
      <c r="K427" s="5" t="n"/>
      <c r="L427" s="5" t="n"/>
      <c r="M427" s="9" t="n"/>
      <c r="N427" s="9" t="n"/>
      <c r="O427" s="9" t="n"/>
      <c r="P427" s="9" t="n"/>
      <c r="Q427" s="9" t="n"/>
      <c r="R427" s="8">
        <f>IF($A427="","",COUNTIF(INV_Product,$A427))</f>
        <v/>
      </c>
      <c r="S427" s="8">
        <f>IF($A427="","",COUNTIFS(INV_Product,$A427,INV_Status,"Available"))</f>
        <v/>
      </c>
      <c r="T427" s="8">
        <f>IF($D427="","",IF(COUNTIFS(DD_PairCategory,$C427,DD_Subcategory,$D427)&gt;0,"ok","✗ "&amp;$D427&amp;" is not under "&amp;$C427))</f>
        <v/>
      </c>
      <c r="U427" s="8">
        <f>IF($F427="","",IF(COUNTIFS(PM_Brand,$E427,PM_Model,$F427)&gt;1,"⚠ duplicate product",IF(AND($B427&lt;&gt;"",COUNTIF(PM_Short,$B427)&gt;1),"⚠ short code reused","")))</f>
        <v/>
      </c>
      <c r="V427" s="5" t="n"/>
    </row>
    <row r="428">
      <c r="A428" s="8">
        <f>IF($F428="","","PRD-"&amp;TEXT(ROW()-3,"0000"))</f>
        <v/>
      </c>
      <c r="B428" s="5" t="n"/>
      <c r="C428" s="5" t="n"/>
      <c r="D428" s="5" t="n"/>
      <c r="E428" s="5" t="n"/>
      <c r="F428" s="5" t="n"/>
      <c r="G428" s="5" t="n"/>
      <c r="H428" s="5" t="n"/>
      <c r="I428" s="5" t="n"/>
      <c r="J428" s="5" t="n"/>
      <c r="K428" s="5" t="n"/>
      <c r="L428" s="5" t="n"/>
      <c r="M428" s="9" t="n"/>
      <c r="N428" s="9" t="n"/>
      <c r="O428" s="9" t="n"/>
      <c r="P428" s="9" t="n"/>
      <c r="Q428" s="9" t="n"/>
      <c r="R428" s="8">
        <f>IF($A428="","",COUNTIF(INV_Product,$A428))</f>
        <v/>
      </c>
      <c r="S428" s="8">
        <f>IF($A428="","",COUNTIFS(INV_Product,$A428,INV_Status,"Available"))</f>
        <v/>
      </c>
      <c r="T428" s="8">
        <f>IF($D428="","",IF(COUNTIFS(DD_PairCategory,$C428,DD_Subcategory,$D428)&gt;0,"ok","✗ "&amp;$D428&amp;" is not under "&amp;$C428))</f>
        <v/>
      </c>
      <c r="U428" s="8">
        <f>IF($F428="","",IF(COUNTIFS(PM_Brand,$E428,PM_Model,$F428)&gt;1,"⚠ duplicate product",IF(AND($B428&lt;&gt;"",COUNTIF(PM_Short,$B428)&gt;1),"⚠ short code reused","")))</f>
        <v/>
      </c>
      <c r="V428" s="5" t="n"/>
    </row>
    <row r="429">
      <c r="A429" s="8">
        <f>IF($F429="","","PRD-"&amp;TEXT(ROW()-3,"0000"))</f>
        <v/>
      </c>
      <c r="B429" s="5" t="n"/>
      <c r="C429" s="5" t="n"/>
      <c r="D429" s="5" t="n"/>
      <c r="E429" s="5" t="n"/>
      <c r="F429" s="5" t="n"/>
      <c r="G429" s="5" t="n"/>
      <c r="H429" s="5" t="n"/>
      <c r="I429" s="5" t="n"/>
      <c r="J429" s="5" t="n"/>
      <c r="K429" s="5" t="n"/>
      <c r="L429" s="5" t="n"/>
      <c r="M429" s="9" t="n"/>
      <c r="N429" s="9" t="n"/>
      <c r="O429" s="9" t="n"/>
      <c r="P429" s="9" t="n"/>
      <c r="Q429" s="9" t="n"/>
      <c r="R429" s="8">
        <f>IF($A429="","",COUNTIF(INV_Product,$A429))</f>
        <v/>
      </c>
      <c r="S429" s="8">
        <f>IF($A429="","",COUNTIFS(INV_Product,$A429,INV_Status,"Available"))</f>
        <v/>
      </c>
      <c r="T429" s="8">
        <f>IF($D429="","",IF(COUNTIFS(DD_PairCategory,$C429,DD_Subcategory,$D429)&gt;0,"ok","✗ "&amp;$D429&amp;" is not under "&amp;$C429))</f>
        <v/>
      </c>
      <c r="U429" s="8">
        <f>IF($F429="","",IF(COUNTIFS(PM_Brand,$E429,PM_Model,$F429)&gt;1,"⚠ duplicate product",IF(AND($B429&lt;&gt;"",COUNTIF(PM_Short,$B429)&gt;1),"⚠ short code reused","")))</f>
        <v/>
      </c>
      <c r="V429" s="5" t="n"/>
    </row>
    <row r="430">
      <c r="A430" s="8">
        <f>IF($F430="","","PRD-"&amp;TEXT(ROW()-3,"0000"))</f>
        <v/>
      </c>
      <c r="B430" s="5" t="n"/>
      <c r="C430" s="5" t="n"/>
      <c r="D430" s="5" t="n"/>
      <c r="E430" s="5" t="n"/>
      <c r="F430" s="5" t="n"/>
      <c r="G430" s="5" t="n"/>
      <c r="H430" s="5" t="n"/>
      <c r="I430" s="5" t="n"/>
      <c r="J430" s="5" t="n"/>
      <c r="K430" s="5" t="n"/>
      <c r="L430" s="5" t="n"/>
      <c r="M430" s="9" t="n"/>
      <c r="N430" s="9" t="n"/>
      <c r="O430" s="9" t="n"/>
      <c r="P430" s="9" t="n"/>
      <c r="Q430" s="9" t="n"/>
      <c r="R430" s="8">
        <f>IF($A430="","",COUNTIF(INV_Product,$A430))</f>
        <v/>
      </c>
      <c r="S430" s="8">
        <f>IF($A430="","",COUNTIFS(INV_Product,$A430,INV_Status,"Available"))</f>
        <v/>
      </c>
      <c r="T430" s="8">
        <f>IF($D430="","",IF(COUNTIFS(DD_PairCategory,$C430,DD_Subcategory,$D430)&gt;0,"ok","✗ "&amp;$D430&amp;" is not under "&amp;$C430))</f>
        <v/>
      </c>
      <c r="U430" s="8">
        <f>IF($F430="","",IF(COUNTIFS(PM_Brand,$E430,PM_Model,$F430)&gt;1,"⚠ duplicate product",IF(AND($B430&lt;&gt;"",COUNTIF(PM_Short,$B430)&gt;1),"⚠ short code reused","")))</f>
        <v/>
      </c>
      <c r="V430" s="5" t="n"/>
    </row>
    <row r="431">
      <c r="A431" s="8">
        <f>IF($F431="","","PRD-"&amp;TEXT(ROW()-3,"0000"))</f>
        <v/>
      </c>
      <c r="B431" s="5" t="n"/>
      <c r="C431" s="5" t="n"/>
      <c r="D431" s="5" t="n"/>
      <c r="E431" s="5" t="n"/>
      <c r="F431" s="5" t="n"/>
      <c r="G431" s="5" t="n"/>
      <c r="H431" s="5" t="n"/>
      <c r="I431" s="5" t="n"/>
      <c r="J431" s="5" t="n"/>
      <c r="K431" s="5" t="n"/>
      <c r="L431" s="5" t="n"/>
      <c r="M431" s="9" t="n"/>
      <c r="N431" s="9" t="n"/>
      <c r="O431" s="9" t="n"/>
      <c r="P431" s="9" t="n"/>
      <c r="Q431" s="9" t="n"/>
      <c r="R431" s="8">
        <f>IF($A431="","",COUNTIF(INV_Product,$A431))</f>
        <v/>
      </c>
      <c r="S431" s="8">
        <f>IF($A431="","",COUNTIFS(INV_Product,$A431,INV_Status,"Available"))</f>
        <v/>
      </c>
      <c r="T431" s="8">
        <f>IF($D431="","",IF(COUNTIFS(DD_PairCategory,$C431,DD_Subcategory,$D431)&gt;0,"ok","✗ "&amp;$D431&amp;" is not under "&amp;$C431))</f>
        <v/>
      </c>
      <c r="U431" s="8">
        <f>IF($F431="","",IF(COUNTIFS(PM_Brand,$E431,PM_Model,$F431)&gt;1,"⚠ duplicate product",IF(AND($B431&lt;&gt;"",COUNTIF(PM_Short,$B431)&gt;1),"⚠ short code reused","")))</f>
        <v/>
      </c>
      <c r="V431" s="5" t="n"/>
    </row>
    <row r="432">
      <c r="A432" s="8">
        <f>IF($F432="","","PRD-"&amp;TEXT(ROW()-3,"0000"))</f>
        <v/>
      </c>
      <c r="B432" s="5" t="n"/>
      <c r="C432" s="5" t="n"/>
      <c r="D432" s="5" t="n"/>
      <c r="E432" s="5" t="n"/>
      <c r="F432" s="5" t="n"/>
      <c r="G432" s="5" t="n"/>
      <c r="H432" s="5" t="n"/>
      <c r="I432" s="5" t="n"/>
      <c r="J432" s="5" t="n"/>
      <c r="K432" s="5" t="n"/>
      <c r="L432" s="5" t="n"/>
      <c r="M432" s="9" t="n"/>
      <c r="N432" s="9" t="n"/>
      <c r="O432" s="9" t="n"/>
      <c r="P432" s="9" t="n"/>
      <c r="Q432" s="9" t="n"/>
      <c r="R432" s="8">
        <f>IF($A432="","",COUNTIF(INV_Product,$A432))</f>
        <v/>
      </c>
      <c r="S432" s="8">
        <f>IF($A432="","",COUNTIFS(INV_Product,$A432,INV_Status,"Available"))</f>
        <v/>
      </c>
      <c r="T432" s="8">
        <f>IF($D432="","",IF(COUNTIFS(DD_PairCategory,$C432,DD_Subcategory,$D432)&gt;0,"ok","✗ "&amp;$D432&amp;" is not under "&amp;$C432))</f>
        <v/>
      </c>
      <c r="U432" s="8">
        <f>IF($F432="","",IF(COUNTIFS(PM_Brand,$E432,PM_Model,$F432)&gt;1,"⚠ duplicate product",IF(AND($B432&lt;&gt;"",COUNTIF(PM_Short,$B432)&gt;1),"⚠ short code reused","")))</f>
        <v/>
      </c>
      <c r="V432" s="5" t="n"/>
    </row>
    <row r="433">
      <c r="A433" s="8">
        <f>IF($F433="","","PRD-"&amp;TEXT(ROW()-3,"0000"))</f>
        <v/>
      </c>
      <c r="B433" s="5" t="n"/>
      <c r="C433" s="5" t="n"/>
      <c r="D433" s="5" t="n"/>
      <c r="E433" s="5" t="n"/>
      <c r="F433" s="5" t="n"/>
      <c r="G433" s="5" t="n"/>
      <c r="H433" s="5" t="n"/>
      <c r="I433" s="5" t="n"/>
      <c r="J433" s="5" t="n"/>
      <c r="K433" s="5" t="n"/>
      <c r="L433" s="5" t="n"/>
      <c r="M433" s="9" t="n"/>
      <c r="N433" s="9" t="n"/>
      <c r="O433" s="9" t="n"/>
      <c r="P433" s="9" t="n"/>
      <c r="Q433" s="9" t="n"/>
      <c r="R433" s="8">
        <f>IF($A433="","",COUNTIF(INV_Product,$A433))</f>
        <v/>
      </c>
      <c r="S433" s="8">
        <f>IF($A433="","",COUNTIFS(INV_Product,$A433,INV_Status,"Available"))</f>
        <v/>
      </c>
      <c r="T433" s="8">
        <f>IF($D433="","",IF(COUNTIFS(DD_PairCategory,$C433,DD_Subcategory,$D433)&gt;0,"ok","✗ "&amp;$D433&amp;" is not under "&amp;$C433))</f>
        <v/>
      </c>
      <c r="U433" s="8">
        <f>IF($F433="","",IF(COUNTIFS(PM_Brand,$E433,PM_Model,$F433)&gt;1,"⚠ duplicate product",IF(AND($B433&lt;&gt;"",COUNTIF(PM_Short,$B433)&gt;1),"⚠ short code reused","")))</f>
        <v/>
      </c>
      <c r="V433" s="5" t="n"/>
    </row>
    <row r="434">
      <c r="A434" s="8">
        <f>IF($F434="","","PRD-"&amp;TEXT(ROW()-3,"0000"))</f>
        <v/>
      </c>
      <c r="B434" s="5" t="n"/>
      <c r="C434" s="5" t="n"/>
      <c r="D434" s="5" t="n"/>
      <c r="E434" s="5" t="n"/>
      <c r="F434" s="5" t="n"/>
      <c r="G434" s="5" t="n"/>
      <c r="H434" s="5" t="n"/>
      <c r="I434" s="5" t="n"/>
      <c r="J434" s="5" t="n"/>
      <c r="K434" s="5" t="n"/>
      <c r="L434" s="5" t="n"/>
      <c r="M434" s="9" t="n"/>
      <c r="N434" s="9" t="n"/>
      <c r="O434" s="9" t="n"/>
      <c r="P434" s="9" t="n"/>
      <c r="Q434" s="9" t="n"/>
      <c r="R434" s="8">
        <f>IF($A434="","",COUNTIF(INV_Product,$A434))</f>
        <v/>
      </c>
      <c r="S434" s="8">
        <f>IF($A434="","",COUNTIFS(INV_Product,$A434,INV_Status,"Available"))</f>
        <v/>
      </c>
      <c r="T434" s="8">
        <f>IF($D434="","",IF(COUNTIFS(DD_PairCategory,$C434,DD_Subcategory,$D434)&gt;0,"ok","✗ "&amp;$D434&amp;" is not under "&amp;$C434))</f>
        <v/>
      </c>
      <c r="U434" s="8">
        <f>IF($F434="","",IF(COUNTIFS(PM_Brand,$E434,PM_Model,$F434)&gt;1,"⚠ duplicate product",IF(AND($B434&lt;&gt;"",COUNTIF(PM_Short,$B434)&gt;1),"⚠ short code reused","")))</f>
        <v/>
      </c>
      <c r="V434" s="5" t="n"/>
    </row>
    <row r="435">
      <c r="A435" s="8">
        <f>IF($F435="","","PRD-"&amp;TEXT(ROW()-3,"0000"))</f>
        <v/>
      </c>
      <c r="B435" s="5" t="n"/>
      <c r="C435" s="5" t="n"/>
      <c r="D435" s="5" t="n"/>
      <c r="E435" s="5" t="n"/>
      <c r="F435" s="5" t="n"/>
      <c r="G435" s="5" t="n"/>
      <c r="H435" s="5" t="n"/>
      <c r="I435" s="5" t="n"/>
      <c r="J435" s="5" t="n"/>
      <c r="K435" s="5" t="n"/>
      <c r="L435" s="5" t="n"/>
      <c r="M435" s="9" t="n"/>
      <c r="N435" s="9" t="n"/>
      <c r="O435" s="9" t="n"/>
      <c r="P435" s="9" t="n"/>
      <c r="Q435" s="9" t="n"/>
      <c r="R435" s="8">
        <f>IF($A435="","",COUNTIF(INV_Product,$A435))</f>
        <v/>
      </c>
      <c r="S435" s="8">
        <f>IF($A435="","",COUNTIFS(INV_Product,$A435,INV_Status,"Available"))</f>
        <v/>
      </c>
      <c r="T435" s="8">
        <f>IF($D435="","",IF(COUNTIFS(DD_PairCategory,$C435,DD_Subcategory,$D435)&gt;0,"ok","✗ "&amp;$D435&amp;" is not under "&amp;$C435))</f>
        <v/>
      </c>
      <c r="U435" s="8">
        <f>IF($F435="","",IF(COUNTIFS(PM_Brand,$E435,PM_Model,$F435)&gt;1,"⚠ duplicate product",IF(AND($B435&lt;&gt;"",COUNTIF(PM_Short,$B435)&gt;1),"⚠ short code reused","")))</f>
        <v/>
      </c>
      <c r="V435" s="5" t="n"/>
    </row>
    <row r="436">
      <c r="A436" s="8">
        <f>IF($F436="","","PRD-"&amp;TEXT(ROW()-3,"0000"))</f>
        <v/>
      </c>
      <c r="B436" s="5" t="n"/>
      <c r="C436" s="5" t="n"/>
      <c r="D436" s="5" t="n"/>
      <c r="E436" s="5" t="n"/>
      <c r="F436" s="5" t="n"/>
      <c r="G436" s="5" t="n"/>
      <c r="H436" s="5" t="n"/>
      <c r="I436" s="5" t="n"/>
      <c r="J436" s="5" t="n"/>
      <c r="K436" s="5" t="n"/>
      <c r="L436" s="5" t="n"/>
      <c r="M436" s="9" t="n"/>
      <c r="N436" s="9" t="n"/>
      <c r="O436" s="9" t="n"/>
      <c r="P436" s="9" t="n"/>
      <c r="Q436" s="9" t="n"/>
      <c r="R436" s="8">
        <f>IF($A436="","",COUNTIF(INV_Product,$A436))</f>
        <v/>
      </c>
      <c r="S436" s="8">
        <f>IF($A436="","",COUNTIFS(INV_Product,$A436,INV_Status,"Available"))</f>
        <v/>
      </c>
      <c r="T436" s="8">
        <f>IF($D436="","",IF(COUNTIFS(DD_PairCategory,$C436,DD_Subcategory,$D436)&gt;0,"ok","✗ "&amp;$D436&amp;" is not under "&amp;$C436))</f>
        <v/>
      </c>
      <c r="U436" s="8">
        <f>IF($F436="","",IF(COUNTIFS(PM_Brand,$E436,PM_Model,$F436)&gt;1,"⚠ duplicate product",IF(AND($B436&lt;&gt;"",COUNTIF(PM_Short,$B436)&gt;1),"⚠ short code reused","")))</f>
        <v/>
      </c>
      <c r="V436" s="5" t="n"/>
    </row>
    <row r="437">
      <c r="A437" s="8">
        <f>IF($F437="","","PRD-"&amp;TEXT(ROW()-3,"0000"))</f>
        <v/>
      </c>
      <c r="B437" s="5" t="n"/>
      <c r="C437" s="5" t="n"/>
      <c r="D437" s="5" t="n"/>
      <c r="E437" s="5" t="n"/>
      <c r="F437" s="5" t="n"/>
      <c r="G437" s="5" t="n"/>
      <c r="H437" s="5" t="n"/>
      <c r="I437" s="5" t="n"/>
      <c r="J437" s="5" t="n"/>
      <c r="K437" s="5" t="n"/>
      <c r="L437" s="5" t="n"/>
      <c r="M437" s="9" t="n"/>
      <c r="N437" s="9" t="n"/>
      <c r="O437" s="9" t="n"/>
      <c r="P437" s="9" t="n"/>
      <c r="Q437" s="9" t="n"/>
      <c r="R437" s="8">
        <f>IF($A437="","",COUNTIF(INV_Product,$A437))</f>
        <v/>
      </c>
      <c r="S437" s="8">
        <f>IF($A437="","",COUNTIFS(INV_Product,$A437,INV_Status,"Available"))</f>
        <v/>
      </c>
      <c r="T437" s="8">
        <f>IF($D437="","",IF(COUNTIFS(DD_PairCategory,$C437,DD_Subcategory,$D437)&gt;0,"ok","✗ "&amp;$D437&amp;" is not under "&amp;$C437))</f>
        <v/>
      </c>
      <c r="U437" s="8">
        <f>IF($F437="","",IF(COUNTIFS(PM_Brand,$E437,PM_Model,$F437)&gt;1,"⚠ duplicate product",IF(AND($B437&lt;&gt;"",COUNTIF(PM_Short,$B437)&gt;1),"⚠ short code reused","")))</f>
        <v/>
      </c>
      <c r="V437" s="5" t="n"/>
    </row>
    <row r="438">
      <c r="A438" s="8">
        <f>IF($F438="","","PRD-"&amp;TEXT(ROW()-3,"0000"))</f>
        <v/>
      </c>
      <c r="B438" s="5" t="n"/>
      <c r="C438" s="5" t="n"/>
      <c r="D438" s="5" t="n"/>
      <c r="E438" s="5" t="n"/>
      <c r="F438" s="5" t="n"/>
      <c r="G438" s="5" t="n"/>
      <c r="H438" s="5" t="n"/>
      <c r="I438" s="5" t="n"/>
      <c r="J438" s="5" t="n"/>
      <c r="K438" s="5" t="n"/>
      <c r="L438" s="5" t="n"/>
      <c r="M438" s="9" t="n"/>
      <c r="N438" s="9" t="n"/>
      <c r="O438" s="9" t="n"/>
      <c r="P438" s="9" t="n"/>
      <c r="Q438" s="9" t="n"/>
      <c r="R438" s="8">
        <f>IF($A438="","",COUNTIF(INV_Product,$A438))</f>
        <v/>
      </c>
      <c r="S438" s="8">
        <f>IF($A438="","",COUNTIFS(INV_Product,$A438,INV_Status,"Available"))</f>
        <v/>
      </c>
      <c r="T438" s="8">
        <f>IF($D438="","",IF(COUNTIFS(DD_PairCategory,$C438,DD_Subcategory,$D438)&gt;0,"ok","✗ "&amp;$D438&amp;" is not under "&amp;$C438))</f>
        <v/>
      </c>
      <c r="U438" s="8">
        <f>IF($F438="","",IF(COUNTIFS(PM_Brand,$E438,PM_Model,$F438)&gt;1,"⚠ duplicate product",IF(AND($B438&lt;&gt;"",COUNTIF(PM_Short,$B438)&gt;1),"⚠ short code reused","")))</f>
        <v/>
      </c>
      <c r="V438" s="5" t="n"/>
    </row>
    <row r="439">
      <c r="A439" s="8">
        <f>IF($F439="","","PRD-"&amp;TEXT(ROW()-3,"0000"))</f>
        <v/>
      </c>
      <c r="B439" s="5" t="n"/>
      <c r="C439" s="5" t="n"/>
      <c r="D439" s="5" t="n"/>
      <c r="E439" s="5" t="n"/>
      <c r="F439" s="5" t="n"/>
      <c r="G439" s="5" t="n"/>
      <c r="H439" s="5" t="n"/>
      <c r="I439" s="5" t="n"/>
      <c r="J439" s="5" t="n"/>
      <c r="K439" s="5" t="n"/>
      <c r="L439" s="5" t="n"/>
      <c r="M439" s="9" t="n"/>
      <c r="N439" s="9" t="n"/>
      <c r="O439" s="9" t="n"/>
      <c r="P439" s="9" t="n"/>
      <c r="Q439" s="9" t="n"/>
      <c r="R439" s="8">
        <f>IF($A439="","",COUNTIF(INV_Product,$A439))</f>
        <v/>
      </c>
      <c r="S439" s="8">
        <f>IF($A439="","",COUNTIFS(INV_Product,$A439,INV_Status,"Available"))</f>
        <v/>
      </c>
      <c r="T439" s="8">
        <f>IF($D439="","",IF(COUNTIFS(DD_PairCategory,$C439,DD_Subcategory,$D439)&gt;0,"ok","✗ "&amp;$D439&amp;" is not under "&amp;$C439))</f>
        <v/>
      </c>
      <c r="U439" s="8">
        <f>IF($F439="","",IF(COUNTIFS(PM_Brand,$E439,PM_Model,$F439)&gt;1,"⚠ duplicate product",IF(AND($B439&lt;&gt;"",COUNTIF(PM_Short,$B439)&gt;1),"⚠ short code reused","")))</f>
        <v/>
      </c>
      <c r="V439" s="5" t="n"/>
    </row>
    <row r="440">
      <c r="A440" s="8">
        <f>IF($F440="","","PRD-"&amp;TEXT(ROW()-3,"0000"))</f>
        <v/>
      </c>
      <c r="B440" s="5" t="n"/>
      <c r="C440" s="5" t="n"/>
      <c r="D440" s="5" t="n"/>
      <c r="E440" s="5" t="n"/>
      <c r="F440" s="5" t="n"/>
      <c r="G440" s="5" t="n"/>
      <c r="H440" s="5" t="n"/>
      <c r="I440" s="5" t="n"/>
      <c r="J440" s="5" t="n"/>
      <c r="K440" s="5" t="n"/>
      <c r="L440" s="5" t="n"/>
      <c r="M440" s="9" t="n"/>
      <c r="N440" s="9" t="n"/>
      <c r="O440" s="9" t="n"/>
      <c r="P440" s="9" t="n"/>
      <c r="Q440" s="9" t="n"/>
      <c r="R440" s="8">
        <f>IF($A440="","",COUNTIF(INV_Product,$A440))</f>
        <v/>
      </c>
      <c r="S440" s="8">
        <f>IF($A440="","",COUNTIFS(INV_Product,$A440,INV_Status,"Available"))</f>
        <v/>
      </c>
      <c r="T440" s="8">
        <f>IF($D440="","",IF(COUNTIFS(DD_PairCategory,$C440,DD_Subcategory,$D440)&gt;0,"ok","✗ "&amp;$D440&amp;" is not under "&amp;$C440))</f>
        <v/>
      </c>
      <c r="U440" s="8">
        <f>IF($F440="","",IF(COUNTIFS(PM_Brand,$E440,PM_Model,$F440)&gt;1,"⚠ duplicate product",IF(AND($B440&lt;&gt;"",COUNTIF(PM_Short,$B440)&gt;1),"⚠ short code reused","")))</f>
        <v/>
      </c>
      <c r="V440" s="5" t="n"/>
    </row>
    <row r="441">
      <c r="A441" s="8">
        <f>IF($F441="","","PRD-"&amp;TEXT(ROW()-3,"0000"))</f>
        <v/>
      </c>
      <c r="B441" s="5" t="n"/>
      <c r="C441" s="5" t="n"/>
      <c r="D441" s="5" t="n"/>
      <c r="E441" s="5" t="n"/>
      <c r="F441" s="5" t="n"/>
      <c r="G441" s="5" t="n"/>
      <c r="H441" s="5" t="n"/>
      <c r="I441" s="5" t="n"/>
      <c r="J441" s="5" t="n"/>
      <c r="K441" s="5" t="n"/>
      <c r="L441" s="5" t="n"/>
      <c r="M441" s="9" t="n"/>
      <c r="N441" s="9" t="n"/>
      <c r="O441" s="9" t="n"/>
      <c r="P441" s="9" t="n"/>
      <c r="Q441" s="9" t="n"/>
      <c r="R441" s="8">
        <f>IF($A441="","",COUNTIF(INV_Product,$A441))</f>
        <v/>
      </c>
      <c r="S441" s="8">
        <f>IF($A441="","",COUNTIFS(INV_Product,$A441,INV_Status,"Available"))</f>
        <v/>
      </c>
      <c r="T441" s="8">
        <f>IF($D441="","",IF(COUNTIFS(DD_PairCategory,$C441,DD_Subcategory,$D441)&gt;0,"ok","✗ "&amp;$D441&amp;" is not under "&amp;$C441))</f>
        <v/>
      </c>
      <c r="U441" s="8">
        <f>IF($F441="","",IF(COUNTIFS(PM_Brand,$E441,PM_Model,$F441)&gt;1,"⚠ duplicate product",IF(AND($B441&lt;&gt;"",COUNTIF(PM_Short,$B441)&gt;1),"⚠ short code reused","")))</f>
        <v/>
      </c>
      <c r="V441" s="5" t="n"/>
    </row>
    <row r="442">
      <c r="A442" s="8">
        <f>IF($F442="","","PRD-"&amp;TEXT(ROW()-3,"0000"))</f>
        <v/>
      </c>
      <c r="B442" s="5" t="n"/>
      <c r="C442" s="5" t="n"/>
      <c r="D442" s="5" t="n"/>
      <c r="E442" s="5" t="n"/>
      <c r="F442" s="5" t="n"/>
      <c r="G442" s="5" t="n"/>
      <c r="H442" s="5" t="n"/>
      <c r="I442" s="5" t="n"/>
      <c r="J442" s="5" t="n"/>
      <c r="K442" s="5" t="n"/>
      <c r="L442" s="5" t="n"/>
      <c r="M442" s="9" t="n"/>
      <c r="N442" s="9" t="n"/>
      <c r="O442" s="9" t="n"/>
      <c r="P442" s="9" t="n"/>
      <c r="Q442" s="9" t="n"/>
      <c r="R442" s="8">
        <f>IF($A442="","",COUNTIF(INV_Product,$A442))</f>
        <v/>
      </c>
      <c r="S442" s="8">
        <f>IF($A442="","",COUNTIFS(INV_Product,$A442,INV_Status,"Available"))</f>
        <v/>
      </c>
      <c r="T442" s="8">
        <f>IF($D442="","",IF(COUNTIFS(DD_PairCategory,$C442,DD_Subcategory,$D442)&gt;0,"ok","✗ "&amp;$D442&amp;" is not under "&amp;$C442))</f>
        <v/>
      </c>
      <c r="U442" s="8">
        <f>IF($F442="","",IF(COUNTIFS(PM_Brand,$E442,PM_Model,$F442)&gt;1,"⚠ duplicate product",IF(AND($B442&lt;&gt;"",COUNTIF(PM_Short,$B442)&gt;1),"⚠ short code reused","")))</f>
        <v/>
      </c>
      <c r="V442" s="5" t="n"/>
    </row>
    <row r="443">
      <c r="A443" s="8">
        <f>IF($F443="","","PRD-"&amp;TEXT(ROW()-3,"0000"))</f>
        <v/>
      </c>
      <c r="B443" s="5" t="n"/>
      <c r="C443" s="5" t="n"/>
      <c r="D443" s="5" t="n"/>
      <c r="E443" s="5" t="n"/>
      <c r="F443" s="5" t="n"/>
      <c r="G443" s="5" t="n"/>
      <c r="H443" s="5" t="n"/>
      <c r="I443" s="5" t="n"/>
      <c r="J443" s="5" t="n"/>
      <c r="K443" s="5" t="n"/>
      <c r="L443" s="5" t="n"/>
      <c r="M443" s="9" t="n"/>
      <c r="N443" s="9" t="n"/>
      <c r="O443" s="9" t="n"/>
      <c r="P443" s="9" t="n"/>
      <c r="Q443" s="9" t="n"/>
      <c r="R443" s="8">
        <f>IF($A443="","",COUNTIF(INV_Product,$A443))</f>
        <v/>
      </c>
      <c r="S443" s="8">
        <f>IF($A443="","",COUNTIFS(INV_Product,$A443,INV_Status,"Available"))</f>
        <v/>
      </c>
      <c r="T443" s="8">
        <f>IF($D443="","",IF(COUNTIFS(DD_PairCategory,$C443,DD_Subcategory,$D443)&gt;0,"ok","✗ "&amp;$D443&amp;" is not under "&amp;$C443))</f>
        <v/>
      </c>
      <c r="U443" s="8">
        <f>IF($F443="","",IF(COUNTIFS(PM_Brand,$E443,PM_Model,$F443)&gt;1,"⚠ duplicate product",IF(AND($B443&lt;&gt;"",COUNTIF(PM_Short,$B443)&gt;1),"⚠ short code reused","")))</f>
        <v/>
      </c>
      <c r="V443" s="5" t="n"/>
    </row>
    <row r="444">
      <c r="A444" s="8">
        <f>IF($F444="","","PRD-"&amp;TEXT(ROW()-3,"0000"))</f>
        <v/>
      </c>
      <c r="B444" s="5" t="n"/>
      <c r="C444" s="5" t="n"/>
      <c r="D444" s="5" t="n"/>
      <c r="E444" s="5" t="n"/>
      <c r="F444" s="5" t="n"/>
      <c r="G444" s="5" t="n"/>
      <c r="H444" s="5" t="n"/>
      <c r="I444" s="5" t="n"/>
      <c r="J444" s="5" t="n"/>
      <c r="K444" s="5" t="n"/>
      <c r="L444" s="5" t="n"/>
      <c r="M444" s="9" t="n"/>
      <c r="N444" s="9" t="n"/>
      <c r="O444" s="9" t="n"/>
      <c r="P444" s="9" t="n"/>
      <c r="Q444" s="9" t="n"/>
      <c r="R444" s="8">
        <f>IF($A444="","",COUNTIF(INV_Product,$A444))</f>
        <v/>
      </c>
      <c r="S444" s="8">
        <f>IF($A444="","",COUNTIFS(INV_Product,$A444,INV_Status,"Available"))</f>
        <v/>
      </c>
      <c r="T444" s="8">
        <f>IF($D444="","",IF(COUNTIFS(DD_PairCategory,$C444,DD_Subcategory,$D444)&gt;0,"ok","✗ "&amp;$D444&amp;" is not under "&amp;$C444))</f>
        <v/>
      </c>
      <c r="U444" s="8">
        <f>IF($F444="","",IF(COUNTIFS(PM_Brand,$E444,PM_Model,$F444)&gt;1,"⚠ duplicate product",IF(AND($B444&lt;&gt;"",COUNTIF(PM_Short,$B444)&gt;1),"⚠ short code reused","")))</f>
        <v/>
      </c>
      <c r="V444" s="5" t="n"/>
    </row>
    <row r="445">
      <c r="A445" s="8">
        <f>IF($F445="","","PRD-"&amp;TEXT(ROW()-3,"0000"))</f>
        <v/>
      </c>
      <c r="B445" s="5" t="n"/>
      <c r="C445" s="5" t="n"/>
      <c r="D445" s="5" t="n"/>
      <c r="E445" s="5" t="n"/>
      <c r="F445" s="5" t="n"/>
      <c r="G445" s="5" t="n"/>
      <c r="H445" s="5" t="n"/>
      <c r="I445" s="5" t="n"/>
      <c r="J445" s="5" t="n"/>
      <c r="K445" s="5" t="n"/>
      <c r="L445" s="5" t="n"/>
      <c r="M445" s="9" t="n"/>
      <c r="N445" s="9" t="n"/>
      <c r="O445" s="9" t="n"/>
      <c r="P445" s="9" t="n"/>
      <c r="Q445" s="9" t="n"/>
      <c r="R445" s="8">
        <f>IF($A445="","",COUNTIF(INV_Product,$A445))</f>
        <v/>
      </c>
      <c r="S445" s="8">
        <f>IF($A445="","",COUNTIFS(INV_Product,$A445,INV_Status,"Available"))</f>
        <v/>
      </c>
      <c r="T445" s="8">
        <f>IF($D445="","",IF(COUNTIFS(DD_PairCategory,$C445,DD_Subcategory,$D445)&gt;0,"ok","✗ "&amp;$D445&amp;" is not under "&amp;$C445))</f>
        <v/>
      </c>
      <c r="U445" s="8">
        <f>IF($F445="","",IF(COUNTIFS(PM_Brand,$E445,PM_Model,$F445)&gt;1,"⚠ duplicate product",IF(AND($B445&lt;&gt;"",COUNTIF(PM_Short,$B445)&gt;1),"⚠ short code reused","")))</f>
        <v/>
      </c>
      <c r="V445" s="5" t="n"/>
    </row>
    <row r="446">
      <c r="A446" s="8">
        <f>IF($F446="","","PRD-"&amp;TEXT(ROW()-3,"0000"))</f>
        <v/>
      </c>
      <c r="B446" s="5" t="n"/>
      <c r="C446" s="5" t="n"/>
      <c r="D446" s="5" t="n"/>
      <c r="E446" s="5" t="n"/>
      <c r="F446" s="5" t="n"/>
      <c r="G446" s="5" t="n"/>
      <c r="H446" s="5" t="n"/>
      <c r="I446" s="5" t="n"/>
      <c r="J446" s="5" t="n"/>
      <c r="K446" s="5" t="n"/>
      <c r="L446" s="5" t="n"/>
      <c r="M446" s="9" t="n"/>
      <c r="N446" s="9" t="n"/>
      <c r="O446" s="9" t="n"/>
      <c r="P446" s="9" t="n"/>
      <c r="Q446" s="9" t="n"/>
      <c r="R446" s="8">
        <f>IF($A446="","",COUNTIF(INV_Product,$A446))</f>
        <v/>
      </c>
      <c r="S446" s="8">
        <f>IF($A446="","",COUNTIFS(INV_Product,$A446,INV_Status,"Available"))</f>
        <v/>
      </c>
      <c r="T446" s="8">
        <f>IF($D446="","",IF(COUNTIFS(DD_PairCategory,$C446,DD_Subcategory,$D446)&gt;0,"ok","✗ "&amp;$D446&amp;" is not under "&amp;$C446))</f>
        <v/>
      </c>
      <c r="U446" s="8">
        <f>IF($F446="","",IF(COUNTIFS(PM_Brand,$E446,PM_Model,$F446)&gt;1,"⚠ duplicate product",IF(AND($B446&lt;&gt;"",COUNTIF(PM_Short,$B446)&gt;1),"⚠ short code reused","")))</f>
        <v/>
      </c>
      <c r="V446" s="5" t="n"/>
    </row>
    <row r="447">
      <c r="A447" s="8">
        <f>IF($F447="","","PRD-"&amp;TEXT(ROW()-3,"0000"))</f>
        <v/>
      </c>
      <c r="B447" s="5" t="n"/>
      <c r="C447" s="5" t="n"/>
      <c r="D447" s="5" t="n"/>
      <c r="E447" s="5" t="n"/>
      <c r="F447" s="5" t="n"/>
      <c r="G447" s="5" t="n"/>
      <c r="H447" s="5" t="n"/>
      <c r="I447" s="5" t="n"/>
      <c r="J447" s="5" t="n"/>
      <c r="K447" s="5" t="n"/>
      <c r="L447" s="5" t="n"/>
      <c r="M447" s="9" t="n"/>
      <c r="N447" s="9" t="n"/>
      <c r="O447" s="9" t="n"/>
      <c r="P447" s="9" t="n"/>
      <c r="Q447" s="9" t="n"/>
      <c r="R447" s="8">
        <f>IF($A447="","",COUNTIF(INV_Product,$A447))</f>
        <v/>
      </c>
      <c r="S447" s="8">
        <f>IF($A447="","",COUNTIFS(INV_Product,$A447,INV_Status,"Available"))</f>
        <v/>
      </c>
      <c r="T447" s="8">
        <f>IF($D447="","",IF(COUNTIFS(DD_PairCategory,$C447,DD_Subcategory,$D447)&gt;0,"ok","✗ "&amp;$D447&amp;" is not under "&amp;$C447))</f>
        <v/>
      </c>
      <c r="U447" s="8">
        <f>IF($F447="","",IF(COUNTIFS(PM_Brand,$E447,PM_Model,$F447)&gt;1,"⚠ duplicate product",IF(AND($B447&lt;&gt;"",COUNTIF(PM_Short,$B447)&gt;1),"⚠ short code reused","")))</f>
        <v/>
      </c>
      <c r="V447" s="5" t="n"/>
    </row>
    <row r="448">
      <c r="A448" s="8">
        <f>IF($F448="","","PRD-"&amp;TEXT(ROW()-3,"0000"))</f>
        <v/>
      </c>
      <c r="B448" s="5" t="n"/>
      <c r="C448" s="5" t="n"/>
      <c r="D448" s="5" t="n"/>
      <c r="E448" s="5" t="n"/>
      <c r="F448" s="5" t="n"/>
      <c r="G448" s="5" t="n"/>
      <c r="H448" s="5" t="n"/>
      <c r="I448" s="5" t="n"/>
      <c r="J448" s="5" t="n"/>
      <c r="K448" s="5" t="n"/>
      <c r="L448" s="5" t="n"/>
      <c r="M448" s="9" t="n"/>
      <c r="N448" s="9" t="n"/>
      <c r="O448" s="9" t="n"/>
      <c r="P448" s="9" t="n"/>
      <c r="Q448" s="9" t="n"/>
      <c r="R448" s="8">
        <f>IF($A448="","",COUNTIF(INV_Product,$A448))</f>
        <v/>
      </c>
      <c r="S448" s="8">
        <f>IF($A448="","",COUNTIFS(INV_Product,$A448,INV_Status,"Available"))</f>
        <v/>
      </c>
      <c r="T448" s="8">
        <f>IF($D448="","",IF(COUNTIFS(DD_PairCategory,$C448,DD_Subcategory,$D448)&gt;0,"ok","✗ "&amp;$D448&amp;" is not under "&amp;$C448))</f>
        <v/>
      </c>
      <c r="U448" s="8">
        <f>IF($F448="","",IF(COUNTIFS(PM_Brand,$E448,PM_Model,$F448)&gt;1,"⚠ duplicate product",IF(AND($B448&lt;&gt;"",COUNTIF(PM_Short,$B448)&gt;1),"⚠ short code reused","")))</f>
        <v/>
      </c>
      <c r="V448" s="5" t="n"/>
    </row>
    <row r="449">
      <c r="A449" s="8">
        <f>IF($F449="","","PRD-"&amp;TEXT(ROW()-3,"0000"))</f>
        <v/>
      </c>
      <c r="B449" s="5" t="n"/>
      <c r="C449" s="5" t="n"/>
      <c r="D449" s="5" t="n"/>
      <c r="E449" s="5" t="n"/>
      <c r="F449" s="5" t="n"/>
      <c r="G449" s="5" t="n"/>
      <c r="H449" s="5" t="n"/>
      <c r="I449" s="5" t="n"/>
      <c r="J449" s="5" t="n"/>
      <c r="K449" s="5" t="n"/>
      <c r="L449" s="5" t="n"/>
      <c r="M449" s="9" t="n"/>
      <c r="N449" s="9" t="n"/>
      <c r="O449" s="9" t="n"/>
      <c r="P449" s="9" t="n"/>
      <c r="Q449" s="9" t="n"/>
      <c r="R449" s="8">
        <f>IF($A449="","",COUNTIF(INV_Product,$A449))</f>
        <v/>
      </c>
      <c r="S449" s="8">
        <f>IF($A449="","",COUNTIFS(INV_Product,$A449,INV_Status,"Available"))</f>
        <v/>
      </c>
      <c r="T449" s="8">
        <f>IF($D449="","",IF(COUNTIFS(DD_PairCategory,$C449,DD_Subcategory,$D449)&gt;0,"ok","✗ "&amp;$D449&amp;" is not under "&amp;$C449))</f>
        <v/>
      </c>
      <c r="U449" s="8">
        <f>IF($F449="","",IF(COUNTIFS(PM_Brand,$E449,PM_Model,$F449)&gt;1,"⚠ duplicate product",IF(AND($B449&lt;&gt;"",COUNTIF(PM_Short,$B449)&gt;1),"⚠ short code reused","")))</f>
        <v/>
      </c>
      <c r="V449" s="5" t="n"/>
    </row>
    <row r="450">
      <c r="A450" s="8">
        <f>IF($F450="","","PRD-"&amp;TEXT(ROW()-3,"0000"))</f>
        <v/>
      </c>
      <c r="B450" s="5" t="n"/>
      <c r="C450" s="5" t="n"/>
      <c r="D450" s="5" t="n"/>
      <c r="E450" s="5" t="n"/>
      <c r="F450" s="5" t="n"/>
      <c r="G450" s="5" t="n"/>
      <c r="H450" s="5" t="n"/>
      <c r="I450" s="5" t="n"/>
      <c r="J450" s="5" t="n"/>
      <c r="K450" s="5" t="n"/>
      <c r="L450" s="5" t="n"/>
      <c r="M450" s="9" t="n"/>
      <c r="N450" s="9" t="n"/>
      <c r="O450" s="9" t="n"/>
      <c r="P450" s="9" t="n"/>
      <c r="Q450" s="9" t="n"/>
      <c r="R450" s="8">
        <f>IF($A450="","",COUNTIF(INV_Product,$A450))</f>
        <v/>
      </c>
      <c r="S450" s="8">
        <f>IF($A450="","",COUNTIFS(INV_Product,$A450,INV_Status,"Available"))</f>
        <v/>
      </c>
      <c r="T450" s="8">
        <f>IF($D450="","",IF(COUNTIFS(DD_PairCategory,$C450,DD_Subcategory,$D450)&gt;0,"ok","✗ "&amp;$D450&amp;" is not under "&amp;$C450))</f>
        <v/>
      </c>
      <c r="U450" s="8">
        <f>IF($F450="","",IF(COUNTIFS(PM_Brand,$E450,PM_Model,$F450)&gt;1,"⚠ duplicate product",IF(AND($B450&lt;&gt;"",COUNTIF(PM_Short,$B450)&gt;1),"⚠ short code reused","")))</f>
        <v/>
      </c>
      <c r="V450" s="5" t="n"/>
    </row>
    <row r="451">
      <c r="A451" s="8">
        <f>IF($F451="","","PRD-"&amp;TEXT(ROW()-3,"0000"))</f>
        <v/>
      </c>
      <c r="B451" s="5" t="n"/>
      <c r="C451" s="5" t="n"/>
      <c r="D451" s="5" t="n"/>
      <c r="E451" s="5" t="n"/>
      <c r="F451" s="5" t="n"/>
      <c r="G451" s="5" t="n"/>
      <c r="H451" s="5" t="n"/>
      <c r="I451" s="5" t="n"/>
      <c r="J451" s="5" t="n"/>
      <c r="K451" s="5" t="n"/>
      <c r="L451" s="5" t="n"/>
      <c r="M451" s="9" t="n"/>
      <c r="N451" s="9" t="n"/>
      <c r="O451" s="9" t="n"/>
      <c r="P451" s="9" t="n"/>
      <c r="Q451" s="9" t="n"/>
      <c r="R451" s="8">
        <f>IF($A451="","",COUNTIF(INV_Product,$A451))</f>
        <v/>
      </c>
      <c r="S451" s="8">
        <f>IF($A451="","",COUNTIFS(INV_Product,$A451,INV_Status,"Available"))</f>
        <v/>
      </c>
      <c r="T451" s="8">
        <f>IF($D451="","",IF(COUNTIFS(DD_PairCategory,$C451,DD_Subcategory,$D451)&gt;0,"ok","✗ "&amp;$D451&amp;" is not under "&amp;$C451))</f>
        <v/>
      </c>
      <c r="U451" s="8">
        <f>IF($F451="","",IF(COUNTIFS(PM_Brand,$E451,PM_Model,$F451)&gt;1,"⚠ duplicate product",IF(AND($B451&lt;&gt;"",COUNTIF(PM_Short,$B451)&gt;1),"⚠ short code reused","")))</f>
        <v/>
      </c>
      <c r="V451" s="5" t="n"/>
    </row>
    <row r="452">
      <c r="A452" s="8">
        <f>IF($F452="","","PRD-"&amp;TEXT(ROW()-3,"0000"))</f>
        <v/>
      </c>
      <c r="B452" s="5" t="n"/>
      <c r="C452" s="5" t="n"/>
      <c r="D452" s="5" t="n"/>
      <c r="E452" s="5" t="n"/>
      <c r="F452" s="5" t="n"/>
      <c r="G452" s="5" t="n"/>
      <c r="H452" s="5" t="n"/>
      <c r="I452" s="5" t="n"/>
      <c r="J452" s="5" t="n"/>
      <c r="K452" s="5" t="n"/>
      <c r="L452" s="5" t="n"/>
      <c r="M452" s="9" t="n"/>
      <c r="N452" s="9" t="n"/>
      <c r="O452" s="9" t="n"/>
      <c r="P452" s="9" t="n"/>
      <c r="Q452" s="9" t="n"/>
      <c r="R452" s="8">
        <f>IF($A452="","",COUNTIF(INV_Product,$A452))</f>
        <v/>
      </c>
      <c r="S452" s="8">
        <f>IF($A452="","",COUNTIFS(INV_Product,$A452,INV_Status,"Available"))</f>
        <v/>
      </c>
      <c r="T452" s="8">
        <f>IF($D452="","",IF(COUNTIFS(DD_PairCategory,$C452,DD_Subcategory,$D452)&gt;0,"ok","✗ "&amp;$D452&amp;" is not under "&amp;$C452))</f>
        <v/>
      </c>
      <c r="U452" s="8">
        <f>IF($F452="","",IF(COUNTIFS(PM_Brand,$E452,PM_Model,$F452)&gt;1,"⚠ duplicate product",IF(AND($B452&lt;&gt;"",COUNTIF(PM_Short,$B452)&gt;1),"⚠ short code reused","")))</f>
        <v/>
      </c>
      <c r="V452" s="5" t="n"/>
    </row>
    <row r="453">
      <c r="A453" s="8">
        <f>IF($F453="","","PRD-"&amp;TEXT(ROW()-3,"0000"))</f>
        <v/>
      </c>
      <c r="B453" s="5" t="n"/>
      <c r="C453" s="5" t="n"/>
      <c r="D453" s="5" t="n"/>
      <c r="E453" s="5" t="n"/>
      <c r="F453" s="5" t="n"/>
      <c r="G453" s="5" t="n"/>
      <c r="H453" s="5" t="n"/>
      <c r="I453" s="5" t="n"/>
      <c r="J453" s="5" t="n"/>
      <c r="K453" s="5" t="n"/>
      <c r="L453" s="5" t="n"/>
      <c r="M453" s="9" t="n"/>
      <c r="N453" s="9" t="n"/>
      <c r="O453" s="9" t="n"/>
      <c r="P453" s="9" t="n"/>
      <c r="Q453" s="9" t="n"/>
      <c r="R453" s="8">
        <f>IF($A453="","",COUNTIF(INV_Product,$A453))</f>
        <v/>
      </c>
      <c r="S453" s="8">
        <f>IF($A453="","",COUNTIFS(INV_Product,$A453,INV_Status,"Available"))</f>
        <v/>
      </c>
      <c r="T453" s="8">
        <f>IF($D453="","",IF(COUNTIFS(DD_PairCategory,$C453,DD_Subcategory,$D453)&gt;0,"ok","✗ "&amp;$D453&amp;" is not under "&amp;$C453))</f>
        <v/>
      </c>
      <c r="U453" s="8">
        <f>IF($F453="","",IF(COUNTIFS(PM_Brand,$E453,PM_Model,$F453)&gt;1,"⚠ duplicate product",IF(AND($B453&lt;&gt;"",COUNTIF(PM_Short,$B453)&gt;1),"⚠ short code reused","")))</f>
        <v/>
      </c>
      <c r="V453" s="5" t="n"/>
    </row>
    <row r="454">
      <c r="A454" s="8">
        <f>IF($F454="","","PRD-"&amp;TEXT(ROW()-3,"0000"))</f>
        <v/>
      </c>
      <c r="B454" s="5" t="n"/>
      <c r="C454" s="5" t="n"/>
      <c r="D454" s="5" t="n"/>
      <c r="E454" s="5" t="n"/>
      <c r="F454" s="5" t="n"/>
      <c r="G454" s="5" t="n"/>
      <c r="H454" s="5" t="n"/>
      <c r="I454" s="5" t="n"/>
      <c r="J454" s="5" t="n"/>
      <c r="K454" s="5" t="n"/>
      <c r="L454" s="5" t="n"/>
      <c r="M454" s="9" t="n"/>
      <c r="N454" s="9" t="n"/>
      <c r="O454" s="9" t="n"/>
      <c r="P454" s="9" t="n"/>
      <c r="Q454" s="9" t="n"/>
      <c r="R454" s="8">
        <f>IF($A454="","",COUNTIF(INV_Product,$A454))</f>
        <v/>
      </c>
      <c r="S454" s="8">
        <f>IF($A454="","",COUNTIFS(INV_Product,$A454,INV_Status,"Available"))</f>
        <v/>
      </c>
      <c r="T454" s="8">
        <f>IF($D454="","",IF(COUNTIFS(DD_PairCategory,$C454,DD_Subcategory,$D454)&gt;0,"ok","✗ "&amp;$D454&amp;" is not under "&amp;$C454))</f>
        <v/>
      </c>
      <c r="U454" s="8">
        <f>IF($F454="","",IF(COUNTIFS(PM_Brand,$E454,PM_Model,$F454)&gt;1,"⚠ duplicate product",IF(AND($B454&lt;&gt;"",COUNTIF(PM_Short,$B454)&gt;1),"⚠ short code reused","")))</f>
        <v/>
      </c>
      <c r="V454" s="5" t="n"/>
    </row>
    <row r="455">
      <c r="A455" s="8">
        <f>IF($F455="","","PRD-"&amp;TEXT(ROW()-3,"0000"))</f>
        <v/>
      </c>
      <c r="B455" s="5" t="n"/>
      <c r="C455" s="5" t="n"/>
      <c r="D455" s="5" t="n"/>
      <c r="E455" s="5" t="n"/>
      <c r="F455" s="5" t="n"/>
      <c r="G455" s="5" t="n"/>
      <c r="H455" s="5" t="n"/>
      <c r="I455" s="5" t="n"/>
      <c r="J455" s="5" t="n"/>
      <c r="K455" s="5" t="n"/>
      <c r="L455" s="5" t="n"/>
      <c r="M455" s="9" t="n"/>
      <c r="N455" s="9" t="n"/>
      <c r="O455" s="9" t="n"/>
      <c r="P455" s="9" t="n"/>
      <c r="Q455" s="9" t="n"/>
      <c r="R455" s="8">
        <f>IF($A455="","",COUNTIF(INV_Product,$A455))</f>
        <v/>
      </c>
      <c r="S455" s="8">
        <f>IF($A455="","",COUNTIFS(INV_Product,$A455,INV_Status,"Available"))</f>
        <v/>
      </c>
      <c r="T455" s="8">
        <f>IF($D455="","",IF(COUNTIFS(DD_PairCategory,$C455,DD_Subcategory,$D455)&gt;0,"ok","✗ "&amp;$D455&amp;" is not under "&amp;$C455))</f>
        <v/>
      </c>
      <c r="U455" s="8">
        <f>IF($F455="","",IF(COUNTIFS(PM_Brand,$E455,PM_Model,$F455)&gt;1,"⚠ duplicate product",IF(AND($B455&lt;&gt;"",COUNTIF(PM_Short,$B455)&gt;1),"⚠ short code reused","")))</f>
        <v/>
      </c>
      <c r="V455" s="5" t="n"/>
    </row>
    <row r="456">
      <c r="A456" s="8">
        <f>IF($F456="","","PRD-"&amp;TEXT(ROW()-3,"0000"))</f>
        <v/>
      </c>
      <c r="B456" s="5" t="n"/>
      <c r="C456" s="5" t="n"/>
      <c r="D456" s="5" t="n"/>
      <c r="E456" s="5" t="n"/>
      <c r="F456" s="5" t="n"/>
      <c r="G456" s="5" t="n"/>
      <c r="H456" s="5" t="n"/>
      <c r="I456" s="5" t="n"/>
      <c r="J456" s="5" t="n"/>
      <c r="K456" s="5" t="n"/>
      <c r="L456" s="5" t="n"/>
      <c r="M456" s="9" t="n"/>
      <c r="N456" s="9" t="n"/>
      <c r="O456" s="9" t="n"/>
      <c r="P456" s="9" t="n"/>
      <c r="Q456" s="9" t="n"/>
      <c r="R456" s="8">
        <f>IF($A456="","",COUNTIF(INV_Product,$A456))</f>
        <v/>
      </c>
      <c r="S456" s="8">
        <f>IF($A456="","",COUNTIFS(INV_Product,$A456,INV_Status,"Available"))</f>
        <v/>
      </c>
      <c r="T456" s="8">
        <f>IF($D456="","",IF(COUNTIFS(DD_PairCategory,$C456,DD_Subcategory,$D456)&gt;0,"ok","✗ "&amp;$D456&amp;" is not under "&amp;$C456))</f>
        <v/>
      </c>
      <c r="U456" s="8">
        <f>IF($F456="","",IF(COUNTIFS(PM_Brand,$E456,PM_Model,$F456)&gt;1,"⚠ duplicate product",IF(AND($B456&lt;&gt;"",COUNTIF(PM_Short,$B456)&gt;1),"⚠ short code reused","")))</f>
        <v/>
      </c>
      <c r="V456" s="5" t="n"/>
    </row>
    <row r="457">
      <c r="A457" s="8">
        <f>IF($F457="","","PRD-"&amp;TEXT(ROW()-3,"0000"))</f>
        <v/>
      </c>
      <c r="B457" s="5" t="n"/>
      <c r="C457" s="5" t="n"/>
      <c r="D457" s="5" t="n"/>
      <c r="E457" s="5" t="n"/>
      <c r="F457" s="5" t="n"/>
      <c r="G457" s="5" t="n"/>
      <c r="H457" s="5" t="n"/>
      <c r="I457" s="5" t="n"/>
      <c r="J457" s="5" t="n"/>
      <c r="K457" s="5" t="n"/>
      <c r="L457" s="5" t="n"/>
      <c r="M457" s="9" t="n"/>
      <c r="N457" s="9" t="n"/>
      <c r="O457" s="9" t="n"/>
      <c r="P457" s="9" t="n"/>
      <c r="Q457" s="9" t="n"/>
      <c r="R457" s="8">
        <f>IF($A457="","",COUNTIF(INV_Product,$A457))</f>
        <v/>
      </c>
      <c r="S457" s="8">
        <f>IF($A457="","",COUNTIFS(INV_Product,$A457,INV_Status,"Available"))</f>
        <v/>
      </c>
      <c r="T457" s="8">
        <f>IF($D457="","",IF(COUNTIFS(DD_PairCategory,$C457,DD_Subcategory,$D457)&gt;0,"ok","✗ "&amp;$D457&amp;" is not under "&amp;$C457))</f>
        <v/>
      </c>
      <c r="U457" s="8">
        <f>IF($F457="","",IF(COUNTIFS(PM_Brand,$E457,PM_Model,$F457)&gt;1,"⚠ duplicate product",IF(AND($B457&lt;&gt;"",COUNTIF(PM_Short,$B457)&gt;1),"⚠ short code reused","")))</f>
        <v/>
      </c>
      <c r="V457" s="5" t="n"/>
    </row>
    <row r="458">
      <c r="A458" s="8">
        <f>IF($F458="","","PRD-"&amp;TEXT(ROW()-3,"0000"))</f>
        <v/>
      </c>
      <c r="B458" s="5" t="n"/>
      <c r="C458" s="5" t="n"/>
      <c r="D458" s="5" t="n"/>
      <c r="E458" s="5" t="n"/>
      <c r="F458" s="5" t="n"/>
      <c r="G458" s="5" t="n"/>
      <c r="H458" s="5" t="n"/>
      <c r="I458" s="5" t="n"/>
      <c r="J458" s="5" t="n"/>
      <c r="K458" s="5" t="n"/>
      <c r="L458" s="5" t="n"/>
      <c r="M458" s="9" t="n"/>
      <c r="N458" s="9" t="n"/>
      <c r="O458" s="9" t="n"/>
      <c r="P458" s="9" t="n"/>
      <c r="Q458" s="9" t="n"/>
      <c r="R458" s="8">
        <f>IF($A458="","",COUNTIF(INV_Product,$A458))</f>
        <v/>
      </c>
      <c r="S458" s="8">
        <f>IF($A458="","",COUNTIFS(INV_Product,$A458,INV_Status,"Available"))</f>
        <v/>
      </c>
      <c r="T458" s="8">
        <f>IF($D458="","",IF(COUNTIFS(DD_PairCategory,$C458,DD_Subcategory,$D458)&gt;0,"ok","✗ "&amp;$D458&amp;" is not under "&amp;$C458))</f>
        <v/>
      </c>
      <c r="U458" s="8">
        <f>IF($F458="","",IF(COUNTIFS(PM_Brand,$E458,PM_Model,$F458)&gt;1,"⚠ duplicate product",IF(AND($B458&lt;&gt;"",COUNTIF(PM_Short,$B458)&gt;1),"⚠ short code reused","")))</f>
        <v/>
      </c>
      <c r="V458" s="5" t="n"/>
    </row>
    <row r="459">
      <c r="A459" s="8">
        <f>IF($F459="","","PRD-"&amp;TEXT(ROW()-3,"0000"))</f>
        <v/>
      </c>
      <c r="B459" s="5" t="n"/>
      <c r="C459" s="5" t="n"/>
      <c r="D459" s="5" t="n"/>
      <c r="E459" s="5" t="n"/>
      <c r="F459" s="5" t="n"/>
      <c r="G459" s="5" t="n"/>
      <c r="H459" s="5" t="n"/>
      <c r="I459" s="5" t="n"/>
      <c r="J459" s="5" t="n"/>
      <c r="K459" s="5" t="n"/>
      <c r="L459" s="5" t="n"/>
      <c r="M459" s="9" t="n"/>
      <c r="N459" s="9" t="n"/>
      <c r="O459" s="9" t="n"/>
      <c r="P459" s="9" t="n"/>
      <c r="Q459" s="9" t="n"/>
      <c r="R459" s="8">
        <f>IF($A459="","",COUNTIF(INV_Product,$A459))</f>
        <v/>
      </c>
      <c r="S459" s="8">
        <f>IF($A459="","",COUNTIFS(INV_Product,$A459,INV_Status,"Available"))</f>
        <v/>
      </c>
      <c r="T459" s="8">
        <f>IF($D459="","",IF(COUNTIFS(DD_PairCategory,$C459,DD_Subcategory,$D459)&gt;0,"ok","✗ "&amp;$D459&amp;" is not under "&amp;$C459))</f>
        <v/>
      </c>
      <c r="U459" s="8">
        <f>IF($F459="","",IF(COUNTIFS(PM_Brand,$E459,PM_Model,$F459)&gt;1,"⚠ duplicate product",IF(AND($B459&lt;&gt;"",COUNTIF(PM_Short,$B459)&gt;1),"⚠ short code reused","")))</f>
        <v/>
      </c>
      <c r="V459" s="5" t="n"/>
    </row>
    <row r="460">
      <c r="A460" s="8">
        <f>IF($F460="","","PRD-"&amp;TEXT(ROW()-3,"0000"))</f>
        <v/>
      </c>
      <c r="B460" s="5" t="n"/>
      <c r="C460" s="5" t="n"/>
      <c r="D460" s="5" t="n"/>
      <c r="E460" s="5" t="n"/>
      <c r="F460" s="5" t="n"/>
      <c r="G460" s="5" t="n"/>
      <c r="H460" s="5" t="n"/>
      <c r="I460" s="5" t="n"/>
      <c r="J460" s="5" t="n"/>
      <c r="K460" s="5" t="n"/>
      <c r="L460" s="5" t="n"/>
      <c r="M460" s="9" t="n"/>
      <c r="N460" s="9" t="n"/>
      <c r="O460" s="9" t="n"/>
      <c r="P460" s="9" t="n"/>
      <c r="Q460" s="9" t="n"/>
      <c r="R460" s="8">
        <f>IF($A460="","",COUNTIF(INV_Product,$A460))</f>
        <v/>
      </c>
      <c r="S460" s="8">
        <f>IF($A460="","",COUNTIFS(INV_Product,$A460,INV_Status,"Available"))</f>
        <v/>
      </c>
      <c r="T460" s="8">
        <f>IF($D460="","",IF(COUNTIFS(DD_PairCategory,$C460,DD_Subcategory,$D460)&gt;0,"ok","✗ "&amp;$D460&amp;" is not under "&amp;$C460))</f>
        <v/>
      </c>
      <c r="U460" s="8">
        <f>IF($F460="","",IF(COUNTIFS(PM_Brand,$E460,PM_Model,$F460)&gt;1,"⚠ duplicate product",IF(AND($B460&lt;&gt;"",COUNTIF(PM_Short,$B460)&gt;1),"⚠ short code reused","")))</f>
        <v/>
      </c>
      <c r="V460" s="5" t="n"/>
    </row>
    <row r="461">
      <c r="A461" s="8">
        <f>IF($F461="","","PRD-"&amp;TEXT(ROW()-3,"0000"))</f>
        <v/>
      </c>
      <c r="B461" s="5" t="n"/>
      <c r="C461" s="5" t="n"/>
      <c r="D461" s="5" t="n"/>
      <c r="E461" s="5" t="n"/>
      <c r="F461" s="5" t="n"/>
      <c r="G461" s="5" t="n"/>
      <c r="H461" s="5" t="n"/>
      <c r="I461" s="5" t="n"/>
      <c r="J461" s="5" t="n"/>
      <c r="K461" s="5" t="n"/>
      <c r="L461" s="5" t="n"/>
      <c r="M461" s="9" t="n"/>
      <c r="N461" s="9" t="n"/>
      <c r="O461" s="9" t="n"/>
      <c r="P461" s="9" t="n"/>
      <c r="Q461" s="9" t="n"/>
      <c r="R461" s="8">
        <f>IF($A461="","",COUNTIF(INV_Product,$A461))</f>
        <v/>
      </c>
      <c r="S461" s="8">
        <f>IF($A461="","",COUNTIFS(INV_Product,$A461,INV_Status,"Available"))</f>
        <v/>
      </c>
      <c r="T461" s="8">
        <f>IF($D461="","",IF(COUNTIFS(DD_PairCategory,$C461,DD_Subcategory,$D461)&gt;0,"ok","✗ "&amp;$D461&amp;" is not under "&amp;$C461))</f>
        <v/>
      </c>
      <c r="U461" s="8">
        <f>IF($F461="","",IF(COUNTIFS(PM_Brand,$E461,PM_Model,$F461)&gt;1,"⚠ duplicate product",IF(AND($B461&lt;&gt;"",COUNTIF(PM_Short,$B461)&gt;1),"⚠ short code reused","")))</f>
        <v/>
      </c>
      <c r="V461" s="5" t="n"/>
    </row>
    <row r="462">
      <c r="A462" s="8">
        <f>IF($F462="","","PRD-"&amp;TEXT(ROW()-3,"0000"))</f>
        <v/>
      </c>
      <c r="B462" s="5" t="n"/>
      <c r="C462" s="5" t="n"/>
      <c r="D462" s="5" t="n"/>
      <c r="E462" s="5" t="n"/>
      <c r="F462" s="5" t="n"/>
      <c r="G462" s="5" t="n"/>
      <c r="H462" s="5" t="n"/>
      <c r="I462" s="5" t="n"/>
      <c r="J462" s="5" t="n"/>
      <c r="K462" s="5" t="n"/>
      <c r="L462" s="5" t="n"/>
      <c r="M462" s="9" t="n"/>
      <c r="N462" s="9" t="n"/>
      <c r="O462" s="9" t="n"/>
      <c r="P462" s="9" t="n"/>
      <c r="Q462" s="9" t="n"/>
      <c r="R462" s="8">
        <f>IF($A462="","",COUNTIF(INV_Product,$A462))</f>
        <v/>
      </c>
      <c r="S462" s="8">
        <f>IF($A462="","",COUNTIFS(INV_Product,$A462,INV_Status,"Available"))</f>
        <v/>
      </c>
      <c r="T462" s="8">
        <f>IF($D462="","",IF(COUNTIFS(DD_PairCategory,$C462,DD_Subcategory,$D462)&gt;0,"ok","✗ "&amp;$D462&amp;" is not under "&amp;$C462))</f>
        <v/>
      </c>
      <c r="U462" s="8">
        <f>IF($F462="","",IF(COUNTIFS(PM_Brand,$E462,PM_Model,$F462)&gt;1,"⚠ duplicate product",IF(AND($B462&lt;&gt;"",COUNTIF(PM_Short,$B462)&gt;1),"⚠ short code reused","")))</f>
        <v/>
      </c>
      <c r="V462" s="5" t="n"/>
    </row>
    <row r="463">
      <c r="A463" s="8">
        <f>IF($F463="","","PRD-"&amp;TEXT(ROW()-3,"0000"))</f>
        <v/>
      </c>
      <c r="B463" s="5" t="n"/>
      <c r="C463" s="5" t="n"/>
      <c r="D463" s="5" t="n"/>
      <c r="E463" s="5" t="n"/>
      <c r="F463" s="5" t="n"/>
      <c r="G463" s="5" t="n"/>
      <c r="H463" s="5" t="n"/>
      <c r="I463" s="5" t="n"/>
      <c r="J463" s="5" t="n"/>
      <c r="K463" s="5" t="n"/>
      <c r="L463" s="5" t="n"/>
      <c r="M463" s="9" t="n"/>
      <c r="N463" s="9" t="n"/>
      <c r="O463" s="9" t="n"/>
      <c r="P463" s="9" t="n"/>
      <c r="Q463" s="9" t="n"/>
      <c r="R463" s="8">
        <f>IF($A463="","",COUNTIF(INV_Product,$A463))</f>
        <v/>
      </c>
      <c r="S463" s="8">
        <f>IF($A463="","",COUNTIFS(INV_Product,$A463,INV_Status,"Available"))</f>
        <v/>
      </c>
      <c r="T463" s="8">
        <f>IF($D463="","",IF(COUNTIFS(DD_PairCategory,$C463,DD_Subcategory,$D463)&gt;0,"ok","✗ "&amp;$D463&amp;" is not under "&amp;$C463))</f>
        <v/>
      </c>
      <c r="U463" s="8">
        <f>IF($F463="","",IF(COUNTIFS(PM_Brand,$E463,PM_Model,$F463)&gt;1,"⚠ duplicate product",IF(AND($B463&lt;&gt;"",COUNTIF(PM_Short,$B463)&gt;1),"⚠ short code reused","")))</f>
        <v/>
      </c>
      <c r="V463" s="5" t="n"/>
    </row>
    <row r="464">
      <c r="A464" s="8">
        <f>IF($F464="","","PRD-"&amp;TEXT(ROW()-3,"0000"))</f>
        <v/>
      </c>
      <c r="B464" s="5" t="n"/>
      <c r="C464" s="5" t="n"/>
      <c r="D464" s="5" t="n"/>
      <c r="E464" s="5" t="n"/>
      <c r="F464" s="5" t="n"/>
      <c r="G464" s="5" t="n"/>
      <c r="H464" s="5" t="n"/>
      <c r="I464" s="5" t="n"/>
      <c r="J464" s="5" t="n"/>
      <c r="K464" s="5" t="n"/>
      <c r="L464" s="5" t="n"/>
      <c r="M464" s="9" t="n"/>
      <c r="N464" s="9" t="n"/>
      <c r="O464" s="9" t="n"/>
      <c r="P464" s="9" t="n"/>
      <c r="Q464" s="9" t="n"/>
      <c r="R464" s="8">
        <f>IF($A464="","",COUNTIF(INV_Product,$A464))</f>
        <v/>
      </c>
      <c r="S464" s="8">
        <f>IF($A464="","",COUNTIFS(INV_Product,$A464,INV_Status,"Available"))</f>
        <v/>
      </c>
      <c r="T464" s="8">
        <f>IF($D464="","",IF(COUNTIFS(DD_PairCategory,$C464,DD_Subcategory,$D464)&gt;0,"ok","✗ "&amp;$D464&amp;" is not under "&amp;$C464))</f>
        <v/>
      </c>
      <c r="U464" s="8">
        <f>IF($F464="","",IF(COUNTIFS(PM_Brand,$E464,PM_Model,$F464)&gt;1,"⚠ duplicate product",IF(AND($B464&lt;&gt;"",COUNTIF(PM_Short,$B464)&gt;1),"⚠ short code reused","")))</f>
        <v/>
      </c>
      <c r="V464" s="5" t="n"/>
    </row>
    <row r="465">
      <c r="A465" s="8">
        <f>IF($F465="","","PRD-"&amp;TEXT(ROW()-3,"0000"))</f>
        <v/>
      </c>
      <c r="B465" s="5" t="n"/>
      <c r="C465" s="5" t="n"/>
      <c r="D465" s="5" t="n"/>
      <c r="E465" s="5" t="n"/>
      <c r="F465" s="5" t="n"/>
      <c r="G465" s="5" t="n"/>
      <c r="H465" s="5" t="n"/>
      <c r="I465" s="5" t="n"/>
      <c r="J465" s="5" t="n"/>
      <c r="K465" s="5" t="n"/>
      <c r="L465" s="5" t="n"/>
      <c r="M465" s="9" t="n"/>
      <c r="N465" s="9" t="n"/>
      <c r="O465" s="9" t="n"/>
      <c r="P465" s="9" t="n"/>
      <c r="Q465" s="9" t="n"/>
      <c r="R465" s="8">
        <f>IF($A465="","",COUNTIF(INV_Product,$A465))</f>
        <v/>
      </c>
      <c r="S465" s="8">
        <f>IF($A465="","",COUNTIFS(INV_Product,$A465,INV_Status,"Available"))</f>
        <v/>
      </c>
      <c r="T465" s="8">
        <f>IF($D465="","",IF(COUNTIFS(DD_PairCategory,$C465,DD_Subcategory,$D465)&gt;0,"ok","✗ "&amp;$D465&amp;" is not under "&amp;$C465))</f>
        <v/>
      </c>
      <c r="U465" s="8">
        <f>IF($F465="","",IF(COUNTIFS(PM_Brand,$E465,PM_Model,$F465)&gt;1,"⚠ duplicate product",IF(AND($B465&lt;&gt;"",COUNTIF(PM_Short,$B465)&gt;1),"⚠ short code reused","")))</f>
        <v/>
      </c>
      <c r="V465" s="5" t="n"/>
    </row>
    <row r="466">
      <c r="A466" s="8">
        <f>IF($F466="","","PRD-"&amp;TEXT(ROW()-3,"0000"))</f>
        <v/>
      </c>
      <c r="B466" s="5" t="n"/>
      <c r="C466" s="5" t="n"/>
      <c r="D466" s="5" t="n"/>
      <c r="E466" s="5" t="n"/>
      <c r="F466" s="5" t="n"/>
      <c r="G466" s="5" t="n"/>
      <c r="H466" s="5" t="n"/>
      <c r="I466" s="5" t="n"/>
      <c r="J466" s="5" t="n"/>
      <c r="K466" s="5" t="n"/>
      <c r="L466" s="5" t="n"/>
      <c r="M466" s="9" t="n"/>
      <c r="N466" s="9" t="n"/>
      <c r="O466" s="9" t="n"/>
      <c r="P466" s="9" t="n"/>
      <c r="Q466" s="9" t="n"/>
      <c r="R466" s="8">
        <f>IF($A466="","",COUNTIF(INV_Product,$A466))</f>
        <v/>
      </c>
      <c r="S466" s="8">
        <f>IF($A466="","",COUNTIFS(INV_Product,$A466,INV_Status,"Available"))</f>
        <v/>
      </c>
      <c r="T466" s="8">
        <f>IF($D466="","",IF(COUNTIFS(DD_PairCategory,$C466,DD_Subcategory,$D466)&gt;0,"ok","✗ "&amp;$D466&amp;" is not under "&amp;$C466))</f>
        <v/>
      </c>
      <c r="U466" s="8">
        <f>IF($F466="","",IF(COUNTIFS(PM_Brand,$E466,PM_Model,$F466)&gt;1,"⚠ duplicate product",IF(AND($B466&lt;&gt;"",COUNTIF(PM_Short,$B466)&gt;1),"⚠ short code reused","")))</f>
        <v/>
      </c>
      <c r="V466" s="5" t="n"/>
    </row>
    <row r="467">
      <c r="A467" s="8">
        <f>IF($F467="","","PRD-"&amp;TEXT(ROW()-3,"0000"))</f>
        <v/>
      </c>
      <c r="B467" s="5" t="n"/>
      <c r="C467" s="5" t="n"/>
      <c r="D467" s="5" t="n"/>
      <c r="E467" s="5" t="n"/>
      <c r="F467" s="5" t="n"/>
      <c r="G467" s="5" t="n"/>
      <c r="H467" s="5" t="n"/>
      <c r="I467" s="5" t="n"/>
      <c r="J467" s="5" t="n"/>
      <c r="K467" s="5" t="n"/>
      <c r="L467" s="5" t="n"/>
      <c r="M467" s="9" t="n"/>
      <c r="N467" s="9" t="n"/>
      <c r="O467" s="9" t="n"/>
      <c r="P467" s="9" t="n"/>
      <c r="Q467" s="9" t="n"/>
      <c r="R467" s="8">
        <f>IF($A467="","",COUNTIF(INV_Product,$A467))</f>
        <v/>
      </c>
      <c r="S467" s="8">
        <f>IF($A467="","",COUNTIFS(INV_Product,$A467,INV_Status,"Available"))</f>
        <v/>
      </c>
      <c r="T467" s="8">
        <f>IF($D467="","",IF(COUNTIFS(DD_PairCategory,$C467,DD_Subcategory,$D467)&gt;0,"ok","✗ "&amp;$D467&amp;" is not under "&amp;$C467))</f>
        <v/>
      </c>
      <c r="U467" s="8">
        <f>IF($F467="","",IF(COUNTIFS(PM_Brand,$E467,PM_Model,$F467)&gt;1,"⚠ duplicate product",IF(AND($B467&lt;&gt;"",COUNTIF(PM_Short,$B467)&gt;1),"⚠ short code reused","")))</f>
        <v/>
      </c>
      <c r="V467" s="5" t="n"/>
    </row>
    <row r="468">
      <c r="A468" s="8">
        <f>IF($F468="","","PRD-"&amp;TEXT(ROW()-3,"0000"))</f>
        <v/>
      </c>
      <c r="B468" s="5" t="n"/>
      <c r="C468" s="5" t="n"/>
      <c r="D468" s="5" t="n"/>
      <c r="E468" s="5" t="n"/>
      <c r="F468" s="5" t="n"/>
      <c r="G468" s="5" t="n"/>
      <c r="H468" s="5" t="n"/>
      <c r="I468" s="5" t="n"/>
      <c r="J468" s="5" t="n"/>
      <c r="K468" s="5" t="n"/>
      <c r="L468" s="5" t="n"/>
      <c r="M468" s="9" t="n"/>
      <c r="N468" s="9" t="n"/>
      <c r="O468" s="9" t="n"/>
      <c r="P468" s="9" t="n"/>
      <c r="Q468" s="9" t="n"/>
      <c r="R468" s="8">
        <f>IF($A468="","",COUNTIF(INV_Product,$A468))</f>
        <v/>
      </c>
      <c r="S468" s="8">
        <f>IF($A468="","",COUNTIFS(INV_Product,$A468,INV_Status,"Available"))</f>
        <v/>
      </c>
      <c r="T468" s="8">
        <f>IF($D468="","",IF(COUNTIFS(DD_PairCategory,$C468,DD_Subcategory,$D468)&gt;0,"ok","✗ "&amp;$D468&amp;" is not under "&amp;$C468))</f>
        <v/>
      </c>
      <c r="U468" s="8">
        <f>IF($F468="","",IF(COUNTIFS(PM_Brand,$E468,PM_Model,$F468)&gt;1,"⚠ duplicate product",IF(AND($B468&lt;&gt;"",COUNTIF(PM_Short,$B468)&gt;1),"⚠ short code reused","")))</f>
        <v/>
      </c>
      <c r="V468" s="5" t="n"/>
    </row>
    <row r="469">
      <c r="A469" s="8">
        <f>IF($F469="","","PRD-"&amp;TEXT(ROW()-3,"0000"))</f>
        <v/>
      </c>
      <c r="B469" s="5" t="n"/>
      <c r="C469" s="5" t="n"/>
      <c r="D469" s="5" t="n"/>
      <c r="E469" s="5" t="n"/>
      <c r="F469" s="5" t="n"/>
      <c r="G469" s="5" t="n"/>
      <c r="H469" s="5" t="n"/>
      <c r="I469" s="5" t="n"/>
      <c r="J469" s="5" t="n"/>
      <c r="K469" s="5" t="n"/>
      <c r="L469" s="5" t="n"/>
      <c r="M469" s="9" t="n"/>
      <c r="N469" s="9" t="n"/>
      <c r="O469" s="9" t="n"/>
      <c r="P469" s="9" t="n"/>
      <c r="Q469" s="9" t="n"/>
      <c r="R469" s="8">
        <f>IF($A469="","",COUNTIF(INV_Product,$A469))</f>
        <v/>
      </c>
      <c r="S469" s="8">
        <f>IF($A469="","",COUNTIFS(INV_Product,$A469,INV_Status,"Available"))</f>
        <v/>
      </c>
      <c r="T469" s="8">
        <f>IF($D469="","",IF(COUNTIFS(DD_PairCategory,$C469,DD_Subcategory,$D469)&gt;0,"ok","✗ "&amp;$D469&amp;" is not under "&amp;$C469))</f>
        <v/>
      </c>
      <c r="U469" s="8">
        <f>IF($F469="","",IF(COUNTIFS(PM_Brand,$E469,PM_Model,$F469)&gt;1,"⚠ duplicate product",IF(AND($B469&lt;&gt;"",COUNTIF(PM_Short,$B469)&gt;1),"⚠ short code reused","")))</f>
        <v/>
      </c>
      <c r="V469" s="5" t="n"/>
    </row>
    <row r="470">
      <c r="A470" s="8">
        <f>IF($F470="","","PRD-"&amp;TEXT(ROW()-3,"0000"))</f>
        <v/>
      </c>
      <c r="B470" s="5" t="n"/>
      <c r="C470" s="5" t="n"/>
      <c r="D470" s="5" t="n"/>
      <c r="E470" s="5" t="n"/>
      <c r="F470" s="5" t="n"/>
      <c r="G470" s="5" t="n"/>
      <c r="H470" s="5" t="n"/>
      <c r="I470" s="5" t="n"/>
      <c r="J470" s="5" t="n"/>
      <c r="K470" s="5" t="n"/>
      <c r="L470" s="5" t="n"/>
      <c r="M470" s="9" t="n"/>
      <c r="N470" s="9" t="n"/>
      <c r="O470" s="9" t="n"/>
      <c r="P470" s="9" t="n"/>
      <c r="Q470" s="9" t="n"/>
      <c r="R470" s="8">
        <f>IF($A470="","",COUNTIF(INV_Product,$A470))</f>
        <v/>
      </c>
      <c r="S470" s="8">
        <f>IF($A470="","",COUNTIFS(INV_Product,$A470,INV_Status,"Available"))</f>
        <v/>
      </c>
      <c r="T470" s="8">
        <f>IF($D470="","",IF(COUNTIFS(DD_PairCategory,$C470,DD_Subcategory,$D470)&gt;0,"ok","✗ "&amp;$D470&amp;" is not under "&amp;$C470))</f>
        <v/>
      </c>
      <c r="U470" s="8">
        <f>IF($F470="","",IF(COUNTIFS(PM_Brand,$E470,PM_Model,$F470)&gt;1,"⚠ duplicate product",IF(AND($B470&lt;&gt;"",COUNTIF(PM_Short,$B470)&gt;1),"⚠ short code reused","")))</f>
        <v/>
      </c>
      <c r="V470" s="5" t="n"/>
    </row>
    <row r="471">
      <c r="A471" s="8">
        <f>IF($F471="","","PRD-"&amp;TEXT(ROW()-3,"0000"))</f>
        <v/>
      </c>
      <c r="B471" s="5" t="n"/>
      <c r="C471" s="5" t="n"/>
      <c r="D471" s="5" t="n"/>
      <c r="E471" s="5" t="n"/>
      <c r="F471" s="5" t="n"/>
      <c r="G471" s="5" t="n"/>
      <c r="H471" s="5" t="n"/>
      <c r="I471" s="5" t="n"/>
      <c r="J471" s="5" t="n"/>
      <c r="K471" s="5" t="n"/>
      <c r="L471" s="5" t="n"/>
      <c r="M471" s="9" t="n"/>
      <c r="N471" s="9" t="n"/>
      <c r="O471" s="9" t="n"/>
      <c r="P471" s="9" t="n"/>
      <c r="Q471" s="9" t="n"/>
      <c r="R471" s="8">
        <f>IF($A471="","",COUNTIF(INV_Product,$A471))</f>
        <v/>
      </c>
      <c r="S471" s="8">
        <f>IF($A471="","",COUNTIFS(INV_Product,$A471,INV_Status,"Available"))</f>
        <v/>
      </c>
      <c r="T471" s="8">
        <f>IF($D471="","",IF(COUNTIFS(DD_PairCategory,$C471,DD_Subcategory,$D471)&gt;0,"ok","✗ "&amp;$D471&amp;" is not under "&amp;$C471))</f>
        <v/>
      </c>
      <c r="U471" s="8">
        <f>IF($F471="","",IF(COUNTIFS(PM_Brand,$E471,PM_Model,$F471)&gt;1,"⚠ duplicate product",IF(AND($B471&lt;&gt;"",COUNTIF(PM_Short,$B471)&gt;1),"⚠ short code reused","")))</f>
        <v/>
      </c>
      <c r="V471" s="5" t="n"/>
    </row>
    <row r="472">
      <c r="A472" s="8">
        <f>IF($F472="","","PRD-"&amp;TEXT(ROW()-3,"0000"))</f>
        <v/>
      </c>
      <c r="B472" s="5" t="n"/>
      <c r="C472" s="5" t="n"/>
      <c r="D472" s="5" t="n"/>
      <c r="E472" s="5" t="n"/>
      <c r="F472" s="5" t="n"/>
      <c r="G472" s="5" t="n"/>
      <c r="H472" s="5" t="n"/>
      <c r="I472" s="5" t="n"/>
      <c r="J472" s="5" t="n"/>
      <c r="K472" s="5" t="n"/>
      <c r="L472" s="5" t="n"/>
      <c r="M472" s="9" t="n"/>
      <c r="N472" s="9" t="n"/>
      <c r="O472" s="9" t="n"/>
      <c r="P472" s="9" t="n"/>
      <c r="Q472" s="9" t="n"/>
      <c r="R472" s="8">
        <f>IF($A472="","",COUNTIF(INV_Product,$A472))</f>
        <v/>
      </c>
      <c r="S472" s="8">
        <f>IF($A472="","",COUNTIFS(INV_Product,$A472,INV_Status,"Available"))</f>
        <v/>
      </c>
      <c r="T472" s="8">
        <f>IF($D472="","",IF(COUNTIFS(DD_PairCategory,$C472,DD_Subcategory,$D472)&gt;0,"ok","✗ "&amp;$D472&amp;" is not under "&amp;$C472))</f>
        <v/>
      </c>
      <c r="U472" s="8">
        <f>IF($F472="","",IF(COUNTIFS(PM_Brand,$E472,PM_Model,$F472)&gt;1,"⚠ duplicate product",IF(AND($B472&lt;&gt;"",COUNTIF(PM_Short,$B472)&gt;1),"⚠ short code reused","")))</f>
        <v/>
      </c>
      <c r="V472" s="5" t="n"/>
    </row>
    <row r="473">
      <c r="A473" s="8">
        <f>IF($F473="","","PRD-"&amp;TEXT(ROW()-3,"0000"))</f>
        <v/>
      </c>
      <c r="B473" s="5" t="n"/>
      <c r="C473" s="5" t="n"/>
      <c r="D473" s="5" t="n"/>
      <c r="E473" s="5" t="n"/>
      <c r="F473" s="5" t="n"/>
      <c r="G473" s="5" t="n"/>
      <c r="H473" s="5" t="n"/>
      <c r="I473" s="5" t="n"/>
      <c r="J473" s="5" t="n"/>
      <c r="K473" s="5" t="n"/>
      <c r="L473" s="5" t="n"/>
      <c r="M473" s="9" t="n"/>
      <c r="N473" s="9" t="n"/>
      <c r="O473" s="9" t="n"/>
      <c r="P473" s="9" t="n"/>
      <c r="Q473" s="9" t="n"/>
      <c r="R473" s="8">
        <f>IF($A473="","",COUNTIF(INV_Product,$A473))</f>
        <v/>
      </c>
      <c r="S473" s="8">
        <f>IF($A473="","",COUNTIFS(INV_Product,$A473,INV_Status,"Available"))</f>
        <v/>
      </c>
      <c r="T473" s="8">
        <f>IF($D473="","",IF(COUNTIFS(DD_PairCategory,$C473,DD_Subcategory,$D473)&gt;0,"ok","✗ "&amp;$D473&amp;" is not under "&amp;$C473))</f>
        <v/>
      </c>
      <c r="U473" s="8">
        <f>IF($F473="","",IF(COUNTIFS(PM_Brand,$E473,PM_Model,$F473)&gt;1,"⚠ duplicate product",IF(AND($B473&lt;&gt;"",COUNTIF(PM_Short,$B473)&gt;1),"⚠ short code reused","")))</f>
        <v/>
      </c>
      <c r="V473" s="5" t="n"/>
    </row>
    <row r="474">
      <c r="A474" s="8">
        <f>IF($F474="","","PRD-"&amp;TEXT(ROW()-3,"0000"))</f>
        <v/>
      </c>
      <c r="B474" s="5" t="n"/>
      <c r="C474" s="5" t="n"/>
      <c r="D474" s="5" t="n"/>
      <c r="E474" s="5" t="n"/>
      <c r="F474" s="5" t="n"/>
      <c r="G474" s="5" t="n"/>
      <c r="H474" s="5" t="n"/>
      <c r="I474" s="5" t="n"/>
      <c r="J474" s="5" t="n"/>
      <c r="K474" s="5" t="n"/>
      <c r="L474" s="5" t="n"/>
      <c r="M474" s="9" t="n"/>
      <c r="N474" s="9" t="n"/>
      <c r="O474" s="9" t="n"/>
      <c r="P474" s="9" t="n"/>
      <c r="Q474" s="9" t="n"/>
      <c r="R474" s="8">
        <f>IF($A474="","",COUNTIF(INV_Product,$A474))</f>
        <v/>
      </c>
      <c r="S474" s="8">
        <f>IF($A474="","",COUNTIFS(INV_Product,$A474,INV_Status,"Available"))</f>
        <v/>
      </c>
      <c r="T474" s="8">
        <f>IF($D474="","",IF(COUNTIFS(DD_PairCategory,$C474,DD_Subcategory,$D474)&gt;0,"ok","✗ "&amp;$D474&amp;" is not under "&amp;$C474))</f>
        <v/>
      </c>
      <c r="U474" s="8">
        <f>IF($F474="","",IF(COUNTIFS(PM_Brand,$E474,PM_Model,$F474)&gt;1,"⚠ duplicate product",IF(AND($B474&lt;&gt;"",COUNTIF(PM_Short,$B474)&gt;1),"⚠ short code reused","")))</f>
        <v/>
      </c>
      <c r="V474" s="5" t="n"/>
    </row>
    <row r="475">
      <c r="A475" s="8">
        <f>IF($F475="","","PRD-"&amp;TEXT(ROW()-3,"0000"))</f>
        <v/>
      </c>
      <c r="B475" s="5" t="n"/>
      <c r="C475" s="5" t="n"/>
      <c r="D475" s="5" t="n"/>
      <c r="E475" s="5" t="n"/>
      <c r="F475" s="5" t="n"/>
      <c r="G475" s="5" t="n"/>
      <c r="H475" s="5" t="n"/>
      <c r="I475" s="5" t="n"/>
      <c r="J475" s="5" t="n"/>
      <c r="K475" s="5" t="n"/>
      <c r="L475" s="5" t="n"/>
      <c r="M475" s="9" t="n"/>
      <c r="N475" s="9" t="n"/>
      <c r="O475" s="9" t="n"/>
      <c r="P475" s="9" t="n"/>
      <c r="Q475" s="9" t="n"/>
      <c r="R475" s="8">
        <f>IF($A475="","",COUNTIF(INV_Product,$A475))</f>
        <v/>
      </c>
      <c r="S475" s="8">
        <f>IF($A475="","",COUNTIFS(INV_Product,$A475,INV_Status,"Available"))</f>
        <v/>
      </c>
      <c r="T475" s="8">
        <f>IF($D475="","",IF(COUNTIFS(DD_PairCategory,$C475,DD_Subcategory,$D475)&gt;0,"ok","✗ "&amp;$D475&amp;" is not under "&amp;$C475))</f>
        <v/>
      </c>
      <c r="U475" s="8">
        <f>IF($F475="","",IF(COUNTIFS(PM_Brand,$E475,PM_Model,$F475)&gt;1,"⚠ duplicate product",IF(AND($B475&lt;&gt;"",COUNTIF(PM_Short,$B475)&gt;1),"⚠ short code reused","")))</f>
        <v/>
      </c>
      <c r="V475" s="5" t="n"/>
    </row>
    <row r="476">
      <c r="A476" s="8">
        <f>IF($F476="","","PRD-"&amp;TEXT(ROW()-3,"0000"))</f>
        <v/>
      </c>
      <c r="B476" s="5" t="n"/>
      <c r="C476" s="5" t="n"/>
      <c r="D476" s="5" t="n"/>
      <c r="E476" s="5" t="n"/>
      <c r="F476" s="5" t="n"/>
      <c r="G476" s="5" t="n"/>
      <c r="H476" s="5" t="n"/>
      <c r="I476" s="5" t="n"/>
      <c r="J476" s="5" t="n"/>
      <c r="K476" s="5" t="n"/>
      <c r="L476" s="5" t="n"/>
      <c r="M476" s="9" t="n"/>
      <c r="N476" s="9" t="n"/>
      <c r="O476" s="9" t="n"/>
      <c r="P476" s="9" t="n"/>
      <c r="Q476" s="9" t="n"/>
      <c r="R476" s="8">
        <f>IF($A476="","",COUNTIF(INV_Product,$A476))</f>
        <v/>
      </c>
      <c r="S476" s="8">
        <f>IF($A476="","",COUNTIFS(INV_Product,$A476,INV_Status,"Available"))</f>
        <v/>
      </c>
      <c r="T476" s="8">
        <f>IF($D476="","",IF(COUNTIFS(DD_PairCategory,$C476,DD_Subcategory,$D476)&gt;0,"ok","✗ "&amp;$D476&amp;" is not under "&amp;$C476))</f>
        <v/>
      </c>
      <c r="U476" s="8">
        <f>IF($F476="","",IF(COUNTIFS(PM_Brand,$E476,PM_Model,$F476)&gt;1,"⚠ duplicate product",IF(AND($B476&lt;&gt;"",COUNTIF(PM_Short,$B476)&gt;1),"⚠ short code reused","")))</f>
        <v/>
      </c>
      <c r="V476" s="5" t="n"/>
    </row>
    <row r="477">
      <c r="A477" s="8">
        <f>IF($F477="","","PRD-"&amp;TEXT(ROW()-3,"0000"))</f>
        <v/>
      </c>
      <c r="B477" s="5" t="n"/>
      <c r="C477" s="5" t="n"/>
      <c r="D477" s="5" t="n"/>
      <c r="E477" s="5" t="n"/>
      <c r="F477" s="5" t="n"/>
      <c r="G477" s="5" t="n"/>
      <c r="H477" s="5" t="n"/>
      <c r="I477" s="5" t="n"/>
      <c r="J477" s="5" t="n"/>
      <c r="K477" s="5" t="n"/>
      <c r="L477" s="5" t="n"/>
      <c r="M477" s="9" t="n"/>
      <c r="N477" s="9" t="n"/>
      <c r="O477" s="9" t="n"/>
      <c r="P477" s="9" t="n"/>
      <c r="Q477" s="9" t="n"/>
      <c r="R477" s="8">
        <f>IF($A477="","",COUNTIF(INV_Product,$A477))</f>
        <v/>
      </c>
      <c r="S477" s="8">
        <f>IF($A477="","",COUNTIFS(INV_Product,$A477,INV_Status,"Available"))</f>
        <v/>
      </c>
      <c r="T477" s="8">
        <f>IF($D477="","",IF(COUNTIFS(DD_PairCategory,$C477,DD_Subcategory,$D477)&gt;0,"ok","✗ "&amp;$D477&amp;" is not under "&amp;$C477))</f>
        <v/>
      </c>
      <c r="U477" s="8">
        <f>IF($F477="","",IF(COUNTIFS(PM_Brand,$E477,PM_Model,$F477)&gt;1,"⚠ duplicate product",IF(AND($B477&lt;&gt;"",COUNTIF(PM_Short,$B477)&gt;1),"⚠ short code reused","")))</f>
        <v/>
      </c>
      <c r="V477" s="5" t="n"/>
    </row>
    <row r="478">
      <c r="A478" s="8">
        <f>IF($F478="","","PRD-"&amp;TEXT(ROW()-3,"0000"))</f>
        <v/>
      </c>
      <c r="B478" s="5" t="n"/>
      <c r="C478" s="5" t="n"/>
      <c r="D478" s="5" t="n"/>
      <c r="E478" s="5" t="n"/>
      <c r="F478" s="5" t="n"/>
      <c r="G478" s="5" t="n"/>
      <c r="H478" s="5" t="n"/>
      <c r="I478" s="5" t="n"/>
      <c r="J478" s="5" t="n"/>
      <c r="K478" s="5" t="n"/>
      <c r="L478" s="5" t="n"/>
      <c r="M478" s="9" t="n"/>
      <c r="N478" s="9" t="n"/>
      <c r="O478" s="9" t="n"/>
      <c r="P478" s="9" t="n"/>
      <c r="Q478" s="9" t="n"/>
      <c r="R478" s="8">
        <f>IF($A478="","",COUNTIF(INV_Product,$A478))</f>
        <v/>
      </c>
      <c r="S478" s="8">
        <f>IF($A478="","",COUNTIFS(INV_Product,$A478,INV_Status,"Available"))</f>
        <v/>
      </c>
      <c r="T478" s="8">
        <f>IF($D478="","",IF(COUNTIFS(DD_PairCategory,$C478,DD_Subcategory,$D478)&gt;0,"ok","✗ "&amp;$D478&amp;" is not under "&amp;$C478))</f>
        <v/>
      </c>
      <c r="U478" s="8">
        <f>IF($F478="","",IF(COUNTIFS(PM_Brand,$E478,PM_Model,$F478)&gt;1,"⚠ duplicate product",IF(AND($B478&lt;&gt;"",COUNTIF(PM_Short,$B478)&gt;1),"⚠ short code reused","")))</f>
        <v/>
      </c>
      <c r="V478" s="5" t="n"/>
    </row>
    <row r="479">
      <c r="A479" s="8">
        <f>IF($F479="","","PRD-"&amp;TEXT(ROW()-3,"0000"))</f>
        <v/>
      </c>
      <c r="B479" s="5" t="n"/>
      <c r="C479" s="5" t="n"/>
      <c r="D479" s="5" t="n"/>
      <c r="E479" s="5" t="n"/>
      <c r="F479" s="5" t="n"/>
      <c r="G479" s="5" t="n"/>
      <c r="H479" s="5" t="n"/>
      <c r="I479" s="5" t="n"/>
      <c r="J479" s="5" t="n"/>
      <c r="K479" s="5" t="n"/>
      <c r="L479" s="5" t="n"/>
      <c r="M479" s="9" t="n"/>
      <c r="N479" s="9" t="n"/>
      <c r="O479" s="9" t="n"/>
      <c r="P479" s="9" t="n"/>
      <c r="Q479" s="9" t="n"/>
      <c r="R479" s="8">
        <f>IF($A479="","",COUNTIF(INV_Product,$A479))</f>
        <v/>
      </c>
      <c r="S479" s="8">
        <f>IF($A479="","",COUNTIFS(INV_Product,$A479,INV_Status,"Available"))</f>
        <v/>
      </c>
      <c r="T479" s="8">
        <f>IF($D479="","",IF(COUNTIFS(DD_PairCategory,$C479,DD_Subcategory,$D479)&gt;0,"ok","✗ "&amp;$D479&amp;" is not under "&amp;$C479))</f>
        <v/>
      </c>
      <c r="U479" s="8">
        <f>IF($F479="","",IF(COUNTIFS(PM_Brand,$E479,PM_Model,$F479)&gt;1,"⚠ duplicate product",IF(AND($B479&lt;&gt;"",COUNTIF(PM_Short,$B479)&gt;1),"⚠ short code reused","")))</f>
        <v/>
      </c>
      <c r="V479" s="5" t="n"/>
    </row>
    <row r="480">
      <c r="A480" s="8">
        <f>IF($F480="","","PRD-"&amp;TEXT(ROW()-3,"0000"))</f>
        <v/>
      </c>
      <c r="B480" s="5" t="n"/>
      <c r="C480" s="5" t="n"/>
      <c r="D480" s="5" t="n"/>
      <c r="E480" s="5" t="n"/>
      <c r="F480" s="5" t="n"/>
      <c r="G480" s="5" t="n"/>
      <c r="H480" s="5" t="n"/>
      <c r="I480" s="5" t="n"/>
      <c r="J480" s="5" t="n"/>
      <c r="K480" s="5" t="n"/>
      <c r="L480" s="5" t="n"/>
      <c r="M480" s="9" t="n"/>
      <c r="N480" s="9" t="n"/>
      <c r="O480" s="9" t="n"/>
      <c r="P480" s="9" t="n"/>
      <c r="Q480" s="9" t="n"/>
      <c r="R480" s="8">
        <f>IF($A480="","",COUNTIF(INV_Product,$A480))</f>
        <v/>
      </c>
      <c r="S480" s="8">
        <f>IF($A480="","",COUNTIFS(INV_Product,$A480,INV_Status,"Available"))</f>
        <v/>
      </c>
      <c r="T480" s="8">
        <f>IF($D480="","",IF(COUNTIFS(DD_PairCategory,$C480,DD_Subcategory,$D480)&gt;0,"ok","✗ "&amp;$D480&amp;" is not under "&amp;$C480))</f>
        <v/>
      </c>
      <c r="U480" s="8">
        <f>IF($F480="","",IF(COUNTIFS(PM_Brand,$E480,PM_Model,$F480)&gt;1,"⚠ duplicate product",IF(AND($B480&lt;&gt;"",COUNTIF(PM_Short,$B480)&gt;1),"⚠ short code reused","")))</f>
        <v/>
      </c>
      <c r="V480" s="5" t="n"/>
    </row>
    <row r="481">
      <c r="A481" s="8">
        <f>IF($F481="","","PRD-"&amp;TEXT(ROW()-3,"0000"))</f>
        <v/>
      </c>
      <c r="B481" s="5" t="n"/>
      <c r="C481" s="5" t="n"/>
      <c r="D481" s="5" t="n"/>
      <c r="E481" s="5" t="n"/>
      <c r="F481" s="5" t="n"/>
      <c r="G481" s="5" t="n"/>
      <c r="H481" s="5" t="n"/>
      <c r="I481" s="5" t="n"/>
      <c r="J481" s="5" t="n"/>
      <c r="K481" s="5" t="n"/>
      <c r="L481" s="5" t="n"/>
      <c r="M481" s="9" t="n"/>
      <c r="N481" s="9" t="n"/>
      <c r="O481" s="9" t="n"/>
      <c r="P481" s="9" t="n"/>
      <c r="Q481" s="9" t="n"/>
      <c r="R481" s="8">
        <f>IF($A481="","",COUNTIF(INV_Product,$A481))</f>
        <v/>
      </c>
      <c r="S481" s="8">
        <f>IF($A481="","",COUNTIFS(INV_Product,$A481,INV_Status,"Available"))</f>
        <v/>
      </c>
      <c r="T481" s="8">
        <f>IF($D481="","",IF(COUNTIFS(DD_PairCategory,$C481,DD_Subcategory,$D481)&gt;0,"ok","✗ "&amp;$D481&amp;" is not under "&amp;$C481))</f>
        <v/>
      </c>
      <c r="U481" s="8">
        <f>IF($F481="","",IF(COUNTIFS(PM_Brand,$E481,PM_Model,$F481)&gt;1,"⚠ duplicate product",IF(AND($B481&lt;&gt;"",COUNTIF(PM_Short,$B481)&gt;1),"⚠ short code reused","")))</f>
        <v/>
      </c>
      <c r="V481" s="5" t="n"/>
    </row>
    <row r="482">
      <c r="A482" s="8">
        <f>IF($F482="","","PRD-"&amp;TEXT(ROW()-3,"0000"))</f>
        <v/>
      </c>
      <c r="B482" s="5" t="n"/>
      <c r="C482" s="5" t="n"/>
      <c r="D482" s="5" t="n"/>
      <c r="E482" s="5" t="n"/>
      <c r="F482" s="5" t="n"/>
      <c r="G482" s="5" t="n"/>
      <c r="H482" s="5" t="n"/>
      <c r="I482" s="5" t="n"/>
      <c r="J482" s="5" t="n"/>
      <c r="K482" s="5" t="n"/>
      <c r="L482" s="5" t="n"/>
      <c r="M482" s="9" t="n"/>
      <c r="N482" s="9" t="n"/>
      <c r="O482" s="9" t="n"/>
      <c r="P482" s="9" t="n"/>
      <c r="Q482" s="9" t="n"/>
      <c r="R482" s="8">
        <f>IF($A482="","",COUNTIF(INV_Product,$A482))</f>
        <v/>
      </c>
      <c r="S482" s="8">
        <f>IF($A482="","",COUNTIFS(INV_Product,$A482,INV_Status,"Available"))</f>
        <v/>
      </c>
      <c r="T482" s="8">
        <f>IF($D482="","",IF(COUNTIFS(DD_PairCategory,$C482,DD_Subcategory,$D482)&gt;0,"ok","✗ "&amp;$D482&amp;" is not under "&amp;$C482))</f>
        <v/>
      </c>
      <c r="U482" s="8">
        <f>IF($F482="","",IF(COUNTIFS(PM_Brand,$E482,PM_Model,$F482)&gt;1,"⚠ duplicate product",IF(AND($B482&lt;&gt;"",COUNTIF(PM_Short,$B482)&gt;1),"⚠ short code reused","")))</f>
        <v/>
      </c>
      <c r="V482" s="5" t="n"/>
    </row>
    <row r="483">
      <c r="A483" s="8">
        <f>IF($F483="","","PRD-"&amp;TEXT(ROW()-3,"0000"))</f>
        <v/>
      </c>
      <c r="B483" s="5" t="n"/>
      <c r="C483" s="5" t="n"/>
      <c r="D483" s="5" t="n"/>
      <c r="E483" s="5" t="n"/>
      <c r="F483" s="5" t="n"/>
      <c r="G483" s="5" t="n"/>
      <c r="H483" s="5" t="n"/>
      <c r="I483" s="5" t="n"/>
      <c r="J483" s="5" t="n"/>
      <c r="K483" s="5" t="n"/>
      <c r="L483" s="5" t="n"/>
      <c r="M483" s="9" t="n"/>
      <c r="N483" s="9" t="n"/>
      <c r="O483" s="9" t="n"/>
      <c r="P483" s="9" t="n"/>
      <c r="Q483" s="9" t="n"/>
      <c r="R483" s="8">
        <f>IF($A483="","",COUNTIF(INV_Product,$A483))</f>
        <v/>
      </c>
      <c r="S483" s="8">
        <f>IF($A483="","",COUNTIFS(INV_Product,$A483,INV_Status,"Available"))</f>
        <v/>
      </c>
      <c r="T483" s="8">
        <f>IF($D483="","",IF(COUNTIFS(DD_PairCategory,$C483,DD_Subcategory,$D483)&gt;0,"ok","✗ "&amp;$D483&amp;" is not under "&amp;$C483))</f>
        <v/>
      </c>
      <c r="U483" s="8">
        <f>IF($F483="","",IF(COUNTIFS(PM_Brand,$E483,PM_Model,$F483)&gt;1,"⚠ duplicate product",IF(AND($B483&lt;&gt;"",COUNTIF(PM_Short,$B483)&gt;1),"⚠ short code reused","")))</f>
        <v/>
      </c>
      <c r="V483" s="5" t="n"/>
    </row>
    <row r="484">
      <c r="A484" s="8">
        <f>IF($F484="","","PRD-"&amp;TEXT(ROW()-3,"0000"))</f>
        <v/>
      </c>
      <c r="B484" s="5" t="n"/>
      <c r="C484" s="5" t="n"/>
      <c r="D484" s="5" t="n"/>
      <c r="E484" s="5" t="n"/>
      <c r="F484" s="5" t="n"/>
      <c r="G484" s="5" t="n"/>
      <c r="H484" s="5" t="n"/>
      <c r="I484" s="5" t="n"/>
      <c r="J484" s="5" t="n"/>
      <c r="K484" s="5" t="n"/>
      <c r="L484" s="5" t="n"/>
      <c r="M484" s="9" t="n"/>
      <c r="N484" s="9" t="n"/>
      <c r="O484" s="9" t="n"/>
      <c r="P484" s="9" t="n"/>
      <c r="Q484" s="9" t="n"/>
      <c r="R484" s="8">
        <f>IF($A484="","",COUNTIF(INV_Product,$A484))</f>
        <v/>
      </c>
      <c r="S484" s="8">
        <f>IF($A484="","",COUNTIFS(INV_Product,$A484,INV_Status,"Available"))</f>
        <v/>
      </c>
      <c r="T484" s="8">
        <f>IF($D484="","",IF(COUNTIFS(DD_PairCategory,$C484,DD_Subcategory,$D484)&gt;0,"ok","✗ "&amp;$D484&amp;" is not under "&amp;$C484))</f>
        <v/>
      </c>
      <c r="U484" s="8">
        <f>IF($F484="","",IF(COUNTIFS(PM_Brand,$E484,PM_Model,$F484)&gt;1,"⚠ duplicate product",IF(AND($B484&lt;&gt;"",COUNTIF(PM_Short,$B484)&gt;1),"⚠ short code reused","")))</f>
        <v/>
      </c>
      <c r="V484" s="5" t="n"/>
    </row>
    <row r="485">
      <c r="A485" s="8">
        <f>IF($F485="","","PRD-"&amp;TEXT(ROW()-3,"0000"))</f>
        <v/>
      </c>
      <c r="B485" s="5" t="n"/>
      <c r="C485" s="5" t="n"/>
      <c r="D485" s="5" t="n"/>
      <c r="E485" s="5" t="n"/>
      <c r="F485" s="5" t="n"/>
      <c r="G485" s="5" t="n"/>
      <c r="H485" s="5" t="n"/>
      <c r="I485" s="5" t="n"/>
      <c r="J485" s="5" t="n"/>
      <c r="K485" s="5" t="n"/>
      <c r="L485" s="5" t="n"/>
      <c r="M485" s="9" t="n"/>
      <c r="N485" s="9" t="n"/>
      <c r="O485" s="9" t="n"/>
      <c r="P485" s="9" t="n"/>
      <c r="Q485" s="9" t="n"/>
      <c r="R485" s="8">
        <f>IF($A485="","",COUNTIF(INV_Product,$A485))</f>
        <v/>
      </c>
      <c r="S485" s="8">
        <f>IF($A485="","",COUNTIFS(INV_Product,$A485,INV_Status,"Available"))</f>
        <v/>
      </c>
      <c r="T485" s="8">
        <f>IF($D485="","",IF(COUNTIFS(DD_PairCategory,$C485,DD_Subcategory,$D485)&gt;0,"ok","✗ "&amp;$D485&amp;" is not under "&amp;$C485))</f>
        <v/>
      </c>
      <c r="U485" s="8">
        <f>IF($F485="","",IF(COUNTIFS(PM_Brand,$E485,PM_Model,$F485)&gt;1,"⚠ duplicate product",IF(AND($B485&lt;&gt;"",COUNTIF(PM_Short,$B485)&gt;1),"⚠ short code reused","")))</f>
        <v/>
      </c>
      <c r="V485" s="5" t="n"/>
    </row>
    <row r="486">
      <c r="A486" s="8">
        <f>IF($F486="","","PRD-"&amp;TEXT(ROW()-3,"0000"))</f>
        <v/>
      </c>
      <c r="B486" s="5" t="n"/>
      <c r="C486" s="5" t="n"/>
      <c r="D486" s="5" t="n"/>
      <c r="E486" s="5" t="n"/>
      <c r="F486" s="5" t="n"/>
      <c r="G486" s="5" t="n"/>
      <c r="H486" s="5" t="n"/>
      <c r="I486" s="5" t="n"/>
      <c r="J486" s="5" t="n"/>
      <c r="K486" s="5" t="n"/>
      <c r="L486" s="5" t="n"/>
      <c r="M486" s="9" t="n"/>
      <c r="N486" s="9" t="n"/>
      <c r="O486" s="9" t="n"/>
      <c r="P486" s="9" t="n"/>
      <c r="Q486" s="9" t="n"/>
      <c r="R486" s="8">
        <f>IF($A486="","",COUNTIF(INV_Product,$A486))</f>
        <v/>
      </c>
      <c r="S486" s="8">
        <f>IF($A486="","",COUNTIFS(INV_Product,$A486,INV_Status,"Available"))</f>
        <v/>
      </c>
      <c r="T486" s="8">
        <f>IF($D486="","",IF(COUNTIFS(DD_PairCategory,$C486,DD_Subcategory,$D486)&gt;0,"ok","✗ "&amp;$D486&amp;" is not under "&amp;$C486))</f>
        <v/>
      </c>
      <c r="U486" s="8">
        <f>IF($F486="","",IF(COUNTIFS(PM_Brand,$E486,PM_Model,$F486)&gt;1,"⚠ duplicate product",IF(AND($B486&lt;&gt;"",COUNTIF(PM_Short,$B486)&gt;1),"⚠ short code reused","")))</f>
        <v/>
      </c>
      <c r="V486" s="5" t="n"/>
    </row>
    <row r="487">
      <c r="A487" s="8">
        <f>IF($F487="","","PRD-"&amp;TEXT(ROW()-3,"0000"))</f>
        <v/>
      </c>
      <c r="B487" s="5" t="n"/>
      <c r="C487" s="5" t="n"/>
      <c r="D487" s="5" t="n"/>
      <c r="E487" s="5" t="n"/>
      <c r="F487" s="5" t="n"/>
      <c r="G487" s="5" t="n"/>
      <c r="H487" s="5" t="n"/>
      <c r="I487" s="5" t="n"/>
      <c r="J487" s="5" t="n"/>
      <c r="K487" s="5" t="n"/>
      <c r="L487" s="5" t="n"/>
      <c r="M487" s="9" t="n"/>
      <c r="N487" s="9" t="n"/>
      <c r="O487" s="9" t="n"/>
      <c r="P487" s="9" t="n"/>
      <c r="Q487" s="9" t="n"/>
      <c r="R487" s="8">
        <f>IF($A487="","",COUNTIF(INV_Product,$A487))</f>
        <v/>
      </c>
      <c r="S487" s="8">
        <f>IF($A487="","",COUNTIFS(INV_Product,$A487,INV_Status,"Available"))</f>
        <v/>
      </c>
      <c r="T487" s="8">
        <f>IF($D487="","",IF(COUNTIFS(DD_PairCategory,$C487,DD_Subcategory,$D487)&gt;0,"ok","✗ "&amp;$D487&amp;" is not under "&amp;$C487))</f>
        <v/>
      </c>
      <c r="U487" s="8">
        <f>IF($F487="","",IF(COUNTIFS(PM_Brand,$E487,PM_Model,$F487)&gt;1,"⚠ duplicate product",IF(AND($B487&lt;&gt;"",COUNTIF(PM_Short,$B487)&gt;1),"⚠ short code reused","")))</f>
        <v/>
      </c>
      <c r="V487" s="5" t="n"/>
    </row>
    <row r="488">
      <c r="A488" s="8">
        <f>IF($F488="","","PRD-"&amp;TEXT(ROW()-3,"0000"))</f>
        <v/>
      </c>
      <c r="B488" s="5" t="n"/>
      <c r="C488" s="5" t="n"/>
      <c r="D488" s="5" t="n"/>
      <c r="E488" s="5" t="n"/>
      <c r="F488" s="5" t="n"/>
      <c r="G488" s="5" t="n"/>
      <c r="H488" s="5" t="n"/>
      <c r="I488" s="5" t="n"/>
      <c r="J488" s="5" t="n"/>
      <c r="K488" s="5" t="n"/>
      <c r="L488" s="5" t="n"/>
      <c r="M488" s="9" t="n"/>
      <c r="N488" s="9" t="n"/>
      <c r="O488" s="9" t="n"/>
      <c r="P488" s="9" t="n"/>
      <c r="Q488" s="9" t="n"/>
      <c r="R488" s="8">
        <f>IF($A488="","",COUNTIF(INV_Product,$A488))</f>
        <v/>
      </c>
      <c r="S488" s="8">
        <f>IF($A488="","",COUNTIFS(INV_Product,$A488,INV_Status,"Available"))</f>
        <v/>
      </c>
      <c r="T488" s="8">
        <f>IF($D488="","",IF(COUNTIFS(DD_PairCategory,$C488,DD_Subcategory,$D488)&gt;0,"ok","✗ "&amp;$D488&amp;" is not under "&amp;$C488))</f>
        <v/>
      </c>
      <c r="U488" s="8">
        <f>IF($F488="","",IF(COUNTIFS(PM_Brand,$E488,PM_Model,$F488)&gt;1,"⚠ duplicate product",IF(AND($B488&lt;&gt;"",COUNTIF(PM_Short,$B488)&gt;1),"⚠ short code reused","")))</f>
        <v/>
      </c>
      <c r="V488" s="5" t="n"/>
    </row>
    <row r="489">
      <c r="A489" s="8">
        <f>IF($F489="","","PRD-"&amp;TEXT(ROW()-3,"0000"))</f>
        <v/>
      </c>
      <c r="B489" s="5" t="n"/>
      <c r="C489" s="5" t="n"/>
      <c r="D489" s="5" t="n"/>
      <c r="E489" s="5" t="n"/>
      <c r="F489" s="5" t="n"/>
      <c r="G489" s="5" t="n"/>
      <c r="H489" s="5" t="n"/>
      <c r="I489" s="5" t="n"/>
      <c r="J489" s="5" t="n"/>
      <c r="K489" s="5" t="n"/>
      <c r="L489" s="5" t="n"/>
      <c r="M489" s="9" t="n"/>
      <c r="N489" s="9" t="n"/>
      <c r="O489" s="9" t="n"/>
      <c r="P489" s="9" t="n"/>
      <c r="Q489" s="9" t="n"/>
      <c r="R489" s="8">
        <f>IF($A489="","",COUNTIF(INV_Product,$A489))</f>
        <v/>
      </c>
      <c r="S489" s="8">
        <f>IF($A489="","",COUNTIFS(INV_Product,$A489,INV_Status,"Available"))</f>
        <v/>
      </c>
      <c r="T489" s="8">
        <f>IF($D489="","",IF(COUNTIFS(DD_PairCategory,$C489,DD_Subcategory,$D489)&gt;0,"ok","✗ "&amp;$D489&amp;" is not under "&amp;$C489))</f>
        <v/>
      </c>
      <c r="U489" s="8">
        <f>IF($F489="","",IF(COUNTIFS(PM_Brand,$E489,PM_Model,$F489)&gt;1,"⚠ duplicate product",IF(AND($B489&lt;&gt;"",COUNTIF(PM_Short,$B489)&gt;1),"⚠ short code reused","")))</f>
        <v/>
      </c>
      <c r="V489" s="5" t="n"/>
    </row>
    <row r="490">
      <c r="A490" s="8">
        <f>IF($F490="","","PRD-"&amp;TEXT(ROW()-3,"0000"))</f>
        <v/>
      </c>
      <c r="B490" s="5" t="n"/>
      <c r="C490" s="5" t="n"/>
      <c r="D490" s="5" t="n"/>
      <c r="E490" s="5" t="n"/>
      <c r="F490" s="5" t="n"/>
      <c r="G490" s="5" t="n"/>
      <c r="H490" s="5" t="n"/>
      <c r="I490" s="5" t="n"/>
      <c r="J490" s="5" t="n"/>
      <c r="K490" s="5" t="n"/>
      <c r="L490" s="5" t="n"/>
      <c r="M490" s="9" t="n"/>
      <c r="N490" s="9" t="n"/>
      <c r="O490" s="9" t="n"/>
      <c r="P490" s="9" t="n"/>
      <c r="Q490" s="9" t="n"/>
      <c r="R490" s="8">
        <f>IF($A490="","",COUNTIF(INV_Product,$A490))</f>
        <v/>
      </c>
      <c r="S490" s="8">
        <f>IF($A490="","",COUNTIFS(INV_Product,$A490,INV_Status,"Available"))</f>
        <v/>
      </c>
      <c r="T490" s="8">
        <f>IF($D490="","",IF(COUNTIFS(DD_PairCategory,$C490,DD_Subcategory,$D490)&gt;0,"ok","✗ "&amp;$D490&amp;" is not under "&amp;$C490))</f>
        <v/>
      </c>
      <c r="U490" s="8">
        <f>IF($F490="","",IF(COUNTIFS(PM_Brand,$E490,PM_Model,$F490)&gt;1,"⚠ duplicate product",IF(AND($B490&lt;&gt;"",COUNTIF(PM_Short,$B490)&gt;1),"⚠ short code reused","")))</f>
        <v/>
      </c>
      <c r="V490" s="5" t="n"/>
    </row>
    <row r="491">
      <c r="A491" s="8">
        <f>IF($F491="","","PRD-"&amp;TEXT(ROW()-3,"0000"))</f>
        <v/>
      </c>
      <c r="B491" s="5" t="n"/>
      <c r="C491" s="5" t="n"/>
      <c r="D491" s="5" t="n"/>
      <c r="E491" s="5" t="n"/>
      <c r="F491" s="5" t="n"/>
      <c r="G491" s="5" t="n"/>
      <c r="H491" s="5" t="n"/>
      <c r="I491" s="5" t="n"/>
      <c r="J491" s="5" t="n"/>
      <c r="K491" s="5" t="n"/>
      <c r="L491" s="5" t="n"/>
      <c r="M491" s="9" t="n"/>
      <c r="N491" s="9" t="n"/>
      <c r="O491" s="9" t="n"/>
      <c r="P491" s="9" t="n"/>
      <c r="Q491" s="9" t="n"/>
      <c r="R491" s="8">
        <f>IF($A491="","",COUNTIF(INV_Product,$A491))</f>
        <v/>
      </c>
      <c r="S491" s="8">
        <f>IF($A491="","",COUNTIFS(INV_Product,$A491,INV_Status,"Available"))</f>
        <v/>
      </c>
      <c r="T491" s="8">
        <f>IF($D491="","",IF(COUNTIFS(DD_PairCategory,$C491,DD_Subcategory,$D491)&gt;0,"ok","✗ "&amp;$D491&amp;" is not under "&amp;$C491))</f>
        <v/>
      </c>
      <c r="U491" s="8">
        <f>IF($F491="","",IF(COUNTIFS(PM_Brand,$E491,PM_Model,$F491)&gt;1,"⚠ duplicate product",IF(AND($B491&lt;&gt;"",COUNTIF(PM_Short,$B491)&gt;1),"⚠ short code reused","")))</f>
        <v/>
      </c>
      <c r="V491" s="5" t="n"/>
    </row>
    <row r="492">
      <c r="A492" s="8">
        <f>IF($F492="","","PRD-"&amp;TEXT(ROW()-3,"0000"))</f>
        <v/>
      </c>
      <c r="B492" s="5" t="n"/>
      <c r="C492" s="5" t="n"/>
      <c r="D492" s="5" t="n"/>
      <c r="E492" s="5" t="n"/>
      <c r="F492" s="5" t="n"/>
      <c r="G492" s="5" t="n"/>
      <c r="H492" s="5" t="n"/>
      <c r="I492" s="5" t="n"/>
      <c r="J492" s="5" t="n"/>
      <c r="K492" s="5" t="n"/>
      <c r="L492" s="5" t="n"/>
      <c r="M492" s="9" t="n"/>
      <c r="N492" s="9" t="n"/>
      <c r="O492" s="9" t="n"/>
      <c r="P492" s="9" t="n"/>
      <c r="Q492" s="9" t="n"/>
      <c r="R492" s="8">
        <f>IF($A492="","",COUNTIF(INV_Product,$A492))</f>
        <v/>
      </c>
      <c r="S492" s="8">
        <f>IF($A492="","",COUNTIFS(INV_Product,$A492,INV_Status,"Available"))</f>
        <v/>
      </c>
      <c r="T492" s="8">
        <f>IF($D492="","",IF(COUNTIFS(DD_PairCategory,$C492,DD_Subcategory,$D492)&gt;0,"ok","✗ "&amp;$D492&amp;" is not under "&amp;$C492))</f>
        <v/>
      </c>
      <c r="U492" s="8">
        <f>IF($F492="","",IF(COUNTIFS(PM_Brand,$E492,PM_Model,$F492)&gt;1,"⚠ duplicate product",IF(AND($B492&lt;&gt;"",COUNTIF(PM_Short,$B492)&gt;1),"⚠ short code reused","")))</f>
        <v/>
      </c>
      <c r="V492" s="5" t="n"/>
    </row>
    <row r="493">
      <c r="A493" s="8">
        <f>IF($F493="","","PRD-"&amp;TEXT(ROW()-3,"0000"))</f>
        <v/>
      </c>
      <c r="B493" s="5" t="n"/>
      <c r="C493" s="5" t="n"/>
      <c r="D493" s="5" t="n"/>
      <c r="E493" s="5" t="n"/>
      <c r="F493" s="5" t="n"/>
      <c r="G493" s="5" t="n"/>
      <c r="H493" s="5" t="n"/>
      <c r="I493" s="5" t="n"/>
      <c r="J493" s="5" t="n"/>
      <c r="K493" s="5" t="n"/>
      <c r="L493" s="5" t="n"/>
      <c r="M493" s="9" t="n"/>
      <c r="N493" s="9" t="n"/>
      <c r="O493" s="9" t="n"/>
      <c r="P493" s="9" t="n"/>
      <c r="Q493" s="9" t="n"/>
      <c r="R493" s="8">
        <f>IF($A493="","",COUNTIF(INV_Product,$A493))</f>
        <v/>
      </c>
      <c r="S493" s="8">
        <f>IF($A493="","",COUNTIFS(INV_Product,$A493,INV_Status,"Available"))</f>
        <v/>
      </c>
      <c r="T493" s="8">
        <f>IF($D493="","",IF(COUNTIFS(DD_PairCategory,$C493,DD_Subcategory,$D493)&gt;0,"ok","✗ "&amp;$D493&amp;" is not under "&amp;$C493))</f>
        <v/>
      </c>
      <c r="U493" s="8">
        <f>IF($F493="","",IF(COUNTIFS(PM_Brand,$E493,PM_Model,$F493)&gt;1,"⚠ duplicate product",IF(AND($B493&lt;&gt;"",COUNTIF(PM_Short,$B493)&gt;1),"⚠ short code reused","")))</f>
        <v/>
      </c>
      <c r="V493" s="5" t="n"/>
    </row>
    <row r="494">
      <c r="A494" s="8">
        <f>IF($F494="","","PRD-"&amp;TEXT(ROW()-3,"0000"))</f>
        <v/>
      </c>
      <c r="B494" s="5" t="n"/>
      <c r="C494" s="5" t="n"/>
      <c r="D494" s="5" t="n"/>
      <c r="E494" s="5" t="n"/>
      <c r="F494" s="5" t="n"/>
      <c r="G494" s="5" t="n"/>
      <c r="H494" s="5" t="n"/>
      <c r="I494" s="5" t="n"/>
      <c r="J494" s="5" t="n"/>
      <c r="K494" s="5" t="n"/>
      <c r="L494" s="5" t="n"/>
      <c r="M494" s="9" t="n"/>
      <c r="N494" s="9" t="n"/>
      <c r="O494" s="9" t="n"/>
      <c r="P494" s="9" t="n"/>
      <c r="Q494" s="9" t="n"/>
      <c r="R494" s="8">
        <f>IF($A494="","",COUNTIF(INV_Product,$A494))</f>
        <v/>
      </c>
      <c r="S494" s="8">
        <f>IF($A494="","",COUNTIFS(INV_Product,$A494,INV_Status,"Available"))</f>
        <v/>
      </c>
      <c r="T494" s="8">
        <f>IF($D494="","",IF(COUNTIFS(DD_PairCategory,$C494,DD_Subcategory,$D494)&gt;0,"ok","✗ "&amp;$D494&amp;" is not under "&amp;$C494))</f>
        <v/>
      </c>
      <c r="U494" s="8">
        <f>IF($F494="","",IF(COUNTIFS(PM_Brand,$E494,PM_Model,$F494)&gt;1,"⚠ duplicate product",IF(AND($B494&lt;&gt;"",COUNTIF(PM_Short,$B494)&gt;1),"⚠ short code reused","")))</f>
        <v/>
      </c>
      <c r="V494" s="5" t="n"/>
    </row>
    <row r="495">
      <c r="A495" s="8">
        <f>IF($F495="","","PRD-"&amp;TEXT(ROW()-3,"0000"))</f>
        <v/>
      </c>
      <c r="B495" s="5" t="n"/>
      <c r="C495" s="5" t="n"/>
      <c r="D495" s="5" t="n"/>
      <c r="E495" s="5" t="n"/>
      <c r="F495" s="5" t="n"/>
      <c r="G495" s="5" t="n"/>
      <c r="H495" s="5" t="n"/>
      <c r="I495" s="5" t="n"/>
      <c r="J495" s="5" t="n"/>
      <c r="K495" s="5" t="n"/>
      <c r="L495" s="5" t="n"/>
      <c r="M495" s="9" t="n"/>
      <c r="N495" s="9" t="n"/>
      <c r="O495" s="9" t="n"/>
      <c r="P495" s="9" t="n"/>
      <c r="Q495" s="9" t="n"/>
      <c r="R495" s="8">
        <f>IF($A495="","",COUNTIF(INV_Product,$A495))</f>
        <v/>
      </c>
      <c r="S495" s="8">
        <f>IF($A495="","",COUNTIFS(INV_Product,$A495,INV_Status,"Available"))</f>
        <v/>
      </c>
      <c r="T495" s="8">
        <f>IF($D495="","",IF(COUNTIFS(DD_PairCategory,$C495,DD_Subcategory,$D495)&gt;0,"ok","✗ "&amp;$D495&amp;" is not under "&amp;$C495))</f>
        <v/>
      </c>
      <c r="U495" s="8">
        <f>IF($F495="","",IF(COUNTIFS(PM_Brand,$E495,PM_Model,$F495)&gt;1,"⚠ duplicate product",IF(AND($B495&lt;&gt;"",COUNTIF(PM_Short,$B495)&gt;1),"⚠ short code reused","")))</f>
        <v/>
      </c>
      <c r="V495" s="5" t="n"/>
    </row>
    <row r="496">
      <c r="A496" s="8">
        <f>IF($F496="","","PRD-"&amp;TEXT(ROW()-3,"0000"))</f>
        <v/>
      </c>
      <c r="B496" s="5" t="n"/>
      <c r="C496" s="5" t="n"/>
      <c r="D496" s="5" t="n"/>
      <c r="E496" s="5" t="n"/>
      <c r="F496" s="5" t="n"/>
      <c r="G496" s="5" t="n"/>
      <c r="H496" s="5" t="n"/>
      <c r="I496" s="5" t="n"/>
      <c r="J496" s="5" t="n"/>
      <c r="K496" s="5" t="n"/>
      <c r="L496" s="5" t="n"/>
      <c r="M496" s="9" t="n"/>
      <c r="N496" s="9" t="n"/>
      <c r="O496" s="9" t="n"/>
      <c r="P496" s="9" t="n"/>
      <c r="Q496" s="9" t="n"/>
      <c r="R496" s="8">
        <f>IF($A496="","",COUNTIF(INV_Product,$A496))</f>
        <v/>
      </c>
      <c r="S496" s="8">
        <f>IF($A496="","",COUNTIFS(INV_Product,$A496,INV_Status,"Available"))</f>
        <v/>
      </c>
      <c r="T496" s="8">
        <f>IF($D496="","",IF(COUNTIFS(DD_PairCategory,$C496,DD_Subcategory,$D496)&gt;0,"ok","✗ "&amp;$D496&amp;" is not under "&amp;$C496))</f>
        <v/>
      </c>
      <c r="U496" s="8">
        <f>IF($F496="","",IF(COUNTIFS(PM_Brand,$E496,PM_Model,$F496)&gt;1,"⚠ duplicate product",IF(AND($B496&lt;&gt;"",COUNTIF(PM_Short,$B496)&gt;1),"⚠ short code reused","")))</f>
        <v/>
      </c>
      <c r="V496" s="5" t="n"/>
    </row>
    <row r="497">
      <c r="A497" s="8">
        <f>IF($F497="","","PRD-"&amp;TEXT(ROW()-3,"0000"))</f>
        <v/>
      </c>
      <c r="B497" s="5" t="n"/>
      <c r="C497" s="5" t="n"/>
      <c r="D497" s="5" t="n"/>
      <c r="E497" s="5" t="n"/>
      <c r="F497" s="5" t="n"/>
      <c r="G497" s="5" t="n"/>
      <c r="H497" s="5" t="n"/>
      <c r="I497" s="5" t="n"/>
      <c r="J497" s="5" t="n"/>
      <c r="K497" s="5" t="n"/>
      <c r="L497" s="5" t="n"/>
      <c r="M497" s="9" t="n"/>
      <c r="N497" s="9" t="n"/>
      <c r="O497" s="9" t="n"/>
      <c r="P497" s="9" t="n"/>
      <c r="Q497" s="9" t="n"/>
      <c r="R497" s="8">
        <f>IF($A497="","",COUNTIF(INV_Product,$A497))</f>
        <v/>
      </c>
      <c r="S497" s="8">
        <f>IF($A497="","",COUNTIFS(INV_Product,$A497,INV_Status,"Available"))</f>
        <v/>
      </c>
      <c r="T497" s="8">
        <f>IF($D497="","",IF(COUNTIFS(DD_PairCategory,$C497,DD_Subcategory,$D497)&gt;0,"ok","✗ "&amp;$D497&amp;" is not under "&amp;$C497))</f>
        <v/>
      </c>
      <c r="U497" s="8">
        <f>IF($F497="","",IF(COUNTIFS(PM_Brand,$E497,PM_Model,$F497)&gt;1,"⚠ duplicate product",IF(AND($B497&lt;&gt;"",COUNTIF(PM_Short,$B497)&gt;1),"⚠ short code reused","")))</f>
        <v/>
      </c>
      <c r="V497" s="5" t="n"/>
    </row>
    <row r="498">
      <c r="A498" s="8">
        <f>IF($F498="","","PRD-"&amp;TEXT(ROW()-3,"0000"))</f>
        <v/>
      </c>
      <c r="B498" s="5" t="n"/>
      <c r="C498" s="5" t="n"/>
      <c r="D498" s="5" t="n"/>
      <c r="E498" s="5" t="n"/>
      <c r="F498" s="5" t="n"/>
      <c r="G498" s="5" t="n"/>
      <c r="H498" s="5" t="n"/>
      <c r="I498" s="5" t="n"/>
      <c r="J498" s="5" t="n"/>
      <c r="K498" s="5" t="n"/>
      <c r="L498" s="5" t="n"/>
      <c r="M498" s="9" t="n"/>
      <c r="N498" s="9" t="n"/>
      <c r="O498" s="9" t="n"/>
      <c r="P498" s="9" t="n"/>
      <c r="Q498" s="9" t="n"/>
      <c r="R498" s="8">
        <f>IF($A498="","",COUNTIF(INV_Product,$A498))</f>
        <v/>
      </c>
      <c r="S498" s="8">
        <f>IF($A498="","",COUNTIFS(INV_Product,$A498,INV_Status,"Available"))</f>
        <v/>
      </c>
      <c r="T498" s="8">
        <f>IF($D498="","",IF(COUNTIFS(DD_PairCategory,$C498,DD_Subcategory,$D498)&gt;0,"ok","✗ "&amp;$D498&amp;" is not under "&amp;$C498))</f>
        <v/>
      </c>
      <c r="U498" s="8">
        <f>IF($F498="","",IF(COUNTIFS(PM_Brand,$E498,PM_Model,$F498)&gt;1,"⚠ duplicate product",IF(AND($B498&lt;&gt;"",COUNTIF(PM_Short,$B498)&gt;1),"⚠ short code reused","")))</f>
        <v/>
      </c>
      <c r="V498" s="5" t="n"/>
    </row>
    <row r="499">
      <c r="A499" s="8">
        <f>IF($F499="","","PRD-"&amp;TEXT(ROW()-3,"0000"))</f>
        <v/>
      </c>
      <c r="B499" s="5" t="n"/>
      <c r="C499" s="5" t="n"/>
      <c r="D499" s="5" t="n"/>
      <c r="E499" s="5" t="n"/>
      <c r="F499" s="5" t="n"/>
      <c r="G499" s="5" t="n"/>
      <c r="H499" s="5" t="n"/>
      <c r="I499" s="5" t="n"/>
      <c r="J499" s="5" t="n"/>
      <c r="K499" s="5" t="n"/>
      <c r="L499" s="5" t="n"/>
      <c r="M499" s="9" t="n"/>
      <c r="N499" s="9" t="n"/>
      <c r="O499" s="9" t="n"/>
      <c r="P499" s="9" t="n"/>
      <c r="Q499" s="9" t="n"/>
      <c r="R499" s="8">
        <f>IF($A499="","",COUNTIF(INV_Product,$A499))</f>
        <v/>
      </c>
      <c r="S499" s="8">
        <f>IF($A499="","",COUNTIFS(INV_Product,$A499,INV_Status,"Available"))</f>
        <v/>
      </c>
      <c r="T499" s="8">
        <f>IF($D499="","",IF(COUNTIFS(DD_PairCategory,$C499,DD_Subcategory,$D499)&gt;0,"ok","✗ "&amp;$D499&amp;" is not under "&amp;$C499))</f>
        <v/>
      </c>
      <c r="U499" s="8">
        <f>IF($F499="","",IF(COUNTIFS(PM_Brand,$E499,PM_Model,$F499)&gt;1,"⚠ duplicate product",IF(AND($B499&lt;&gt;"",COUNTIF(PM_Short,$B499)&gt;1),"⚠ short code reused","")))</f>
        <v/>
      </c>
      <c r="V499" s="5" t="n"/>
    </row>
    <row r="500">
      <c r="A500" s="8">
        <f>IF($F500="","","PRD-"&amp;TEXT(ROW()-3,"0000"))</f>
        <v/>
      </c>
      <c r="B500" s="5" t="n"/>
      <c r="C500" s="5" t="n"/>
      <c r="D500" s="5" t="n"/>
      <c r="E500" s="5" t="n"/>
      <c r="F500" s="5" t="n"/>
      <c r="G500" s="5" t="n"/>
      <c r="H500" s="5" t="n"/>
      <c r="I500" s="5" t="n"/>
      <c r="J500" s="5" t="n"/>
      <c r="K500" s="5" t="n"/>
      <c r="L500" s="5" t="n"/>
      <c r="M500" s="9" t="n"/>
      <c r="N500" s="9" t="n"/>
      <c r="O500" s="9" t="n"/>
      <c r="P500" s="9" t="n"/>
      <c r="Q500" s="9" t="n"/>
      <c r="R500" s="8">
        <f>IF($A500="","",COUNTIF(INV_Product,$A500))</f>
        <v/>
      </c>
      <c r="S500" s="8">
        <f>IF($A500="","",COUNTIFS(INV_Product,$A500,INV_Status,"Available"))</f>
        <v/>
      </c>
      <c r="T500" s="8">
        <f>IF($D500="","",IF(COUNTIFS(DD_PairCategory,$C500,DD_Subcategory,$D500)&gt;0,"ok","✗ "&amp;$D500&amp;" is not under "&amp;$C500))</f>
        <v/>
      </c>
      <c r="U500" s="8">
        <f>IF($F500="","",IF(COUNTIFS(PM_Brand,$E500,PM_Model,$F500)&gt;1,"⚠ duplicate product",IF(AND($B500&lt;&gt;"",COUNTIF(PM_Short,$B500)&gt;1),"⚠ short code reused","")))</f>
        <v/>
      </c>
      <c r="V500" s="5" t="n"/>
    </row>
    <row r="501">
      <c r="A501" s="8">
        <f>IF($F501="","","PRD-"&amp;TEXT(ROW()-3,"0000"))</f>
        <v/>
      </c>
      <c r="B501" s="5" t="n"/>
      <c r="C501" s="5" t="n"/>
      <c r="D501" s="5" t="n"/>
      <c r="E501" s="5" t="n"/>
      <c r="F501" s="5" t="n"/>
      <c r="G501" s="5" t="n"/>
      <c r="H501" s="5" t="n"/>
      <c r="I501" s="5" t="n"/>
      <c r="J501" s="5" t="n"/>
      <c r="K501" s="5" t="n"/>
      <c r="L501" s="5" t="n"/>
      <c r="M501" s="9" t="n"/>
      <c r="N501" s="9" t="n"/>
      <c r="O501" s="9" t="n"/>
      <c r="P501" s="9" t="n"/>
      <c r="Q501" s="9" t="n"/>
      <c r="R501" s="8">
        <f>IF($A501="","",COUNTIF(INV_Product,$A501))</f>
        <v/>
      </c>
      <c r="S501" s="8">
        <f>IF($A501="","",COUNTIFS(INV_Product,$A501,INV_Status,"Available"))</f>
        <v/>
      </c>
      <c r="T501" s="8">
        <f>IF($D501="","",IF(COUNTIFS(DD_PairCategory,$C501,DD_Subcategory,$D501)&gt;0,"ok","✗ "&amp;$D501&amp;" is not under "&amp;$C501))</f>
        <v/>
      </c>
      <c r="U501" s="8">
        <f>IF($F501="","",IF(COUNTIFS(PM_Brand,$E501,PM_Model,$F501)&gt;1,"⚠ duplicate product",IF(AND($B501&lt;&gt;"",COUNTIF(PM_Short,$B501)&gt;1),"⚠ short code reused","")))</f>
        <v/>
      </c>
      <c r="V501" s="5" t="n"/>
    </row>
    <row r="502">
      <c r="A502" s="8">
        <f>IF($F502="","","PRD-"&amp;TEXT(ROW()-3,"0000"))</f>
        <v/>
      </c>
      <c r="B502" s="5" t="n"/>
      <c r="C502" s="5" t="n"/>
      <c r="D502" s="5" t="n"/>
      <c r="E502" s="5" t="n"/>
      <c r="F502" s="5" t="n"/>
      <c r="G502" s="5" t="n"/>
      <c r="H502" s="5" t="n"/>
      <c r="I502" s="5" t="n"/>
      <c r="J502" s="5" t="n"/>
      <c r="K502" s="5" t="n"/>
      <c r="L502" s="5" t="n"/>
      <c r="M502" s="9" t="n"/>
      <c r="N502" s="9" t="n"/>
      <c r="O502" s="9" t="n"/>
      <c r="P502" s="9" t="n"/>
      <c r="Q502" s="9" t="n"/>
      <c r="R502" s="8">
        <f>IF($A502="","",COUNTIF(INV_Product,$A502))</f>
        <v/>
      </c>
      <c r="S502" s="8">
        <f>IF($A502="","",COUNTIFS(INV_Product,$A502,INV_Status,"Available"))</f>
        <v/>
      </c>
      <c r="T502" s="8">
        <f>IF($D502="","",IF(COUNTIFS(DD_PairCategory,$C502,DD_Subcategory,$D502)&gt;0,"ok","✗ "&amp;$D502&amp;" is not under "&amp;$C502))</f>
        <v/>
      </c>
      <c r="U502" s="8">
        <f>IF($F502="","",IF(COUNTIFS(PM_Brand,$E502,PM_Model,$F502)&gt;1,"⚠ duplicate product",IF(AND($B502&lt;&gt;"",COUNTIF(PM_Short,$B502)&gt;1),"⚠ short code reused","")))</f>
        <v/>
      </c>
      <c r="V502" s="5" t="n"/>
    </row>
    <row r="503">
      <c r="A503" s="8">
        <f>IF($F503="","","PRD-"&amp;TEXT(ROW()-3,"0000"))</f>
        <v/>
      </c>
      <c r="B503" s="5" t="n"/>
      <c r="C503" s="5" t="n"/>
      <c r="D503" s="5" t="n"/>
      <c r="E503" s="5" t="n"/>
      <c r="F503" s="5" t="n"/>
      <c r="G503" s="5" t="n"/>
      <c r="H503" s="5" t="n"/>
      <c r="I503" s="5" t="n"/>
      <c r="J503" s="5" t="n"/>
      <c r="K503" s="5" t="n"/>
      <c r="L503" s="5" t="n"/>
      <c r="M503" s="9" t="n"/>
      <c r="N503" s="9" t="n"/>
      <c r="O503" s="9" t="n"/>
      <c r="P503" s="9" t="n"/>
      <c r="Q503" s="9" t="n"/>
      <c r="R503" s="8">
        <f>IF($A503="","",COUNTIF(INV_Product,$A503))</f>
        <v/>
      </c>
      <c r="S503" s="8">
        <f>IF($A503="","",COUNTIFS(INV_Product,$A503,INV_Status,"Available"))</f>
        <v/>
      </c>
      <c r="T503" s="8">
        <f>IF($D503="","",IF(COUNTIFS(DD_PairCategory,$C503,DD_Subcategory,$D503)&gt;0,"ok","✗ "&amp;$D503&amp;" is not under "&amp;$C503))</f>
        <v/>
      </c>
      <c r="U503" s="8">
        <f>IF($F503="","",IF(COUNTIFS(PM_Brand,$E503,PM_Model,$F503)&gt;1,"⚠ duplicate product",IF(AND($B503&lt;&gt;"",COUNTIF(PM_Short,$B503)&gt;1),"⚠ short code reused","")))</f>
        <v/>
      </c>
      <c r="V503" s="5" t="n"/>
    </row>
    <row r="504">
      <c r="A504" s="8">
        <f>IF($F504="","","PRD-"&amp;TEXT(ROW()-3,"0000"))</f>
        <v/>
      </c>
      <c r="B504" s="5" t="n"/>
      <c r="C504" s="5" t="n"/>
      <c r="D504" s="5" t="n"/>
      <c r="E504" s="5" t="n"/>
      <c r="F504" s="5" t="n"/>
      <c r="G504" s="5" t="n"/>
      <c r="H504" s="5" t="n"/>
      <c r="I504" s="5" t="n"/>
      <c r="J504" s="5" t="n"/>
      <c r="K504" s="5" t="n"/>
      <c r="L504" s="5" t="n"/>
      <c r="M504" s="9" t="n"/>
      <c r="N504" s="9" t="n"/>
      <c r="O504" s="9" t="n"/>
      <c r="P504" s="9" t="n"/>
      <c r="Q504" s="9" t="n"/>
      <c r="R504" s="8">
        <f>IF($A504="","",COUNTIF(INV_Product,$A504))</f>
        <v/>
      </c>
      <c r="S504" s="8">
        <f>IF($A504="","",COUNTIFS(INV_Product,$A504,INV_Status,"Available"))</f>
        <v/>
      </c>
      <c r="T504" s="8">
        <f>IF($D504="","",IF(COUNTIFS(DD_PairCategory,$C504,DD_Subcategory,$D504)&gt;0,"ok","✗ "&amp;$D504&amp;" is not under "&amp;$C504))</f>
        <v/>
      </c>
      <c r="U504" s="8">
        <f>IF($F504="","",IF(COUNTIFS(PM_Brand,$E504,PM_Model,$F504)&gt;1,"⚠ duplicate product",IF(AND($B504&lt;&gt;"",COUNTIF(PM_Short,$B504)&gt;1),"⚠ short code reused","")))</f>
        <v/>
      </c>
      <c r="V504" s="5" t="n"/>
    </row>
    <row r="505">
      <c r="A505" s="8">
        <f>IF($F505="","","PRD-"&amp;TEXT(ROW()-3,"0000"))</f>
        <v/>
      </c>
      <c r="B505" s="5" t="n"/>
      <c r="C505" s="5" t="n"/>
      <c r="D505" s="5" t="n"/>
      <c r="E505" s="5" t="n"/>
      <c r="F505" s="5" t="n"/>
      <c r="G505" s="5" t="n"/>
      <c r="H505" s="5" t="n"/>
      <c r="I505" s="5" t="n"/>
      <c r="J505" s="5" t="n"/>
      <c r="K505" s="5" t="n"/>
      <c r="L505" s="5" t="n"/>
      <c r="M505" s="9" t="n"/>
      <c r="N505" s="9" t="n"/>
      <c r="O505" s="9" t="n"/>
      <c r="P505" s="9" t="n"/>
      <c r="Q505" s="9" t="n"/>
      <c r="R505" s="8">
        <f>IF($A505="","",COUNTIF(INV_Product,$A505))</f>
        <v/>
      </c>
      <c r="S505" s="8">
        <f>IF($A505="","",COUNTIFS(INV_Product,$A505,INV_Status,"Available"))</f>
        <v/>
      </c>
      <c r="T505" s="8">
        <f>IF($D505="","",IF(COUNTIFS(DD_PairCategory,$C505,DD_Subcategory,$D505)&gt;0,"ok","✗ "&amp;$D505&amp;" is not under "&amp;$C505))</f>
        <v/>
      </c>
      <c r="U505" s="8">
        <f>IF($F505="","",IF(COUNTIFS(PM_Brand,$E505,PM_Model,$F505)&gt;1,"⚠ duplicate product",IF(AND($B505&lt;&gt;"",COUNTIF(PM_Short,$B505)&gt;1),"⚠ short code reused","")))</f>
        <v/>
      </c>
      <c r="V505" s="5" t="n"/>
    </row>
    <row r="506">
      <c r="A506" s="8">
        <f>IF($F506="","","PRD-"&amp;TEXT(ROW()-3,"0000"))</f>
        <v/>
      </c>
      <c r="B506" s="5" t="n"/>
      <c r="C506" s="5" t="n"/>
      <c r="D506" s="5" t="n"/>
      <c r="E506" s="5" t="n"/>
      <c r="F506" s="5" t="n"/>
      <c r="G506" s="5" t="n"/>
      <c r="H506" s="5" t="n"/>
      <c r="I506" s="5" t="n"/>
      <c r="J506" s="5" t="n"/>
      <c r="K506" s="5" t="n"/>
      <c r="L506" s="5" t="n"/>
      <c r="M506" s="9" t="n"/>
      <c r="N506" s="9" t="n"/>
      <c r="O506" s="9" t="n"/>
      <c r="P506" s="9" t="n"/>
      <c r="Q506" s="9" t="n"/>
      <c r="R506" s="8">
        <f>IF($A506="","",COUNTIF(INV_Product,$A506))</f>
        <v/>
      </c>
      <c r="S506" s="8">
        <f>IF($A506="","",COUNTIFS(INV_Product,$A506,INV_Status,"Available"))</f>
        <v/>
      </c>
      <c r="T506" s="8">
        <f>IF($D506="","",IF(COUNTIFS(DD_PairCategory,$C506,DD_Subcategory,$D506)&gt;0,"ok","✗ "&amp;$D506&amp;" is not under "&amp;$C506))</f>
        <v/>
      </c>
      <c r="U506" s="8">
        <f>IF($F506="","",IF(COUNTIFS(PM_Brand,$E506,PM_Model,$F506)&gt;1,"⚠ duplicate product",IF(AND($B506&lt;&gt;"",COUNTIF(PM_Short,$B506)&gt;1),"⚠ short code reused","")))</f>
        <v/>
      </c>
      <c r="V506" s="5" t="n"/>
    </row>
    <row r="507">
      <c r="A507" s="8">
        <f>IF($F507="","","PRD-"&amp;TEXT(ROW()-3,"0000"))</f>
        <v/>
      </c>
      <c r="B507" s="5" t="n"/>
      <c r="C507" s="5" t="n"/>
      <c r="D507" s="5" t="n"/>
      <c r="E507" s="5" t="n"/>
      <c r="F507" s="5" t="n"/>
      <c r="G507" s="5" t="n"/>
      <c r="H507" s="5" t="n"/>
      <c r="I507" s="5" t="n"/>
      <c r="J507" s="5" t="n"/>
      <c r="K507" s="5" t="n"/>
      <c r="L507" s="5" t="n"/>
      <c r="M507" s="9" t="n"/>
      <c r="N507" s="9" t="n"/>
      <c r="O507" s="9" t="n"/>
      <c r="P507" s="9" t="n"/>
      <c r="Q507" s="9" t="n"/>
      <c r="R507" s="8">
        <f>IF($A507="","",COUNTIF(INV_Product,$A507))</f>
        <v/>
      </c>
      <c r="S507" s="8">
        <f>IF($A507="","",COUNTIFS(INV_Product,$A507,INV_Status,"Available"))</f>
        <v/>
      </c>
      <c r="T507" s="8">
        <f>IF($D507="","",IF(COUNTIFS(DD_PairCategory,$C507,DD_Subcategory,$D507)&gt;0,"ok","✗ "&amp;$D507&amp;" is not under "&amp;$C507))</f>
        <v/>
      </c>
      <c r="U507" s="8">
        <f>IF($F507="","",IF(COUNTIFS(PM_Brand,$E507,PM_Model,$F507)&gt;1,"⚠ duplicate product",IF(AND($B507&lt;&gt;"",COUNTIF(PM_Short,$B507)&gt;1),"⚠ short code reused","")))</f>
        <v/>
      </c>
      <c r="V507" s="5" t="n"/>
    </row>
    <row r="508">
      <c r="A508" s="8">
        <f>IF($F508="","","PRD-"&amp;TEXT(ROW()-3,"0000"))</f>
        <v/>
      </c>
      <c r="B508" s="5" t="n"/>
      <c r="C508" s="5" t="n"/>
      <c r="D508" s="5" t="n"/>
      <c r="E508" s="5" t="n"/>
      <c r="F508" s="5" t="n"/>
      <c r="G508" s="5" t="n"/>
      <c r="H508" s="5" t="n"/>
      <c r="I508" s="5" t="n"/>
      <c r="J508" s="5" t="n"/>
      <c r="K508" s="5" t="n"/>
      <c r="L508" s="5" t="n"/>
      <c r="M508" s="9" t="n"/>
      <c r="N508" s="9" t="n"/>
      <c r="O508" s="9" t="n"/>
      <c r="P508" s="9" t="n"/>
      <c r="Q508" s="9" t="n"/>
      <c r="R508" s="8">
        <f>IF($A508="","",COUNTIF(INV_Product,$A508))</f>
        <v/>
      </c>
      <c r="S508" s="8">
        <f>IF($A508="","",COUNTIFS(INV_Product,$A508,INV_Status,"Available"))</f>
        <v/>
      </c>
      <c r="T508" s="8">
        <f>IF($D508="","",IF(COUNTIFS(DD_PairCategory,$C508,DD_Subcategory,$D508)&gt;0,"ok","✗ "&amp;$D508&amp;" is not under "&amp;$C508))</f>
        <v/>
      </c>
      <c r="U508" s="8">
        <f>IF($F508="","",IF(COUNTIFS(PM_Brand,$E508,PM_Model,$F508)&gt;1,"⚠ duplicate product",IF(AND($B508&lt;&gt;"",COUNTIF(PM_Short,$B508)&gt;1),"⚠ short code reused","")))</f>
        <v/>
      </c>
      <c r="V508" s="5" t="n"/>
    </row>
    <row r="509">
      <c r="A509" s="8">
        <f>IF($F509="","","PRD-"&amp;TEXT(ROW()-3,"0000"))</f>
        <v/>
      </c>
      <c r="B509" s="5" t="n"/>
      <c r="C509" s="5" t="n"/>
      <c r="D509" s="5" t="n"/>
      <c r="E509" s="5" t="n"/>
      <c r="F509" s="5" t="n"/>
      <c r="G509" s="5" t="n"/>
      <c r="H509" s="5" t="n"/>
      <c r="I509" s="5" t="n"/>
      <c r="J509" s="5" t="n"/>
      <c r="K509" s="5" t="n"/>
      <c r="L509" s="5" t="n"/>
      <c r="M509" s="9" t="n"/>
      <c r="N509" s="9" t="n"/>
      <c r="O509" s="9" t="n"/>
      <c r="P509" s="9" t="n"/>
      <c r="Q509" s="9" t="n"/>
      <c r="R509" s="8">
        <f>IF($A509="","",COUNTIF(INV_Product,$A509))</f>
        <v/>
      </c>
      <c r="S509" s="8">
        <f>IF($A509="","",COUNTIFS(INV_Product,$A509,INV_Status,"Available"))</f>
        <v/>
      </c>
      <c r="T509" s="8">
        <f>IF($D509="","",IF(COUNTIFS(DD_PairCategory,$C509,DD_Subcategory,$D509)&gt;0,"ok","✗ "&amp;$D509&amp;" is not under "&amp;$C509))</f>
        <v/>
      </c>
      <c r="U509" s="8">
        <f>IF($F509="","",IF(COUNTIFS(PM_Brand,$E509,PM_Model,$F509)&gt;1,"⚠ duplicate product",IF(AND($B509&lt;&gt;"",COUNTIF(PM_Short,$B509)&gt;1),"⚠ short code reused","")))</f>
        <v/>
      </c>
      <c r="V509" s="5" t="n"/>
    </row>
    <row r="510">
      <c r="A510" s="8">
        <f>IF($F510="","","PRD-"&amp;TEXT(ROW()-3,"0000"))</f>
        <v/>
      </c>
      <c r="B510" s="5" t="n"/>
      <c r="C510" s="5" t="n"/>
      <c r="D510" s="5" t="n"/>
      <c r="E510" s="5" t="n"/>
      <c r="F510" s="5" t="n"/>
      <c r="G510" s="5" t="n"/>
      <c r="H510" s="5" t="n"/>
      <c r="I510" s="5" t="n"/>
      <c r="J510" s="5" t="n"/>
      <c r="K510" s="5" t="n"/>
      <c r="L510" s="5" t="n"/>
      <c r="M510" s="9" t="n"/>
      <c r="N510" s="9" t="n"/>
      <c r="O510" s="9" t="n"/>
      <c r="P510" s="9" t="n"/>
      <c r="Q510" s="9" t="n"/>
      <c r="R510" s="8">
        <f>IF($A510="","",COUNTIF(INV_Product,$A510))</f>
        <v/>
      </c>
      <c r="S510" s="8">
        <f>IF($A510="","",COUNTIFS(INV_Product,$A510,INV_Status,"Available"))</f>
        <v/>
      </c>
      <c r="T510" s="8">
        <f>IF($D510="","",IF(COUNTIFS(DD_PairCategory,$C510,DD_Subcategory,$D510)&gt;0,"ok","✗ "&amp;$D510&amp;" is not under "&amp;$C510))</f>
        <v/>
      </c>
      <c r="U510" s="8">
        <f>IF($F510="","",IF(COUNTIFS(PM_Brand,$E510,PM_Model,$F510)&gt;1,"⚠ duplicate product",IF(AND($B510&lt;&gt;"",COUNTIF(PM_Short,$B510)&gt;1),"⚠ short code reused","")))</f>
        <v/>
      </c>
      <c r="V510" s="5" t="n"/>
    </row>
    <row r="511">
      <c r="A511" s="8">
        <f>IF($F511="","","PRD-"&amp;TEXT(ROW()-3,"0000"))</f>
        <v/>
      </c>
      <c r="B511" s="5" t="n"/>
      <c r="C511" s="5" t="n"/>
      <c r="D511" s="5" t="n"/>
      <c r="E511" s="5" t="n"/>
      <c r="F511" s="5" t="n"/>
      <c r="G511" s="5" t="n"/>
      <c r="H511" s="5" t="n"/>
      <c r="I511" s="5" t="n"/>
      <c r="J511" s="5" t="n"/>
      <c r="K511" s="5" t="n"/>
      <c r="L511" s="5" t="n"/>
      <c r="M511" s="9" t="n"/>
      <c r="N511" s="9" t="n"/>
      <c r="O511" s="9" t="n"/>
      <c r="P511" s="9" t="n"/>
      <c r="Q511" s="9" t="n"/>
      <c r="R511" s="8">
        <f>IF($A511="","",COUNTIF(INV_Product,$A511))</f>
        <v/>
      </c>
      <c r="S511" s="8">
        <f>IF($A511="","",COUNTIFS(INV_Product,$A511,INV_Status,"Available"))</f>
        <v/>
      </c>
      <c r="T511" s="8">
        <f>IF($D511="","",IF(COUNTIFS(DD_PairCategory,$C511,DD_Subcategory,$D511)&gt;0,"ok","✗ "&amp;$D511&amp;" is not under "&amp;$C511))</f>
        <v/>
      </c>
      <c r="U511" s="8">
        <f>IF($F511="","",IF(COUNTIFS(PM_Brand,$E511,PM_Model,$F511)&gt;1,"⚠ duplicate product",IF(AND($B511&lt;&gt;"",COUNTIF(PM_Short,$B511)&gt;1),"⚠ short code reused","")))</f>
        <v/>
      </c>
      <c r="V511" s="5" t="n"/>
    </row>
    <row r="512">
      <c r="A512" s="8">
        <f>IF($F512="","","PRD-"&amp;TEXT(ROW()-3,"0000"))</f>
        <v/>
      </c>
      <c r="B512" s="5" t="n"/>
      <c r="C512" s="5" t="n"/>
      <c r="D512" s="5" t="n"/>
      <c r="E512" s="5" t="n"/>
      <c r="F512" s="5" t="n"/>
      <c r="G512" s="5" t="n"/>
      <c r="H512" s="5" t="n"/>
      <c r="I512" s="5" t="n"/>
      <c r="J512" s="5" t="n"/>
      <c r="K512" s="5" t="n"/>
      <c r="L512" s="5" t="n"/>
      <c r="M512" s="9" t="n"/>
      <c r="N512" s="9" t="n"/>
      <c r="O512" s="9" t="n"/>
      <c r="P512" s="9" t="n"/>
      <c r="Q512" s="9" t="n"/>
      <c r="R512" s="8">
        <f>IF($A512="","",COUNTIF(INV_Product,$A512))</f>
        <v/>
      </c>
      <c r="S512" s="8">
        <f>IF($A512="","",COUNTIFS(INV_Product,$A512,INV_Status,"Available"))</f>
        <v/>
      </c>
      <c r="T512" s="8">
        <f>IF($D512="","",IF(COUNTIFS(DD_PairCategory,$C512,DD_Subcategory,$D512)&gt;0,"ok","✗ "&amp;$D512&amp;" is not under "&amp;$C512))</f>
        <v/>
      </c>
      <c r="U512" s="8">
        <f>IF($F512="","",IF(COUNTIFS(PM_Brand,$E512,PM_Model,$F512)&gt;1,"⚠ duplicate product",IF(AND($B512&lt;&gt;"",COUNTIF(PM_Short,$B512)&gt;1),"⚠ short code reused","")))</f>
        <v/>
      </c>
      <c r="V512" s="5" t="n"/>
    </row>
    <row r="513">
      <c r="A513" s="8">
        <f>IF($F513="","","PRD-"&amp;TEXT(ROW()-3,"0000"))</f>
        <v/>
      </c>
      <c r="B513" s="5" t="n"/>
      <c r="C513" s="5" t="n"/>
      <c r="D513" s="5" t="n"/>
      <c r="E513" s="5" t="n"/>
      <c r="F513" s="5" t="n"/>
      <c r="G513" s="5" t="n"/>
      <c r="H513" s="5" t="n"/>
      <c r="I513" s="5" t="n"/>
      <c r="J513" s="5" t="n"/>
      <c r="K513" s="5" t="n"/>
      <c r="L513" s="5" t="n"/>
      <c r="M513" s="9" t="n"/>
      <c r="N513" s="9" t="n"/>
      <c r="O513" s="9" t="n"/>
      <c r="P513" s="9" t="n"/>
      <c r="Q513" s="9" t="n"/>
      <c r="R513" s="8">
        <f>IF($A513="","",COUNTIF(INV_Product,$A513))</f>
        <v/>
      </c>
      <c r="S513" s="8">
        <f>IF($A513="","",COUNTIFS(INV_Product,$A513,INV_Status,"Available"))</f>
        <v/>
      </c>
      <c r="T513" s="8">
        <f>IF($D513="","",IF(COUNTIFS(DD_PairCategory,$C513,DD_Subcategory,$D513)&gt;0,"ok","✗ "&amp;$D513&amp;" is not under "&amp;$C513))</f>
        <v/>
      </c>
      <c r="U513" s="8">
        <f>IF($F513="","",IF(COUNTIFS(PM_Brand,$E513,PM_Model,$F513)&gt;1,"⚠ duplicate product",IF(AND($B513&lt;&gt;"",COUNTIF(PM_Short,$B513)&gt;1),"⚠ short code reused","")))</f>
        <v/>
      </c>
      <c r="V513" s="5" t="n"/>
    </row>
    <row r="514">
      <c r="A514" s="8">
        <f>IF($F514="","","PRD-"&amp;TEXT(ROW()-3,"0000"))</f>
        <v/>
      </c>
      <c r="B514" s="5" t="n"/>
      <c r="C514" s="5" t="n"/>
      <c r="D514" s="5" t="n"/>
      <c r="E514" s="5" t="n"/>
      <c r="F514" s="5" t="n"/>
      <c r="G514" s="5" t="n"/>
      <c r="H514" s="5" t="n"/>
      <c r="I514" s="5" t="n"/>
      <c r="J514" s="5" t="n"/>
      <c r="K514" s="5" t="n"/>
      <c r="L514" s="5" t="n"/>
      <c r="M514" s="9" t="n"/>
      <c r="N514" s="9" t="n"/>
      <c r="O514" s="9" t="n"/>
      <c r="P514" s="9" t="n"/>
      <c r="Q514" s="9" t="n"/>
      <c r="R514" s="8">
        <f>IF($A514="","",COUNTIF(INV_Product,$A514))</f>
        <v/>
      </c>
      <c r="S514" s="8">
        <f>IF($A514="","",COUNTIFS(INV_Product,$A514,INV_Status,"Available"))</f>
        <v/>
      </c>
      <c r="T514" s="8">
        <f>IF($D514="","",IF(COUNTIFS(DD_PairCategory,$C514,DD_Subcategory,$D514)&gt;0,"ok","✗ "&amp;$D514&amp;" is not under "&amp;$C514))</f>
        <v/>
      </c>
      <c r="U514" s="8">
        <f>IF($F514="","",IF(COUNTIFS(PM_Brand,$E514,PM_Model,$F514)&gt;1,"⚠ duplicate product",IF(AND($B514&lt;&gt;"",COUNTIF(PM_Short,$B514)&gt;1),"⚠ short code reused","")))</f>
        <v/>
      </c>
      <c r="V514" s="5" t="n"/>
    </row>
    <row r="515">
      <c r="A515" s="8">
        <f>IF($F515="","","PRD-"&amp;TEXT(ROW()-3,"0000"))</f>
        <v/>
      </c>
      <c r="B515" s="5" t="n"/>
      <c r="C515" s="5" t="n"/>
      <c r="D515" s="5" t="n"/>
      <c r="E515" s="5" t="n"/>
      <c r="F515" s="5" t="n"/>
      <c r="G515" s="5" t="n"/>
      <c r="H515" s="5" t="n"/>
      <c r="I515" s="5" t="n"/>
      <c r="J515" s="5" t="n"/>
      <c r="K515" s="5" t="n"/>
      <c r="L515" s="5" t="n"/>
      <c r="M515" s="9" t="n"/>
      <c r="N515" s="9" t="n"/>
      <c r="O515" s="9" t="n"/>
      <c r="P515" s="9" t="n"/>
      <c r="Q515" s="9" t="n"/>
      <c r="R515" s="8">
        <f>IF($A515="","",COUNTIF(INV_Product,$A515))</f>
        <v/>
      </c>
      <c r="S515" s="8">
        <f>IF($A515="","",COUNTIFS(INV_Product,$A515,INV_Status,"Available"))</f>
        <v/>
      </c>
      <c r="T515" s="8">
        <f>IF($D515="","",IF(COUNTIFS(DD_PairCategory,$C515,DD_Subcategory,$D515)&gt;0,"ok","✗ "&amp;$D515&amp;" is not under "&amp;$C515))</f>
        <v/>
      </c>
      <c r="U515" s="8">
        <f>IF($F515="","",IF(COUNTIFS(PM_Brand,$E515,PM_Model,$F515)&gt;1,"⚠ duplicate product",IF(AND($B515&lt;&gt;"",COUNTIF(PM_Short,$B515)&gt;1),"⚠ short code reused","")))</f>
        <v/>
      </c>
      <c r="V515" s="5" t="n"/>
    </row>
    <row r="516">
      <c r="A516" s="8">
        <f>IF($F516="","","PRD-"&amp;TEXT(ROW()-3,"0000"))</f>
        <v/>
      </c>
      <c r="B516" s="5" t="n"/>
      <c r="C516" s="5" t="n"/>
      <c r="D516" s="5" t="n"/>
      <c r="E516" s="5" t="n"/>
      <c r="F516" s="5" t="n"/>
      <c r="G516" s="5" t="n"/>
      <c r="H516" s="5" t="n"/>
      <c r="I516" s="5" t="n"/>
      <c r="J516" s="5" t="n"/>
      <c r="K516" s="5" t="n"/>
      <c r="L516" s="5" t="n"/>
      <c r="M516" s="9" t="n"/>
      <c r="N516" s="9" t="n"/>
      <c r="O516" s="9" t="n"/>
      <c r="P516" s="9" t="n"/>
      <c r="Q516" s="9" t="n"/>
      <c r="R516" s="8">
        <f>IF($A516="","",COUNTIF(INV_Product,$A516))</f>
        <v/>
      </c>
      <c r="S516" s="8">
        <f>IF($A516="","",COUNTIFS(INV_Product,$A516,INV_Status,"Available"))</f>
        <v/>
      </c>
      <c r="T516" s="8">
        <f>IF($D516="","",IF(COUNTIFS(DD_PairCategory,$C516,DD_Subcategory,$D516)&gt;0,"ok","✗ "&amp;$D516&amp;" is not under "&amp;$C516))</f>
        <v/>
      </c>
      <c r="U516" s="8">
        <f>IF($F516="","",IF(COUNTIFS(PM_Brand,$E516,PM_Model,$F516)&gt;1,"⚠ duplicate product",IF(AND($B516&lt;&gt;"",COUNTIF(PM_Short,$B516)&gt;1),"⚠ short code reused","")))</f>
        <v/>
      </c>
      <c r="V516" s="5" t="n"/>
    </row>
    <row r="517">
      <c r="A517" s="8">
        <f>IF($F517="","","PRD-"&amp;TEXT(ROW()-3,"0000"))</f>
        <v/>
      </c>
      <c r="B517" s="5" t="n"/>
      <c r="C517" s="5" t="n"/>
      <c r="D517" s="5" t="n"/>
      <c r="E517" s="5" t="n"/>
      <c r="F517" s="5" t="n"/>
      <c r="G517" s="5" t="n"/>
      <c r="H517" s="5" t="n"/>
      <c r="I517" s="5" t="n"/>
      <c r="J517" s="5" t="n"/>
      <c r="K517" s="5" t="n"/>
      <c r="L517" s="5" t="n"/>
      <c r="M517" s="9" t="n"/>
      <c r="N517" s="9" t="n"/>
      <c r="O517" s="9" t="n"/>
      <c r="P517" s="9" t="n"/>
      <c r="Q517" s="9" t="n"/>
      <c r="R517" s="8">
        <f>IF($A517="","",COUNTIF(INV_Product,$A517))</f>
        <v/>
      </c>
      <c r="S517" s="8">
        <f>IF($A517="","",COUNTIFS(INV_Product,$A517,INV_Status,"Available"))</f>
        <v/>
      </c>
      <c r="T517" s="8">
        <f>IF($D517="","",IF(COUNTIFS(DD_PairCategory,$C517,DD_Subcategory,$D517)&gt;0,"ok","✗ "&amp;$D517&amp;" is not under "&amp;$C517))</f>
        <v/>
      </c>
      <c r="U517" s="8">
        <f>IF($F517="","",IF(COUNTIFS(PM_Brand,$E517,PM_Model,$F517)&gt;1,"⚠ duplicate product",IF(AND($B517&lt;&gt;"",COUNTIF(PM_Short,$B517)&gt;1),"⚠ short code reused","")))</f>
        <v/>
      </c>
      <c r="V517" s="5" t="n"/>
    </row>
    <row r="518">
      <c r="A518" s="8">
        <f>IF($F518="","","PRD-"&amp;TEXT(ROW()-3,"0000"))</f>
        <v/>
      </c>
      <c r="B518" s="5" t="n"/>
      <c r="C518" s="5" t="n"/>
      <c r="D518" s="5" t="n"/>
      <c r="E518" s="5" t="n"/>
      <c r="F518" s="5" t="n"/>
      <c r="G518" s="5" t="n"/>
      <c r="H518" s="5" t="n"/>
      <c r="I518" s="5" t="n"/>
      <c r="J518" s="5" t="n"/>
      <c r="K518" s="5" t="n"/>
      <c r="L518" s="5" t="n"/>
      <c r="M518" s="9" t="n"/>
      <c r="N518" s="9" t="n"/>
      <c r="O518" s="9" t="n"/>
      <c r="P518" s="9" t="n"/>
      <c r="Q518" s="9" t="n"/>
      <c r="R518" s="8">
        <f>IF($A518="","",COUNTIF(INV_Product,$A518))</f>
        <v/>
      </c>
      <c r="S518" s="8">
        <f>IF($A518="","",COUNTIFS(INV_Product,$A518,INV_Status,"Available"))</f>
        <v/>
      </c>
      <c r="T518" s="8">
        <f>IF($D518="","",IF(COUNTIFS(DD_PairCategory,$C518,DD_Subcategory,$D518)&gt;0,"ok","✗ "&amp;$D518&amp;" is not under "&amp;$C518))</f>
        <v/>
      </c>
      <c r="U518" s="8">
        <f>IF($F518="","",IF(COUNTIFS(PM_Brand,$E518,PM_Model,$F518)&gt;1,"⚠ duplicate product",IF(AND($B518&lt;&gt;"",COUNTIF(PM_Short,$B518)&gt;1),"⚠ short code reused","")))</f>
        <v/>
      </c>
      <c r="V518" s="5" t="n"/>
    </row>
    <row r="519">
      <c r="A519" s="8">
        <f>IF($F519="","","PRD-"&amp;TEXT(ROW()-3,"0000"))</f>
        <v/>
      </c>
      <c r="B519" s="5" t="n"/>
      <c r="C519" s="5" t="n"/>
      <c r="D519" s="5" t="n"/>
      <c r="E519" s="5" t="n"/>
      <c r="F519" s="5" t="n"/>
      <c r="G519" s="5" t="n"/>
      <c r="H519" s="5" t="n"/>
      <c r="I519" s="5" t="n"/>
      <c r="J519" s="5" t="n"/>
      <c r="K519" s="5" t="n"/>
      <c r="L519" s="5" t="n"/>
      <c r="M519" s="9" t="n"/>
      <c r="N519" s="9" t="n"/>
      <c r="O519" s="9" t="n"/>
      <c r="P519" s="9" t="n"/>
      <c r="Q519" s="9" t="n"/>
      <c r="R519" s="8">
        <f>IF($A519="","",COUNTIF(INV_Product,$A519))</f>
        <v/>
      </c>
      <c r="S519" s="8">
        <f>IF($A519="","",COUNTIFS(INV_Product,$A519,INV_Status,"Available"))</f>
        <v/>
      </c>
      <c r="T519" s="8">
        <f>IF($D519="","",IF(COUNTIFS(DD_PairCategory,$C519,DD_Subcategory,$D519)&gt;0,"ok","✗ "&amp;$D519&amp;" is not under "&amp;$C519))</f>
        <v/>
      </c>
      <c r="U519" s="8">
        <f>IF($F519="","",IF(COUNTIFS(PM_Brand,$E519,PM_Model,$F519)&gt;1,"⚠ duplicate product",IF(AND($B519&lt;&gt;"",COUNTIF(PM_Short,$B519)&gt;1),"⚠ short code reused","")))</f>
        <v/>
      </c>
      <c r="V519" s="5" t="n"/>
    </row>
    <row r="520">
      <c r="A520" s="8">
        <f>IF($F520="","","PRD-"&amp;TEXT(ROW()-3,"0000"))</f>
        <v/>
      </c>
      <c r="B520" s="5" t="n"/>
      <c r="C520" s="5" t="n"/>
      <c r="D520" s="5" t="n"/>
      <c r="E520" s="5" t="n"/>
      <c r="F520" s="5" t="n"/>
      <c r="G520" s="5" t="n"/>
      <c r="H520" s="5" t="n"/>
      <c r="I520" s="5" t="n"/>
      <c r="J520" s="5" t="n"/>
      <c r="K520" s="5" t="n"/>
      <c r="L520" s="5" t="n"/>
      <c r="M520" s="9" t="n"/>
      <c r="N520" s="9" t="n"/>
      <c r="O520" s="9" t="n"/>
      <c r="P520" s="9" t="n"/>
      <c r="Q520" s="9" t="n"/>
      <c r="R520" s="8">
        <f>IF($A520="","",COUNTIF(INV_Product,$A520))</f>
        <v/>
      </c>
      <c r="S520" s="8">
        <f>IF($A520="","",COUNTIFS(INV_Product,$A520,INV_Status,"Available"))</f>
        <v/>
      </c>
      <c r="T520" s="8">
        <f>IF($D520="","",IF(COUNTIFS(DD_PairCategory,$C520,DD_Subcategory,$D520)&gt;0,"ok","✗ "&amp;$D520&amp;" is not under "&amp;$C520))</f>
        <v/>
      </c>
      <c r="U520" s="8">
        <f>IF($F520="","",IF(COUNTIFS(PM_Brand,$E520,PM_Model,$F520)&gt;1,"⚠ duplicate product",IF(AND($B520&lt;&gt;"",COUNTIF(PM_Short,$B520)&gt;1),"⚠ short code reused","")))</f>
        <v/>
      </c>
      <c r="V520" s="5" t="n"/>
    </row>
    <row r="521">
      <c r="A521" s="8">
        <f>IF($F521="","","PRD-"&amp;TEXT(ROW()-3,"0000"))</f>
        <v/>
      </c>
      <c r="B521" s="5" t="n"/>
      <c r="C521" s="5" t="n"/>
      <c r="D521" s="5" t="n"/>
      <c r="E521" s="5" t="n"/>
      <c r="F521" s="5" t="n"/>
      <c r="G521" s="5" t="n"/>
      <c r="H521" s="5" t="n"/>
      <c r="I521" s="5" t="n"/>
      <c r="J521" s="5" t="n"/>
      <c r="K521" s="5" t="n"/>
      <c r="L521" s="5" t="n"/>
      <c r="M521" s="9" t="n"/>
      <c r="N521" s="9" t="n"/>
      <c r="O521" s="9" t="n"/>
      <c r="P521" s="9" t="n"/>
      <c r="Q521" s="9" t="n"/>
      <c r="R521" s="8">
        <f>IF($A521="","",COUNTIF(INV_Product,$A521))</f>
        <v/>
      </c>
      <c r="S521" s="8">
        <f>IF($A521="","",COUNTIFS(INV_Product,$A521,INV_Status,"Available"))</f>
        <v/>
      </c>
      <c r="T521" s="8">
        <f>IF($D521="","",IF(COUNTIFS(DD_PairCategory,$C521,DD_Subcategory,$D521)&gt;0,"ok","✗ "&amp;$D521&amp;" is not under "&amp;$C521))</f>
        <v/>
      </c>
      <c r="U521" s="8">
        <f>IF($F521="","",IF(COUNTIFS(PM_Brand,$E521,PM_Model,$F521)&gt;1,"⚠ duplicate product",IF(AND($B521&lt;&gt;"",COUNTIF(PM_Short,$B521)&gt;1),"⚠ short code reused","")))</f>
        <v/>
      </c>
      <c r="V521" s="5" t="n"/>
    </row>
    <row r="522">
      <c r="A522" s="8">
        <f>IF($F522="","","PRD-"&amp;TEXT(ROW()-3,"0000"))</f>
        <v/>
      </c>
      <c r="B522" s="5" t="n"/>
      <c r="C522" s="5" t="n"/>
      <c r="D522" s="5" t="n"/>
      <c r="E522" s="5" t="n"/>
      <c r="F522" s="5" t="n"/>
      <c r="G522" s="5" t="n"/>
      <c r="H522" s="5" t="n"/>
      <c r="I522" s="5" t="n"/>
      <c r="J522" s="5" t="n"/>
      <c r="K522" s="5" t="n"/>
      <c r="L522" s="5" t="n"/>
      <c r="M522" s="9" t="n"/>
      <c r="N522" s="9" t="n"/>
      <c r="O522" s="9" t="n"/>
      <c r="P522" s="9" t="n"/>
      <c r="Q522" s="9" t="n"/>
      <c r="R522" s="8">
        <f>IF($A522="","",COUNTIF(INV_Product,$A522))</f>
        <v/>
      </c>
      <c r="S522" s="8">
        <f>IF($A522="","",COUNTIFS(INV_Product,$A522,INV_Status,"Available"))</f>
        <v/>
      </c>
      <c r="T522" s="8">
        <f>IF($D522="","",IF(COUNTIFS(DD_PairCategory,$C522,DD_Subcategory,$D522)&gt;0,"ok","✗ "&amp;$D522&amp;" is not under "&amp;$C522))</f>
        <v/>
      </c>
      <c r="U522" s="8">
        <f>IF($F522="","",IF(COUNTIFS(PM_Brand,$E522,PM_Model,$F522)&gt;1,"⚠ duplicate product",IF(AND($B522&lt;&gt;"",COUNTIF(PM_Short,$B522)&gt;1),"⚠ short code reused","")))</f>
        <v/>
      </c>
      <c r="V522" s="5" t="n"/>
    </row>
    <row r="523">
      <c r="A523" s="8">
        <f>IF($F523="","","PRD-"&amp;TEXT(ROW()-3,"0000"))</f>
        <v/>
      </c>
      <c r="B523" s="5" t="n"/>
      <c r="C523" s="5" t="n"/>
      <c r="D523" s="5" t="n"/>
      <c r="E523" s="5" t="n"/>
      <c r="F523" s="5" t="n"/>
      <c r="G523" s="5" t="n"/>
      <c r="H523" s="5" t="n"/>
      <c r="I523" s="5" t="n"/>
      <c r="J523" s="5" t="n"/>
      <c r="K523" s="5" t="n"/>
      <c r="L523" s="5" t="n"/>
      <c r="M523" s="9" t="n"/>
      <c r="N523" s="9" t="n"/>
      <c r="O523" s="9" t="n"/>
      <c r="P523" s="9" t="n"/>
      <c r="Q523" s="9" t="n"/>
      <c r="R523" s="8">
        <f>IF($A523="","",COUNTIF(INV_Product,$A523))</f>
        <v/>
      </c>
      <c r="S523" s="8">
        <f>IF($A523="","",COUNTIFS(INV_Product,$A523,INV_Status,"Available"))</f>
        <v/>
      </c>
      <c r="T523" s="8">
        <f>IF($D523="","",IF(COUNTIFS(DD_PairCategory,$C523,DD_Subcategory,$D523)&gt;0,"ok","✗ "&amp;$D523&amp;" is not under "&amp;$C523))</f>
        <v/>
      </c>
      <c r="U523" s="8">
        <f>IF($F523="","",IF(COUNTIFS(PM_Brand,$E523,PM_Model,$F523)&gt;1,"⚠ duplicate product",IF(AND($B523&lt;&gt;"",COUNTIF(PM_Short,$B523)&gt;1),"⚠ short code reused","")))</f>
        <v/>
      </c>
      <c r="V523" s="5" t="n"/>
    </row>
    <row r="524">
      <c r="A524" s="8">
        <f>IF($F524="","","PRD-"&amp;TEXT(ROW()-3,"0000"))</f>
        <v/>
      </c>
      <c r="B524" s="5" t="n"/>
      <c r="C524" s="5" t="n"/>
      <c r="D524" s="5" t="n"/>
      <c r="E524" s="5" t="n"/>
      <c r="F524" s="5" t="n"/>
      <c r="G524" s="5" t="n"/>
      <c r="H524" s="5" t="n"/>
      <c r="I524" s="5" t="n"/>
      <c r="J524" s="5" t="n"/>
      <c r="K524" s="5" t="n"/>
      <c r="L524" s="5" t="n"/>
      <c r="M524" s="9" t="n"/>
      <c r="N524" s="9" t="n"/>
      <c r="O524" s="9" t="n"/>
      <c r="P524" s="9" t="n"/>
      <c r="Q524" s="9" t="n"/>
      <c r="R524" s="8">
        <f>IF($A524="","",COUNTIF(INV_Product,$A524))</f>
        <v/>
      </c>
      <c r="S524" s="8">
        <f>IF($A524="","",COUNTIFS(INV_Product,$A524,INV_Status,"Available"))</f>
        <v/>
      </c>
      <c r="T524" s="8">
        <f>IF($D524="","",IF(COUNTIFS(DD_PairCategory,$C524,DD_Subcategory,$D524)&gt;0,"ok","✗ "&amp;$D524&amp;" is not under "&amp;$C524))</f>
        <v/>
      </c>
      <c r="U524" s="8">
        <f>IF($F524="","",IF(COUNTIFS(PM_Brand,$E524,PM_Model,$F524)&gt;1,"⚠ duplicate product",IF(AND($B524&lt;&gt;"",COUNTIF(PM_Short,$B524)&gt;1),"⚠ short code reused","")))</f>
        <v/>
      </c>
      <c r="V524" s="5" t="n"/>
    </row>
    <row r="525">
      <c r="A525" s="8">
        <f>IF($F525="","","PRD-"&amp;TEXT(ROW()-3,"0000"))</f>
        <v/>
      </c>
      <c r="B525" s="5" t="n"/>
      <c r="C525" s="5" t="n"/>
      <c r="D525" s="5" t="n"/>
      <c r="E525" s="5" t="n"/>
      <c r="F525" s="5" t="n"/>
      <c r="G525" s="5" t="n"/>
      <c r="H525" s="5" t="n"/>
      <c r="I525" s="5" t="n"/>
      <c r="J525" s="5" t="n"/>
      <c r="K525" s="5" t="n"/>
      <c r="L525" s="5" t="n"/>
      <c r="M525" s="9" t="n"/>
      <c r="N525" s="9" t="n"/>
      <c r="O525" s="9" t="n"/>
      <c r="P525" s="9" t="n"/>
      <c r="Q525" s="9" t="n"/>
      <c r="R525" s="8">
        <f>IF($A525="","",COUNTIF(INV_Product,$A525))</f>
        <v/>
      </c>
      <c r="S525" s="8">
        <f>IF($A525="","",COUNTIFS(INV_Product,$A525,INV_Status,"Available"))</f>
        <v/>
      </c>
      <c r="T525" s="8">
        <f>IF($D525="","",IF(COUNTIFS(DD_PairCategory,$C525,DD_Subcategory,$D525)&gt;0,"ok","✗ "&amp;$D525&amp;" is not under "&amp;$C525))</f>
        <v/>
      </c>
      <c r="U525" s="8">
        <f>IF($F525="","",IF(COUNTIFS(PM_Brand,$E525,PM_Model,$F525)&gt;1,"⚠ duplicate product",IF(AND($B525&lt;&gt;"",COUNTIF(PM_Short,$B525)&gt;1),"⚠ short code reused","")))</f>
        <v/>
      </c>
      <c r="V525" s="5" t="n"/>
    </row>
    <row r="526">
      <c r="A526" s="8">
        <f>IF($F526="","","PRD-"&amp;TEXT(ROW()-3,"0000"))</f>
        <v/>
      </c>
      <c r="B526" s="5" t="n"/>
      <c r="C526" s="5" t="n"/>
      <c r="D526" s="5" t="n"/>
      <c r="E526" s="5" t="n"/>
      <c r="F526" s="5" t="n"/>
      <c r="G526" s="5" t="n"/>
      <c r="H526" s="5" t="n"/>
      <c r="I526" s="5" t="n"/>
      <c r="J526" s="5" t="n"/>
      <c r="K526" s="5" t="n"/>
      <c r="L526" s="5" t="n"/>
      <c r="M526" s="9" t="n"/>
      <c r="N526" s="9" t="n"/>
      <c r="O526" s="9" t="n"/>
      <c r="P526" s="9" t="n"/>
      <c r="Q526" s="9" t="n"/>
      <c r="R526" s="8">
        <f>IF($A526="","",COUNTIF(INV_Product,$A526))</f>
        <v/>
      </c>
      <c r="S526" s="8">
        <f>IF($A526="","",COUNTIFS(INV_Product,$A526,INV_Status,"Available"))</f>
        <v/>
      </c>
      <c r="T526" s="8">
        <f>IF($D526="","",IF(COUNTIFS(DD_PairCategory,$C526,DD_Subcategory,$D526)&gt;0,"ok","✗ "&amp;$D526&amp;" is not under "&amp;$C526))</f>
        <v/>
      </c>
      <c r="U526" s="8">
        <f>IF($F526="","",IF(COUNTIFS(PM_Brand,$E526,PM_Model,$F526)&gt;1,"⚠ duplicate product",IF(AND($B526&lt;&gt;"",COUNTIF(PM_Short,$B526)&gt;1),"⚠ short code reused","")))</f>
        <v/>
      </c>
      <c r="V526" s="5" t="n"/>
    </row>
    <row r="527">
      <c r="A527" s="8">
        <f>IF($F527="","","PRD-"&amp;TEXT(ROW()-3,"0000"))</f>
        <v/>
      </c>
      <c r="B527" s="5" t="n"/>
      <c r="C527" s="5" t="n"/>
      <c r="D527" s="5" t="n"/>
      <c r="E527" s="5" t="n"/>
      <c r="F527" s="5" t="n"/>
      <c r="G527" s="5" t="n"/>
      <c r="H527" s="5" t="n"/>
      <c r="I527" s="5" t="n"/>
      <c r="J527" s="5" t="n"/>
      <c r="K527" s="5" t="n"/>
      <c r="L527" s="5" t="n"/>
      <c r="M527" s="9" t="n"/>
      <c r="N527" s="9" t="n"/>
      <c r="O527" s="9" t="n"/>
      <c r="P527" s="9" t="n"/>
      <c r="Q527" s="9" t="n"/>
      <c r="R527" s="8">
        <f>IF($A527="","",COUNTIF(INV_Product,$A527))</f>
        <v/>
      </c>
      <c r="S527" s="8">
        <f>IF($A527="","",COUNTIFS(INV_Product,$A527,INV_Status,"Available"))</f>
        <v/>
      </c>
      <c r="T527" s="8">
        <f>IF($D527="","",IF(COUNTIFS(DD_PairCategory,$C527,DD_Subcategory,$D527)&gt;0,"ok","✗ "&amp;$D527&amp;" is not under "&amp;$C527))</f>
        <v/>
      </c>
      <c r="U527" s="8">
        <f>IF($F527="","",IF(COUNTIFS(PM_Brand,$E527,PM_Model,$F527)&gt;1,"⚠ duplicate product",IF(AND($B527&lt;&gt;"",COUNTIF(PM_Short,$B527)&gt;1),"⚠ short code reused","")))</f>
        <v/>
      </c>
      <c r="V527" s="5" t="n"/>
    </row>
    <row r="528">
      <c r="A528" s="8">
        <f>IF($F528="","","PRD-"&amp;TEXT(ROW()-3,"0000"))</f>
        <v/>
      </c>
      <c r="B528" s="5" t="n"/>
      <c r="C528" s="5" t="n"/>
      <c r="D528" s="5" t="n"/>
      <c r="E528" s="5" t="n"/>
      <c r="F528" s="5" t="n"/>
      <c r="G528" s="5" t="n"/>
      <c r="H528" s="5" t="n"/>
      <c r="I528" s="5" t="n"/>
      <c r="J528" s="5" t="n"/>
      <c r="K528" s="5" t="n"/>
      <c r="L528" s="5" t="n"/>
      <c r="M528" s="9" t="n"/>
      <c r="N528" s="9" t="n"/>
      <c r="O528" s="9" t="n"/>
      <c r="P528" s="9" t="n"/>
      <c r="Q528" s="9" t="n"/>
      <c r="R528" s="8">
        <f>IF($A528="","",COUNTIF(INV_Product,$A528))</f>
        <v/>
      </c>
      <c r="S528" s="8">
        <f>IF($A528="","",COUNTIFS(INV_Product,$A528,INV_Status,"Available"))</f>
        <v/>
      </c>
      <c r="T528" s="8">
        <f>IF($D528="","",IF(COUNTIFS(DD_PairCategory,$C528,DD_Subcategory,$D528)&gt;0,"ok","✗ "&amp;$D528&amp;" is not under "&amp;$C528))</f>
        <v/>
      </c>
      <c r="U528" s="8">
        <f>IF($F528="","",IF(COUNTIFS(PM_Brand,$E528,PM_Model,$F528)&gt;1,"⚠ duplicate product",IF(AND($B528&lt;&gt;"",COUNTIF(PM_Short,$B528)&gt;1),"⚠ short code reused","")))</f>
        <v/>
      </c>
      <c r="V528" s="5" t="n"/>
    </row>
    <row r="529">
      <c r="A529" s="8">
        <f>IF($F529="","","PRD-"&amp;TEXT(ROW()-3,"0000"))</f>
        <v/>
      </c>
      <c r="B529" s="5" t="n"/>
      <c r="C529" s="5" t="n"/>
      <c r="D529" s="5" t="n"/>
      <c r="E529" s="5" t="n"/>
      <c r="F529" s="5" t="n"/>
      <c r="G529" s="5" t="n"/>
      <c r="H529" s="5" t="n"/>
      <c r="I529" s="5" t="n"/>
      <c r="J529" s="5" t="n"/>
      <c r="K529" s="5" t="n"/>
      <c r="L529" s="5" t="n"/>
      <c r="M529" s="9" t="n"/>
      <c r="N529" s="9" t="n"/>
      <c r="O529" s="9" t="n"/>
      <c r="P529" s="9" t="n"/>
      <c r="Q529" s="9" t="n"/>
      <c r="R529" s="8">
        <f>IF($A529="","",COUNTIF(INV_Product,$A529))</f>
        <v/>
      </c>
      <c r="S529" s="8">
        <f>IF($A529="","",COUNTIFS(INV_Product,$A529,INV_Status,"Available"))</f>
        <v/>
      </c>
      <c r="T529" s="8">
        <f>IF($D529="","",IF(COUNTIFS(DD_PairCategory,$C529,DD_Subcategory,$D529)&gt;0,"ok","✗ "&amp;$D529&amp;" is not under "&amp;$C529))</f>
        <v/>
      </c>
      <c r="U529" s="8">
        <f>IF($F529="","",IF(COUNTIFS(PM_Brand,$E529,PM_Model,$F529)&gt;1,"⚠ duplicate product",IF(AND($B529&lt;&gt;"",COUNTIF(PM_Short,$B529)&gt;1),"⚠ short code reused","")))</f>
        <v/>
      </c>
      <c r="V529" s="5" t="n"/>
    </row>
    <row r="530">
      <c r="A530" s="8">
        <f>IF($F530="","","PRD-"&amp;TEXT(ROW()-3,"0000"))</f>
        <v/>
      </c>
      <c r="B530" s="5" t="n"/>
      <c r="C530" s="5" t="n"/>
      <c r="D530" s="5" t="n"/>
      <c r="E530" s="5" t="n"/>
      <c r="F530" s="5" t="n"/>
      <c r="G530" s="5" t="n"/>
      <c r="H530" s="5" t="n"/>
      <c r="I530" s="5" t="n"/>
      <c r="J530" s="5" t="n"/>
      <c r="K530" s="5" t="n"/>
      <c r="L530" s="5" t="n"/>
      <c r="M530" s="9" t="n"/>
      <c r="N530" s="9" t="n"/>
      <c r="O530" s="9" t="n"/>
      <c r="P530" s="9" t="n"/>
      <c r="Q530" s="9" t="n"/>
      <c r="R530" s="8">
        <f>IF($A530="","",COUNTIF(INV_Product,$A530))</f>
        <v/>
      </c>
      <c r="S530" s="8">
        <f>IF($A530="","",COUNTIFS(INV_Product,$A530,INV_Status,"Available"))</f>
        <v/>
      </c>
      <c r="T530" s="8">
        <f>IF($D530="","",IF(COUNTIFS(DD_PairCategory,$C530,DD_Subcategory,$D530)&gt;0,"ok","✗ "&amp;$D530&amp;" is not under "&amp;$C530))</f>
        <v/>
      </c>
      <c r="U530" s="8">
        <f>IF($F530="","",IF(COUNTIFS(PM_Brand,$E530,PM_Model,$F530)&gt;1,"⚠ duplicate product",IF(AND($B530&lt;&gt;"",COUNTIF(PM_Short,$B530)&gt;1),"⚠ short code reused","")))</f>
        <v/>
      </c>
      <c r="V530" s="5" t="n"/>
    </row>
    <row r="531">
      <c r="A531" s="8">
        <f>IF($F531="","","PRD-"&amp;TEXT(ROW()-3,"0000"))</f>
        <v/>
      </c>
      <c r="B531" s="5" t="n"/>
      <c r="C531" s="5" t="n"/>
      <c r="D531" s="5" t="n"/>
      <c r="E531" s="5" t="n"/>
      <c r="F531" s="5" t="n"/>
      <c r="G531" s="5" t="n"/>
      <c r="H531" s="5" t="n"/>
      <c r="I531" s="5" t="n"/>
      <c r="J531" s="5" t="n"/>
      <c r="K531" s="5" t="n"/>
      <c r="L531" s="5" t="n"/>
      <c r="M531" s="9" t="n"/>
      <c r="N531" s="9" t="n"/>
      <c r="O531" s="9" t="n"/>
      <c r="P531" s="9" t="n"/>
      <c r="Q531" s="9" t="n"/>
      <c r="R531" s="8">
        <f>IF($A531="","",COUNTIF(INV_Product,$A531))</f>
        <v/>
      </c>
      <c r="S531" s="8">
        <f>IF($A531="","",COUNTIFS(INV_Product,$A531,INV_Status,"Available"))</f>
        <v/>
      </c>
      <c r="T531" s="8">
        <f>IF($D531="","",IF(COUNTIFS(DD_PairCategory,$C531,DD_Subcategory,$D531)&gt;0,"ok","✗ "&amp;$D531&amp;" is not under "&amp;$C531))</f>
        <v/>
      </c>
      <c r="U531" s="8">
        <f>IF($F531="","",IF(COUNTIFS(PM_Brand,$E531,PM_Model,$F531)&gt;1,"⚠ duplicate product",IF(AND($B531&lt;&gt;"",COUNTIF(PM_Short,$B531)&gt;1),"⚠ short code reused","")))</f>
        <v/>
      </c>
      <c r="V531" s="5" t="n"/>
    </row>
    <row r="532">
      <c r="A532" s="8">
        <f>IF($F532="","","PRD-"&amp;TEXT(ROW()-3,"0000"))</f>
        <v/>
      </c>
      <c r="B532" s="5" t="n"/>
      <c r="C532" s="5" t="n"/>
      <c r="D532" s="5" t="n"/>
      <c r="E532" s="5" t="n"/>
      <c r="F532" s="5" t="n"/>
      <c r="G532" s="5" t="n"/>
      <c r="H532" s="5" t="n"/>
      <c r="I532" s="5" t="n"/>
      <c r="J532" s="5" t="n"/>
      <c r="K532" s="5" t="n"/>
      <c r="L532" s="5" t="n"/>
      <c r="M532" s="9" t="n"/>
      <c r="N532" s="9" t="n"/>
      <c r="O532" s="9" t="n"/>
      <c r="P532" s="9" t="n"/>
      <c r="Q532" s="9" t="n"/>
      <c r="R532" s="8">
        <f>IF($A532="","",COUNTIF(INV_Product,$A532))</f>
        <v/>
      </c>
      <c r="S532" s="8">
        <f>IF($A532="","",COUNTIFS(INV_Product,$A532,INV_Status,"Available"))</f>
        <v/>
      </c>
      <c r="T532" s="8">
        <f>IF($D532="","",IF(COUNTIFS(DD_PairCategory,$C532,DD_Subcategory,$D532)&gt;0,"ok","✗ "&amp;$D532&amp;" is not under "&amp;$C532))</f>
        <v/>
      </c>
      <c r="U532" s="8">
        <f>IF($F532="","",IF(COUNTIFS(PM_Brand,$E532,PM_Model,$F532)&gt;1,"⚠ duplicate product",IF(AND($B532&lt;&gt;"",COUNTIF(PM_Short,$B532)&gt;1),"⚠ short code reused","")))</f>
        <v/>
      </c>
      <c r="V532" s="5" t="n"/>
    </row>
    <row r="533">
      <c r="A533" s="8">
        <f>IF($F533="","","PRD-"&amp;TEXT(ROW()-3,"0000"))</f>
        <v/>
      </c>
      <c r="B533" s="5" t="n"/>
      <c r="C533" s="5" t="n"/>
      <c r="D533" s="5" t="n"/>
      <c r="E533" s="5" t="n"/>
      <c r="F533" s="5" t="n"/>
      <c r="G533" s="5" t="n"/>
      <c r="H533" s="5" t="n"/>
      <c r="I533" s="5" t="n"/>
      <c r="J533" s="5" t="n"/>
      <c r="K533" s="5" t="n"/>
      <c r="L533" s="5" t="n"/>
      <c r="M533" s="9" t="n"/>
      <c r="N533" s="9" t="n"/>
      <c r="O533" s="9" t="n"/>
      <c r="P533" s="9" t="n"/>
      <c r="Q533" s="9" t="n"/>
      <c r="R533" s="8">
        <f>IF($A533="","",COUNTIF(INV_Product,$A533))</f>
        <v/>
      </c>
      <c r="S533" s="8">
        <f>IF($A533="","",COUNTIFS(INV_Product,$A533,INV_Status,"Available"))</f>
        <v/>
      </c>
      <c r="T533" s="8">
        <f>IF($D533="","",IF(COUNTIFS(DD_PairCategory,$C533,DD_Subcategory,$D533)&gt;0,"ok","✗ "&amp;$D533&amp;" is not under "&amp;$C533))</f>
        <v/>
      </c>
      <c r="U533" s="8">
        <f>IF($F533="","",IF(COUNTIFS(PM_Brand,$E533,PM_Model,$F533)&gt;1,"⚠ duplicate product",IF(AND($B533&lt;&gt;"",COUNTIF(PM_Short,$B533)&gt;1),"⚠ short code reused","")))</f>
        <v/>
      </c>
      <c r="V533" s="5" t="n"/>
    </row>
    <row r="534">
      <c r="A534" s="8">
        <f>IF($F534="","","PRD-"&amp;TEXT(ROW()-3,"0000"))</f>
        <v/>
      </c>
      <c r="B534" s="5" t="n"/>
      <c r="C534" s="5" t="n"/>
      <c r="D534" s="5" t="n"/>
      <c r="E534" s="5" t="n"/>
      <c r="F534" s="5" t="n"/>
      <c r="G534" s="5" t="n"/>
      <c r="H534" s="5" t="n"/>
      <c r="I534" s="5" t="n"/>
      <c r="J534" s="5" t="n"/>
      <c r="K534" s="5" t="n"/>
      <c r="L534" s="5" t="n"/>
      <c r="M534" s="9" t="n"/>
      <c r="N534" s="9" t="n"/>
      <c r="O534" s="9" t="n"/>
      <c r="P534" s="9" t="n"/>
      <c r="Q534" s="9" t="n"/>
      <c r="R534" s="8">
        <f>IF($A534="","",COUNTIF(INV_Product,$A534))</f>
        <v/>
      </c>
      <c r="S534" s="8">
        <f>IF($A534="","",COUNTIFS(INV_Product,$A534,INV_Status,"Available"))</f>
        <v/>
      </c>
      <c r="T534" s="8">
        <f>IF($D534="","",IF(COUNTIFS(DD_PairCategory,$C534,DD_Subcategory,$D534)&gt;0,"ok","✗ "&amp;$D534&amp;" is not under "&amp;$C534))</f>
        <v/>
      </c>
      <c r="U534" s="8">
        <f>IF($F534="","",IF(COUNTIFS(PM_Brand,$E534,PM_Model,$F534)&gt;1,"⚠ duplicate product",IF(AND($B534&lt;&gt;"",COUNTIF(PM_Short,$B534)&gt;1),"⚠ short code reused","")))</f>
        <v/>
      </c>
      <c r="V534" s="5" t="n"/>
    </row>
    <row r="535">
      <c r="A535" s="8">
        <f>IF($F535="","","PRD-"&amp;TEXT(ROW()-3,"0000"))</f>
        <v/>
      </c>
      <c r="B535" s="5" t="n"/>
      <c r="C535" s="5" t="n"/>
      <c r="D535" s="5" t="n"/>
      <c r="E535" s="5" t="n"/>
      <c r="F535" s="5" t="n"/>
      <c r="G535" s="5" t="n"/>
      <c r="H535" s="5" t="n"/>
      <c r="I535" s="5" t="n"/>
      <c r="J535" s="5" t="n"/>
      <c r="K535" s="5" t="n"/>
      <c r="L535" s="5" t="n"/>
      <c r="M535" s="9" t="n"/>
      <c r="N535" s="9" t="n"/>
      <c r="O535" s="9" t="n"/>
      <c r="P535" s="9" t="n"/>
      <c r="Q535" s="9" t="n"/>
      <c r="R535" s="8">
        <f>IF($A535="","",COUNTIF(INV_Product,$A535))</f>
        <v/>
      </c>
      <c r="S535" s="8">
        <f>IF($A535="","",COUNTIFS(INV_Product,$A535,INV_Status,"Available"))</f>
        <v/>
      </c>
      <c r="T535" s="8">
        <f>IF($D535="","",IF(COUNTIFS(DD_PairCategory,$C535,DD_Subcategory,$D535)&gt;0,"ok","✗ "&amp;$D535&amp;" is not under "&amp;$C535))</f>
        <v/>
      </c>
      <c r="U535" s="8">
        <f>IF($F535="","",IF(COUNTIFS(PM_Brand,$E535,PM_Model,$F535)&gt;1,"⚠ duplicate product",IF(AND($B535&lt;&gt;"",COUNTIF(PM_Short,$B535)&gt;1),"⚠ short code reused","")))</f>
        <v/>
      </c>
      <c r="V535" s="5" t="n"/>
    </row>
    <row r="536">
      <c r="A536" s="8">
        <f>IF($F536="","","PRD-"&amp;TEXT(ROW()-3,"0000"))</f>
        <v/>
      </c>
      <c r="B536" s="5" t="n"/>
      <c r="C536" s="5" t="n"/>
      <c r="D536" s="5" t="n"/>
      <c r="E536" s="5" t="n"/>
      <c r="F536" s="5" t="n"/>
      <c r="G536" s="5" t="n"/>
      <c r="H536" s="5" t="n"/>
      <c r="I536" s="5" t="n"/>
      <c r="J536" s="5" t="n"/>
      <c r="K536" s="5" t="n"/>
      <c r="L536" s="5" t="n"/>
      <c r="M536" s="9" t="n"/>
      <c r="N536" s="9" t="n"/>
      <c r="O536" s="9" t="n"/>
      <c r="P536" s="9" t="n"/>
      <c r="Q536" s="9" t="n"/>
      <c r="R536" s="8">
        <f>IF($A536="","",COUNTIF(INV_Product,$A536))</f>
        <v/>
      </c>
      <c r="S536" s="8">
        <f>IF($A536="","",COUNTIFS(INV_Product,$A536,INV_Status,"Available"))</f>
        <v/>
      </c>
      <c r="T536" s="8">
        <f>IF($D536="","",IF(COUNTIFS(DD_PairCategory,$C536,DD_Subcategory,$D536)&gt;0,"ok","✗ "&amp;$D536&amp;" is not under "&amp;$C536))</f>
        <v/>
      </c>
      <c r="U536" s="8">
        <f>IF($F536="","",IF(COUNTIFS(PM_Brand,$E536,PM_Model,$F536)&gt;1,"⚠ duplicate product",IF(AND($B536&lt;&gt;"",COUNTIF(PM_Short,$B536)&gt;1),"⚠ short code reused","")))</f>
        <v/>
      </c>
      <c r="V536" s="5" t="n"/>
    </row>
    <row r="537">
      <c r="A537" s="8">
        <f>IF($F537="","","PRD-"&amp;TEXT(ROW()-3,"0000"))</f>
        <v/>
      </c>
      <c r="B537" s="5" t="n"/>
      <c r="C537" s="5" t="n"/>
      <c r="D537" s="5" t="n"/>
      <c r="E537" s="5" t="n"/>
      <c r="F537" s="5" t="n"/>
      <c r="G537" s="5" t="n"/>
      <c r="H537" s="5" t="n"/>
      <c r="I537" s="5" t="n"/>
      <c r="J537" s="5" t="n"/>
      <c r="K537" s="5" t="n"/>
      <c r="L537" s="5" t="n"/>
      <c r="M537" s="9" t="n"/>
      <c r="N537" s="9" t="n"/>
      <c r="O537" s="9" t="n"/>
      <c r="P537" s="9" t="n"/>
      <c r="Q537" s="9" t="n"/>
      <c r="R537" s="8">
        <f>IF($A537="","",COUNTIF(INV_Product,$A537))</f>
        <v/>
      </c>
      <c r="S537" s="8">
        <f>IF($A537="","",COUNTIFS(INV_Product,$A537,INV_Status,"Available"))</f>
        <v/>
      </c>
      <c r="T537" s="8">
        <f>IF($D537="","",IF(COUNTIFS(DD_PairCategory,$C537,DD_Subcategory,$D537)&gt;0,"ok","✗ "&amp;$D537&amp;" is not under "&amp;$C537))</f>
        <v/>
      </c>
      <c r="U537" s="8">
        <f>IF($F537="","",IF(COUNTIFS(PM_Brand,$E537,PM_Model,$F537)&gt;1,"⚠ duplicate product",IF(AND($B537&lt;&gt;"",COUNTIF(PM_Short,$B537)&gt;1),"⚠ short code reused","")))</f>
        <v/>
      </c>
      <c r="V537" s="5" t="n"/>
    </row>
    <row r="538">
      <c r="A538" s="8">
        <f>IF($F538="","","PRD-"&amp;TEXT(ROW()-3,"0000"))</f>
        <v/>
      </c>
      <c r="B538" s="5" t="n"/>
      <c r="C538" s="5" t="n"/>
      <c r="D538" s="5" t="n"/>
      <c r="E538" s="5" t="n"/>
      <c r="F538" s="5" t="n"/>
      <c r="G538" s="5" t="n"/>
      <c r="H538" s="5" t="n"/>
      <c r="I538" s="5" t="n"/>
      <c r="J538" s="5" t="n"/>
      <c r="K538" s="5" t="n"/>
      <c r="L538" s="5" t="n"/>
      <c r="M538" s="9" t="n"/>
      <c r="N538" s="9" t="n"/>
      <c r="O538" s="9" t="n"/>
      <c r="P538" s="9" t="n"/>
      <c r="Q538" s="9" t="n"/>
      <c r="R538" s="8">
        <f>IF($A538="","",COUNTIF(INV_Product,$A538))</f>
        <v/>
      </c>
      <c r="S538" s="8">
        <f>IF($A538="","",COUNTIFS(INV_Product,$A538,INV_Status,"Available"))</f>
        <v/>
      </c>
      <c r="T538" s="8">
        <f>IF($D538="","",IF(COUNTIFS(DD_PairCategory,$C538,DD_Subcategory,$D538)&gt;0,"ok","✗ "&amp;$D538&amp;" is not under "&amp;$C538))</f>
        <v/>
      </c>
      <c r="U538" s="8">
        <f>IF($F538="","",IF(COUNTIFS(PM_Brand,$E538,PM_Model,$F538)&gt;1,"⚠ duplicate product",IF(AND($B538&lt;&gt;"",COUNTIF(PM_Short,$B538)&gt;1),"⚠ short code reused","")))</f>
        <v/>
      </c>
      <c r="V538" s="5" t="n"/>
    </row>
    <row r="539">
      <c r="A539" s="8">
        <f>IF($F539="","","PRD-"&amp;TEXT(ROW()-3,"0000"))</f>
        <v/>
      </c>
      <c r="B539" s="5" t="n"/>
      <c r="C539" s="5" t="n"/>
      <c r="D539" s="5" t="n"/>
      <c r="E539" s="5" t="n"/>
      <c r="F539" s="5" t="n"/>
      <c r="G539" s="5" t="n"/>
      <c r="H539" s="5" t="n"/>
      <c r="I539" s="5" t="n"/>
      <c r="J539" s="5" t="n"/>
      <c r="K539" s="5" t="n"/>
      <c r="L539" s="5" t="n"/>
      <c r="M539" s="9" t="n"/>
      <c r="N539" s="9" t="n"/>
      <c r="O539" s="9" t="n"/>
      <c r="P539" s="9" t="n"/>
      <c r="Q539" s="9" t="n"/>
      <c r="R539" s="8">
        <f>IF($A539="","",COUNTIF(INV_Product,$A539))</f>
        <v/>
      </c>
      <c r="S539" s="8">
        <f>IF($A539="","",COUNTIFS(INV_Product,$A539,INV_Status,"Available"))</f>
        <v/>
      </c>
      <c r="T539" s="8">
        <f>IF($D539="","",IF(COUNTIFS(DD_PairCategory,$C539,DD_Subcategory,$D539)&gt;0,"ok","✗ "&amp;$D539&amp;" is not under "&amp;$C539))</f>
        <v/>
      </c>
      <c r="U539" s="8">
        <f>IF($F539="","",IF(COUNTIFS(PM_Brand,$E539,PM_Model,$F539)&gt;1,"⚠ duplicate product",IF(AND($B539&lt;&gt;"",COUNTIF(PM_Short,$B539)&gt;1),"⚠ short code reused","")))</f>
        <v/>
      </c>
      <c r="V539" s="5" t="n"/>
    </row>
    <row r="540">
      <c r="A540" s="8">
        <f>IF($F540="","","PRD-"&amp;TEXT(ROW()-3,"0000"))</f>
        <v/>
      </c>
      <c r="B540" s="5" t="n"/>
      <c r="C540" s="5" t="n"/>
      <c r="D540" s="5" t="n"/>
      <c r="E540" s="5" t="n"/>
      <c r="F540" s="5" t="n"/>
      <c r="G540" s="5" t="n"/>
      <c r="H540" s="5" t="n"/>
      <c r="I540" s="5" t="n"/>
      <c r="J540" s="5" t="n"/>
      <c r="K540" s="5" t="n"/>
      <c r="L540" s="5" t="n"/>
      <c r="M540" s="9" t="n"/>
      <c r="N540" s="9" t="n"/>
      <c r="O540" s="9" t="n"/>
      <c r="P540" s="9" t="n"/>
      <c r="Q540" s="9" t="n"/>
      <c r="R540" s="8">
        <f>IF($A540="","",COUNTIF(INV_Product,$A540))</f>
        <v/>
      </c>
      <c r="S540" s="8">
        <f>IF($A540="","",COUNTIFS(INV_Product,$A540,INV_Status,"Available"))</f>
        <v/>
      </c>
      <c r="T540" s="8">
        <f>IF($D540="","",IF(COUNTIFS(DD_PairCategory,$C540,DD_Subcategory,$D540)&gt;0,"ok","✗ "&amp;$D540&amp;" is not under "&amp;$C540))</f>
        <v/>
      </c>
      <c r="U540" s="8">
        <f>IF($F540="","",IF(COUNTIFS(PM_Brand,$E540,PM_Model,$F540)&gt;1,"⚠ duplicate product",IF(AND($B540&lt;&gt;"",COUNTIF(PM_Short,$B540)&gt;1),"⚠ short code reused","")))</f>
        <v/>
      </c>
      <c r="V540" s="5" t="n"/>
    </row>
    <row r="541">
      <c r="A541" s="8">
        <f>IF($F541="","","PRD-"&amp;TEXT(ROW()-3,"0000"))</f>
        <v/>
      </c>
      <c r="B541" s="5" t="n"/>
      <c r="C541" s="5" t="n"/>
      <c r="D541" s="5" t="n"/>
      <c r="E541" s="5" t="n"/>
      <c r="F541" s="5" t="n"/>
      <c r="G541" s="5" t="n"/>
      <c r="H541" s="5" t="n"/>
      <c r="I541" s="5" t="n"/>
      <c r="J541" s="5" t="n"/>
      <c r="K541" s="5" t="n"/>
      <c r="L541" s="5" t="n"/>
      <c r="M541" s="9" t="n"/>
      <c r="N541" s="9" t="n"/>
      <c r="O541" s="9" t="n"/>
      <c r="P541" s="9" t="n"/>
      <c r="Q541" s="9" t="n"/>
      <c r="R541" s="8">
        <f>IF($A541="","",COUNTIF(INV_Product,$A541))</f>
        <v/>
      </c>
      <c r="S541" s="8">
        <f>IF($A541="","",COUNTIFS(INV_Product,$A541,INV_Status,"Available"))</f>
        <v/>
      </c>
      <c r="T541" s="8">
        <f>IF($D541="","",IF(COUNTIFS(DD_PairCategory,$C541,DD_Subcategory,$D541)&gt;0,"ok","✗ "&amp;$D541&amp;" is not under "&amp;$C541))</f>
        <v/>
      </c>
      <c r="U541" s="8">
        <f>IF($F541="","",IF(COUNTIFS(PM_Brand,$E541,PM_Model,$F541)&gt;1,"⚠ duplicate product",IF(AND($B541&lt;&gt;"",COUNTIF(PM_Short,$B541)&gt;1),"⚠ short code reused","")))</f>
        <v/>
      </c>
      <c r="V541" s="5" t="n"/>
    </row>
    <row r="542">
      <c r="A542" s="8">
        <f>IF($F542="","","PRD-"&amp;TEXT(ROW()-3,"0000"))</f>
        <v/>
      </c>
      <c r="B542" s="5" t="n"/>
      <c r="C542" s="5" t="n"/>
      <c r="D542" s="5" t="n"/>
      <c r="E542" s="5" t="n"/>
      <c r="F542" s="5" t="n"/>
      <c r="G542" s="5" t="n"/>
      <c r="H542" s="5" t="n"/>
      <c r="I542" s="5" t="n"/>
      <c r="J542" s="5" t="n"/>
      <c r="K542" s="5" t="n"/>
      <c r="L542" s="5" t="n"/>
      <c r="M542" s="9" t="n"/>
      <c r="N542" s="9" t="n"/>
      <c r="O542" s="9" t="n"/>
      <c r="P542" s="9" t="n"/>
      <c r="Q542" s="9" t="n"/>
      <c r="R542" s="8">
        <f>IF($A542="","",COUNTIF(INV_Product,$A542))</f>
        <v/>
      </c>
      <c r="S542" s="8">
        <f>IF($A542="","",COUNTIFS(INV_Product,$A542,INV_Status,"Available"))</f>
        <v/>
      </c>
      <c r="T542" s="8">
        <f>IF($D542="","",IF(COUNTIFS(DD_PairCategory,$C542,DD_Subcategory,$D542)&gt;0,"ok","✗ "&amp;$D542&amp;" is not under "&amp;$C542))</f>
        <v/>
      </c>
      <c r="U542" s="8">
        <f>IF($F542="","",IF(COUNTIFS(PM_Brand,$E542,PM_Model,$F542)&gt;1,"⚠ duplicate product",IF(AND($B542&lt;&gt;"",COUNTIF(PM_Short,$B542)&gt;1),"⚠ short code reused","")))</f>
        <v/>
      </c>
      <c r="V542" s="5" t="n"/>
    </row>
    <row r="543">
      <c r="A543" s="8">
        <f>IF($F543="","","PRD-"&amp;TEXT(ROW()-3,"0000"))</f>
        <v/>
      </c>
      <c r="B543" s="5" t="n"/>
      <c r="C543" s="5" t="n"/>
      <c r="D543" s="5" t="n"/>
      <c r="E543" s="5" t="n"/>
      <c r="F543" s="5" t="n"/>
      <c r="G543" s="5" t="n"/>
      <c r="H543" s="5" t="n"/>
      <c r="I543" s="5" t="n"/>
      <c r="J543" s="5" t="n"/>
      <c r="K543" s="5" t="n"/>
      <c r="L543" s="5" t="n"/>
      <c r="M543" s="9" t="n"/>
      <c r="N543" s="9" t="n"/>
      <c r="O543" s="9" t="n"/>
      <c r="P543" s="9" t="n"/>
      <c r="Q543" s="9" t="n"/>
      <c r="R543" s="8">
        <f>IF($A543="","",COUNTIF(INV_Product,$A543))</f>
        <v/>
      </c>
      <c r="S543" s="8">
        <f>IF($A543="","",COUNTIFS(INV_Product,$A543,INV_Status,"Available"))</f>
        <v/>
      </c>
      <c r="T543" s="8">
        <f>IF($D543="","",IF(COUNTIFS(DD_PairCategory,$C543,DD_Subcategory,$D543)&gt;0,"ok","✗ "&amp;$D543&amp;" is not under "&amp;$C543))</f>
        <v/>
      </c>
      <c r="U543" s="8">
        <f>IF($F543="","",IF(COUNTIFS(PM_Brand,$E543,PM_Model,$F543)&gt;1,"⚠ duplicate product",IF(AND($B543&lt;&gt;"",COUNTIF(PM_Short,$B543)&gt;1),"⚠ short code reused","")))</f>
        <v/>
      </c>
      <c r="V543" s="5" t="n"/>
    </row>
    <row r="544">
      <c r="A544" s="8">
        <f>IF($F544="","","PRD-"&amp;TEXT(ROW()-3,"0000"))</f>
        <v/>
      </c>
      <c r="B544" s="5" t="n"/>
      <c r="C544" s="5" t="n"/>
      <c r="D544" s="5" t="n"/>
      <c r="E544" s="5" t="n"/>
      <c r="F544" s="5" t="n"/>
      <c r="G544" s="5" t="n"/>
      <c r="H544" s="5" t="n"/>
      <c r="I544" s="5" t="n"/>
      <c r="J544" s="5" t="n"/>
      <c r="K544" s="5" t="n"/>
      <c r="L544" s="5" t="n"/>
      <c r="M544" s="9" t="n"/>
      <c r="N544" s="9" t="n"/>
      <c r="O544" s="9" t="n"/>
      <c r="P544" s="9" t="n"/>
      <c r="Q544" s="9" t="n"/>
      <c r="R544" s="8">
        <f>IF($A544="","",COUNTIF(INV_Product,$A544))</f>
        <v/>
      </c>
      <c r="S544" s="8">
        <f>IF($A544="","",COUNTIFS(INV_Product,$A544,INV_Status,"Available"))</f>
        <v/>
      </c>
      <c r="T544" s="8">
        <f>IF($D544="","",IF(COUNTIFS(DD_PairCategory,$C544,DD_Subcategory,$D544)&gt;0,"ok","✗ "&amp;$D544&amp;" is not under "&amp;$C544))</f>
        <v/>
      </c>
      <c r="U544" s="8">
        <f>IF($F544="","",IF(COUNTIFS(PM_Brand,$E544,PM_Model,$F544)&gt;1,"⚠ duplicate product",IF(AND($B544&lt;&gt;"",COUNTIF(PM_Short,$B544)&gt;1),"⚠ short code reused","")))</f>
        <v/>
      </c>
      <c r="V544" s="5" t="n"/>
    </row>
    <row r="545">
      <c r="A545" s="8">
        <f>IF($F545="","","PRD-"&amp;TEXT(ROW()-3,"0000"))</f>
        <v/>
      </c>
      <c r="B545" s="5" t="n"/>
      <c r="C545" s="5" t="n"/>
      <c r="D545" s="5" t="n"/>
      <c r="E545" s="5" t="n"/>
      <c r="F545" s="5" t="n"/>
      <c r="G545" s="5" t="n"/>
      <c r="H545" s="5" t="n"/>
      <c r="I545" s="5" t="n"/>
      <c r="J545" s="5" t="n"/>
      <c r="K545" s="5" t="n"/>
      <c r="L545" s="5" t="n"/>
      <c r="M545" s="9" t="n"/>
      <c r="N545" s="9" t="n"/>
      <c r="O545" s="9" t="n"/>
      <c r="P545" s="9" t="n"/>
      <c r="Q545" s="9" t="n"/>
      <c r="R545" s="8">
        <f>IF($A545="","",COUNTIF(INV_Product,$A545))</f>
        <v/>
      </c>
      <c r="S545" s="8">
        <f>IF($A545="","",COUNTIFS(INV_Product,$A545,INV_Status,"Available"))</f>
        <v/>
      </c>
      <c r="T545" s="8">
        <f>IF($D545="","",IF(COUNTIFS(DD_PairCategory,$C545,DD_Subcategory,$D545)&gt;0,"ok","✗ "&amp;$D545&amp;" is not under "&amp;$C545))</f>
        <v/>
      </c>
      <c r="U545" s="8">
        <f>IF($F545="","",IF(COUNTIFS(PM_Brand,$E545,PM_Model,$F545)&gt;1,"⚠ duplicate product",IF(AND($B545&lt;&gt;"",COUNTIF(PM_Short,$B545)&gt;1),"⚠ short code reused","")))</f>
        <v/>
      </c>
      <c r="V545" s="5" t="n"/>
    </row>
    <row r="546">
      <c r="A546" s="8">
        <f>IF($F546="","","PRD-"&amp;TEXT(ROW()-3,"0000"))</f>
        <v/>
      </c>
      <c r="B546" s="5" t="n"/>
      <c r="C546" s="5" t="n"/>
      <c r="D546" s="5" t="n"/>
      <c r="E546" s="5" t="n"/>
      <c r="F546" s="5" t="n"/>
      <c r="G546" s="5" t="n"/>
      <c r="H546" s="5" t="n"/>
      <c r="I546" s="5" t="n"/>
      <c r="J546" s="5" t="n"/>
      <c r="K546" s="5" t="n"/>
      <c r="L546" s="5" t="n"/>
      <c r="M546" s="9" t="n"/>
      <c r="N546" s="9" t="n"/>
      <c r="O546" s="9" t="n"/>
      <c r="P546" s="9" t="n"/>
      <c r="Q546" s="9" t="n"/>
      <c r="R546" s="8">
        <f>IF($A546="","",COUNTIF(INV_Product,$A546))</f>
        <v/>
      </c>
      <c r="S546" s="8">
        <f>IF($A546="","",COUNTIFS(INV_Product,$A546,INV_Status,"Available"))</f>
        <v/>
      </c>
      <c r="T546" s="8">
        <f>IF($D546="","",IF(COUNTIFS(DD_PairCategory,$C546,DD_Subcategory,$D546)&gt;0,"ok","✗ "&amp;$D546&amp;" is not under "&amp;$C546))</f>
        <v/>
      </c>
      <c r="U546" s="8">
        <f>IF($F546="","",IF(COUNTIFS(PM_Brand,$E546,PM_Model,$F546)&gt;1,"⚠ duplicate product",IF(AND($B546&lt;&gt;"",COUNTIF(PM_Short,$B546)&gt;1),"⚠ short code reused","")))</f>
        <v/>
      </c>
      <c r="V546" s="5" t="n"/>
    </row>
    <row r="547">
      <c r="A547" s="8">
        <f>IF($F547="","","PRD-"&amp;TEXT(ROW()-3,"0000"))</f>
        <v/>
      </c>
      <c r="B547" s="5" t="n"/>
      <c r="C547" s="5" t="n"/>
      <c r="D547" s="5" t="n"/>
      <c r="E547" s="5" t="n"/>
      <c r="F547" s="5" t="n"/>
      <c r="G547" s="5" t="n"/>
      <c r="H547" s="5" t="n"/>
      <c r="I547" s="5" t="n"/>
      <c r="J547" s="5" t="n"/>
      <c r="K547" s="5" t="n"/>
      <c r="L547" s="5" t="n"/>
      <c r="M547" s="9" t="n"/>
      <c r="N547" s="9" t="n"/>
      <c r="O547" s="9" t="n"/>
      <c r="P547" s="9" t="n"/>
      <c r="Q547" s="9" t="n"/>
      <c r="R547" s="8">
        <f>IF($A547="","",COUNTIF(INV_Product,$A547))</f>
        <v/>
      </c>
      <c r="S547" s="8">
        <f>IF($A547="","",COUNTIFS(INV_Product,$A547,INV_Status,"Available"))</f>
        <v/>
      </c>
      <c r="T547" s="8">
        <f>IF($D547="","",IF(COUNTIFS(DD_PairCategory,$C547,DD_Subcategory,$D547)&gt;0,"ok","✗ "&amp;$D547&amp;" is not under "&amp;$C547))</f>
        <v/>
      </c>
      <c r="U547" s="8">
        <f>IF($F547="","",IF(COUNTIFS(PM_Brand,$E547,PM_Model,$F547)&gt;1,"⚠ duplicate product",IF(AND($B547&lt;&gt;"",COUNTIF(PM_Short,$B547)&gt;1),"⚠ short code reused","")))</f>
        <v/>
      </c>
      <c r="V547" s="5" t="n"/>
    </row>
    <row r="548">
      <c r="A548" s="8">
        <f>IF($F548="","","PRD-"&amp;TEXT(ROW()-3,"0000"))</f>
        <v/>
      </c>
      <c r="B548" s="5" t="n"/>
      <c r="C548" s="5" t="n"/>
      <c r="D548" s="5" t="n"/>
      <c r="E548" s="5" t="n"/>
      <c r="F548" s="5" t="n"/>
      <c r="G548" s="5" t="n"/>
      <c r="H548" s="5" t="n"/>
      <c r="I548" s="5" t="n"/>
      <c r="J548" s="5" t="n"/>
      <c r="K548" s="5" t="n"/>
      <c r="L548" s="5" t="n"/>
      <c r="M548" s="9" t="n"/>
      <c r="N548" s="9" t="n"/>
      <c r="O548" s="9" t="n"/>
      <c r="P548" s="9" t="n"/>
      <c r="Q548" s="9" t="n"/>
      <c r="R548" s="8">
        <f>IF($A548="","",COUNTIF(INV_Product,$A548))</f>
        <v/>
      </c>
      <c r="S548" s="8">
        <f>IF($A548="","",COUNTIFS(INV_Product,$A548,INV_Status,"Available"))</f>
        <v/>
      </c>
      <c r="T548" s="8">
        <f>IF($D548="","",IF(COUNTIFS(DD_PairCategory,$C548,DD_Subcategory,$D548)&gt;0,"ok","✗ "&amp;$D548&amp;" is not under "&amp;$C548))</f>
        <v/>
      </c>
      <c r="U548" s="8">
        <f>IF($F548="","",IF(COUNTIFS(PM_Brand,$E548,PM_Model,$F548)&gt;1,"⚠ duplicate product",IF(AND($B548&lt;&gt;"",COUNTIF(PM_Short,$B548)&gt;1),"⚠ short code reused","")))</f>
        <v/>
      </c>
      <c r="V548" s="5" t="n"/>
    </row>
    <row r="549">
      <c r="A549" s="8">
        <f>IF($F549="","","PRD-"&amp;TEXT(ROW()-3,"0000"))</f>
        <v/>
      </c>
      <c r="B549" s="5" t="n"/>
      <c r="C549" s="5" t="n"/>
      <c r="D549" s="5" t="n"/>
      <c r="E549" s="5" t="n"/>
      <c r="F549" s="5" t="n"/>
      <c r="G549" s="5" t="n"/>
      <c r="H549" s="5" t="n"/>
      <c r="I549" s="5" t="n"/>
      <c r="J549" s="5" t="n"/>
      <c r="K549" s="5" t="n"/>
      <c r="L549" s="5" t="n"/>
      <c r="M549" s="9" t="n"/>
      <c r="N549" s="9" t="n"/>
      <c r="O549" s="9" t="n"/>
      <c r="P549" s="9" t="n"/>
      <c r="Q549" s="9" t="n"/>
      <c r="R549" s="8">
        <f>IF($A549="","",COUNTIF(INV_Product,$A549))</f>
        <v/>
      </c>
      <c r="S549" s="8">
        <f>IF($A549="","",COUNTIFS(INV_Product,$A549,INV_Status,"Available"))</f>
        <v/>
      </c>
      <c r="T549" s="8">
        <f>IF($D549="","",IF(COUNTIFS(DD_PairCategory,$C549,DD_Subcategory,$D549)&gt;0,"ok","✗ "&amp;$D549&amp;" is not under "&amp;$C549))</f>
        <v/>
      </c>
      <c r="U549" s="8">
        <f>IF($F549="","",IF(COUNTIFS(PM_Brand,$E549,PM_Model,$F549)&gt;1,"⚠ duplicate product",IF(AND($B549&lt;&gt;"",COUNTIF(PM_Short,$B549)&gt;1),"⚠ short code reused","")))</f>
        <v/>
      </c>
      <c r="V549" s="5" t="n"/>
    </row>
    <row r="550">
      <c r="A550" s="8">
        <f>IF($F550="","","PRD-"&amp;TEXT(ROW()-3,"0000"))</f>
        <v/>
      </c>
      <c r="B550" s="5" t="n"/>
      <c r="C550" s="5" t="n"/>
      <c r="D550" s="5" t="n"/>
      <c r="E550" s="5" t="n"/>
      <c r="F550" s="5" t="n"/>
      <c r="G550" s="5" t="n"/>
      <c r="H550" s="5" t="n"/>
      <c r="I550" s="5" t="n"/>
      <c r="J550" s="5" t="n"/>
      <c r="K550" s="5" t="n"/>
      <c r="L550" s="5" t="n"/>
      <c r="M550" s="9" t="n"/>
      <c r="N550" s="9" t="n"/>
      <c r="O550" s="9" t="n"/>
      <c r="P550" s="9" t="n"/>
      <c r="Q550" s="9" t="n"/>
      <c r="R550" s="8">
        <f>IF($A550="","",COUNTIF(INV_Product,$A550))</f>
        <v/>
      </c>
      <c r="S550" s="8">
        <f>IF($A550="","",COUNTIFS(INV_Product,$A550,INV_Status,"Available"))</f>
        <v/>
      </c>
      <c r="T550" s="8">
        <f>IF($D550="","",IF(COUNTIFS(DD_PairCategory,$C550,DD_Subcategory,$D550)&gt;0,"ok","✗ "&amp;$D550&amp;" is not under "&amp;$C550))</f>
        <v/>
      </c>
      <c r="U550" s="8">
        <f>IF($F550="","",IF(COUNTIFS(PM_Brand,$E550,PM_Model,$F550)&gt;1,"⚠ duplicate product",IF(AND($B550&lt;&gt;"",COUNTIF(PM_Short,$B550)&gt;1),"⚠ short code reused","")))</f>
        <v/>
      </c>
      <c r="V550" s="5" t="n"/>
    </row>
    <row r="551">
      <c r="A551" s="8">
        <f>IF($F551="","","PRD-"&amp;TEXT(ROW()-3,"0000"))</f>
        <v/>
      </c>
      <c r="B551" s="5" t="n"/>
      <c r="C551" s="5" t="n"/>
      <c r="D551" s="5" t="n"/>
      <c r="E551" s="5" t="n"/>
      <c r="F551" s="5" t="n"/>
      <c r="G551" s="5" t="n"/>
      <c r="H551" s="5" t="n"/>
      <c r="I551" s="5" t="n"/>
      <c r="J551" s="5" t="n"/>
      <c r="K551" s="5" t="n"/>
      <c r="L551" s="5" t="n"/>
      <c r="M551" s="9" t="n"/>
      <c r="N551" s="9" t="n"/>
      <c r="O551" s="9" t="n"/>
      <c r="P551" s="9" t="n"/>
      <c r="Q551" s="9" t="n"/>
      <c r="R551" s="8">
        <f>IF($A551="","",COUNTIF(INV_Product,$A551))</f>
        <v/>
      </c>
      <c r="S551" s="8">
        <f>IF($A551="","",COUNTIFS(INV_Product,$A551,INV_Status,"Available"))</f>
        <v/>
      </c>
      <c r="T551" s="8">
        <f>IF($D551="","",IF(COUNTIFS(DD_PairCategory,$C551,DD_Subcategory,$D551)&gt;0,"ok","✗ "&amp;$D551&amp;" is not under "&amp;$C551))</f>
        <v/>
      </c>
      <c r="U551" s="8">
        <f>IF($F551="","",IF(COUNTIFS(PM_Brand,$E551,PM_Model,$F551)&gt;1,"⚠ duplicate product",IF(AND($B551&lt;&gt;"",COUNTIF(PM_Short,$B551)&gt;1),"⚠ short code reused","")))</f>
        <v/>
      </c>
      <c r="V551" s="5" t="n"/>
    </row>
    <row r="552">
      <c r="A552" s="8">
        <f>IF($F552="","","PRD-"&amp;TEXT(ROW()-3,"0000"))</f>
        <v/>
      </c>
      <c r="B552" s="5" t="n"/>
      <c r="C552" s="5" t="n"/>
      <c r="D552" s="5" t="n"/>
      <c r="E552" s="5" t="n"/>
      <c r="F552" s="5" t="n"/>
      <c r="G552" s="5" t="n"/>
      <c r="H552" s="5" t="n"/>
      <c r="I552" s="5" t="n"/>
      <c r="J552" s="5" t="n"/>
      <c r="K552" s="5" t="n"/>
      <c r="L552" s="5" t="n"/>
      <c r="M552" s="9" t="n"/>
      <c r="N552" s="9" t="n"/>
      <c r="O552" s="9" t="n"/>
      <c r="P552" s="9" t="n"/>
      <c r="Q552" s="9" t="n"/>
      <c r="R552" s="8">
        <f>IF($A552="","",COUNTIF(INV_Product,$A552))</f>
        <v/>
      </c>
      <c r="S552" s="8">
        <f>IF($A552="","",COUNTIFS(INV_Product,$A552,INV_Status,"Available"))</f>
        <v/>
      </c>
      <c r="T552" s="8">
        <f>IF($D552="","",IF(COUNTIFS(DD_PairCategory,$C552,DD_Subcategory,$D552)&gt;0,"ok","✗ "&amp;$D552&amp;" is not under "&amp;$C552))</f>
        <v/>
      </c>
      <c r="U552" s="8">
        <f>IF($F552="","",IF(COUNTIFS(PM_Brand,$E552,PM_Model,$F552)&gt;1,"⚠ duplicate product",IF(AND($B552&lt;&gt;"",COUNTIF(PM_Short,$B552)&gt;1),"⚠ short code reused","")))</f>
        <v/>
      </c>
      <c r="V552" s="5" t="n"/>
    </row>
    <row r="553">
      <c r="A553" s="8">
        <f>IF($F553="","","PRD-"&amp;TEXT(ROW()-3,"0000"))</f>
        <v/>
      </c>
      <c r="B553" s="5" t="n"/>
      <c r="C553" s="5" t="n"/>
      <c r="D553" s="5" t="n"/>
      <c r="E553" s="5" t="n"/>
      <c r="F553" s="5" t="n"/>
      <c r="G553" s="5" t="n"/>
      <c r="H553" s="5" t="n"/>
      <c r="I553" s="5" t="n"/>
      <c r="J553" s="5" t="n"/>
      <c r="K553" s="5" t="n"/>
      <c r="L553" s="5" t="n"/>
      <c r="M553" s="9" t="n"/>
      <c r="N553" s="9" t="n"/>
      <c r="O553" s="9" t="n"/>
      <c r="P553" s="9" t="n"/>
      <c r="Q553" s="9" t="n"/>
      <c r="R553" s="8">
        <f>IF($A553="","",COUNTIF(INV_Product,$A553))</f>
        <v/>
      </c>
      <c r="S553" s="8">
        <f>IF($A553="","",COUNTIFS(INV_Product,$A553,INV_Status,"Available"))</f>
        <v/>
      </c>
      <c r="T553" s="8">
        <f>IF($D553="","",IF(COUNTIFS(DD_PairCategory,$C553,DD_Subcategory,$D553)&gt;0,"ok","✗ "&amp;$D553&amp;" is not under "&amp;$C553))</f>
        <v/>
      </c>
      <c r="U553" s="8">
        <f>IF($F553="","",IF(COUNTIFS(PM_Brand,$E553,PM_Model,$F553)&gt;1,"⚠ duplicate product",IF(AND($B553&lt;&gt;"",COUNTIF(PM_Short,$B553)&gt;1),"⚠ short code reused","")))</f>
        <v/>
      </c>
      <c r="V553" s="5" t="n"/>
    </row>
    <row r="554">
      <c r="A554" s="8">
        <f>IF($F554="","","PRD-"&amp;TEXT(ROW()-3,"0000"))</f>
        <v/>
      </c>
      <c r="B554" s="5" t="n"/>
      <c r="C554" s="5" t="n"/>
      <c r="D554" s="5" t="n"/>
      <c r="E554" s="5" t="n"/>
      <c r="F554" s="5" t="n"/>
      <c r="G554" s="5" t="n"/>
      <c r="H554" s="5" t="n"/>
      <c r="I554" s="5" t="n"/>
      <c r="J554" s="5" t="n"/>
      <c r="K554" s="5" t="n"/>
      <c r="L554" s="5" t="n"/>
      <c r="M554" s="9" t="n"/>
      <c r="N554" s="9" t="n"/>
      <c r="O554" s="9" t="n"/>
      <c r="P554" s="9" t="n"/>
      <c r="Q554" s="9" t="n"/>
      <c r="R554" s="8">
        <f>IF($A554="","",COUNTIF(INV_Product,$A554))</f>
        <v/>
      </c>
      <c r="S554" s="8">
        <f>IF($A554="","",COUNTIFS(INV_Product,$A554,INV_Status,"Available"))</f>
        <v/>
      </c>
      <c r="T554" s="8">
        <f>IF($D554="","",IF(COUNTIFS(DD_PairCategory,$C554,DD_Subcategory,$D554)&gt;0,"ok","✗ "&amp;$D554&amp;" is not under "&amp;$C554))</f>
        <v/>
      </c>
      <c r="U554" s="8">
        <f>IF($F554="","",IF(COUNTIFS(PM_Brand,$E554,PM_Model,$F554)&gt;1,"⚠ duplicate product",IF(AND($B554&lt;&gt;"",COUNTIF(PM_Short,$B554)&gt;1),"⚠ short code reused","")))</f>
        <v/>
      </c>
      <c r="V554" s="5" t="n"/>
    </row>
    <row r="555">
      <c r="A555" s="8">
        <f>IF($F555="","","PRD-"&amp;TEXT(ROW()-3,"0000"))</f>
        <v/>
      </c>
      <c r="B555" s="5" t="n"/>
      <c r="C555" s="5" t="n"/>
      <c r="D555" s="5" t="n"/>
      <c r="E555" s="5" t="n"/>
      <c r="F555" s="5" t="n"/>
      <c r="G555" s="5" t="n"/>
      <c r="H555" s="5" t="n"/>
      <c r="I555" s="5" t="n"/>
      <c r="J555" s="5" t="n"/>
      <c r="K555" s="5" t="n"/>
      <c r="L555" s="5" t="n"/>
      <c r="M555" s="9" t="n"/>
      <c r="N555" s="9" t="n"/>
      <c r="O555" s="9" t="n"/>
      <c r="P555" s="9" t="n"/>
      <c r="Q555" s="9" t="n"/>
      <c r="R555" s="8">
        <f>IF($A555="","",COUNTIF(INV_Product,$A555))</f>
        <v/>
      </c>
      <c r="S555" s="8">
        <f>IF($A555="","",COUNTIFS(INV_Product,$A555,INV_Status,"Available"))</f>
        <v/>
      </c>
      <c r="T555" s="8">
        <f>IF($D555="","",IF(COUNTIFS(DD_PairCategory,$C555,DD_Subcategory,$D555)&gt;0,"ok","✗ "&amp;$D555&amp;" is not under "&amp;$C555))</f>
        <v/>
      </c>
      <c r="U555" s="8">
        <f>IF($F555="","",IF(COUNTIFS(PM_Brand,$E555,PM_Model,$F555)&gt;1,"⚠ duplicate product",IF(AND($B555&lt;&gt;"",COUNTIF(PM_Short,$B555)&gt;1),"⚠ short code reused","")))</f>
        <v/>
      </c>
      <c r="V555" s="5" t="n"/>
    </row>
    <row r="556">
      <c r="A556" s="8">
        <f>IF($F556="","","PRD-"&amp;TEXT(ROW()-3,"0000"))</f>
        <v/>
      </c>
      <c r="B556" s="5" t="n"/>
      <c r="C556" s="5" t="n"/>
      <c r="D556" s="5" t="n"/>
      <c r="E556" s="5" t="n"/>
      <c r="F556" s="5" t="n"/>
      <c r="G556" s="5" t="n"/>
      <c r="H556" s="5" t="n"/>
      <c r="I556" s="5" t="n"/>
      <c r="J556" s="5" t="n"/>
      <c r="K556" s="5" t="n"/>
      <c r="L556" s="5" t="n"/>
      <c r="M556" s="9" t="n"/>
      <c r="N556" s="9" t="n"/>
      <c r="O556" s="9" t="n"/>
      <c r="P556" s="9" t="n"/>
      <c r="Q556" s="9" t="n"/>
      <c r="R556" s="8">
        <f>IF($A556="","",COUNTIF(INV_Product,$A556))</f>
        <v/>
      </c>
      <c r="S556" s="8">
        <f>IF($A556="","",COUNTIFS(INV_Product,$A556,INV_Status,"Available"))</f>
        <v/>
      </c>
      <c r="T556" s="8">
        <f>IF($D556="","",IF(COUNTIFS(DD_PairCategory,$C556,DD_Subcategory,$D556)&gt;0,"ok","✗ "&amp;$D556&amp;" is not under "&amp;$C556))</f>
        <v/>
      </c>
      <c r="U556" s="8">
        <f>IF($F556="","",IF(COUNTIFS(PM_Brand,$E556,PM_Model,$F556)&gt;1,"⚠ duplicate product",IF(AND($B556&lt;&gt;"",COUNTIF(PM_Short,$B556)&gt;1),"⚠ short code reused","")))</f>
        <v/>
      </c>
      <c r="V556" s="5" t="n"/>
    </row>
    <row r="557">
      <c r="A557" s="8">
        <f>IF($F557="","","PRD-"&amp;TEXT(ROW()-3,"0000"))</f>
        <v/>
      </c>
      <c r="B557" s="5" t="n"/>
      <c r="C557" s="5" t="n"/>
      <c r="D557" s="5" t="n"/>
      <c r="E557" s="5" t="n"/>
      <c r="F557" s="5" t="n"/>
      <c r="G557" s="5" t="n"/>
      <c r="H557" s="5" t="n"/>
      <c r="I557" s="5" t="n"/>
      <c r="J557" s="5" t="n"/>
      <c r="K557" s="5" t="n"/>
      <c r="L557" s="5" t="n"/>
      <c r="M557" s="9" t="n"/>
      <c r="N557" s="9" t="n"/>
      <c r="O557" s="9" t="n"/>
      <c r="P557" s="9" t="n"/>
      <c r="Q557" s="9" t="n"/>
      <c r="R557" s="8">
        <f>IF($A557="","",COUNTIF(INV_Product,$A557))</f>
        <v/>
      </c>
      <c r="S557" s="8">
        <f>IF($A557="","",COUNTIFS(INV_Product,$A557,INV_Status,"Available"))</f>
        <v/>
      </c>
      <c r="T557" s="8">
        <f>IF($D557="","",IF(COUNTIFS(DD_PairCategory,$C557,DD_Subcategory,$D557)&gt;0,"ok","✗ "&amp;$D557&amp;" is not under "&amp;$C557))</f>
        <v/>
      </c>
      <c r="U557" s="8">
        <f>IF($F557="","",IF(COUNTIFS(PM_Brand,$E557,PM_Model,$F557)&gt;1,"⚠ duplicate product",IF(AND($B557&lt;&gt;"",COUNTIF(PM_Short,$B557)&gt;1),"⚠ short code reused","")))</f>
        <v/>
      </c>
      <c r="V557" s="5" t="n"/>
    </row>
    <row r="558">
      <c r="A558" s="8">
        <f>IF($F558="","","PRD-"&amp;TEXT(ROW()-3,"0000"))</f>
        <v/>
      </c>
      <c r="B558" s="5" t="n"/>
      <c r="C558" s="5" t="n"/>
      <c r="D558" s="5" t="n"/>
      <c r="E558" s="5" t="n"/>
      <c r="F558" s="5" t="n"/>
      <c r="G558" s="5" t="n"/>
      <c r="H558" s="5" t="n"/>
      <c r="I558" s="5" t="n"/>
      <c r="J558" s="5" t="n"/>
      <c r="K558" s="5" t="n"/>
      <c r="L558" s="5" t="n"/>
      <c r="M558" s="9" t="n"/>
      <c r="N558" s="9" t="n"/>
      <c r="O558" s="9" t="n"/>
      <c r="P558" s="9" t="n"/>
      <c r="Q558" s="9" t="n"/>
      <c r="R558" s="8">
        <f>IF($A558="","",COUNTIF(INV_Product,$A558))</f>
        <v/>
      </c>
      <c r="S558" s="8">
        <f>IF($A558="","",COUNTIFS(INV_Product,$A558,INV_Status,"Available"))</f>
        <v/>
      </c>
      <c r="T558" s="8">
        <f>IF($D558="","",IF(COUNTIFS(DD_PairCategory,$C558,DD_Subcategory,$D558)&gt;0,"ok","✗ "&amp;$D558&amp;" is not under "&amp;$C558))</f>
        <v/>
      </c>
      <c r="U558" s="8">
        <f>IF($F558="","",IF(COUNTIFS(PM_Brand,$E558,PM_Model,$F558)&gt;1,"⚠ duplicate product",IF(AND($B558&lt;&gt;"",COUNTIF(PM_Short,$B558)&gt;1),"⚠ short code reused","")))</f>
        <v/>
      </c>
      <c r="V558" s="5" t="n"/>
    </row>
    <row r="559">
      <c r="A559" s="8">
        <f>IF($F559="","","PRD-"&amp;TEXT(ROW()-3,"0000"))</f>
        <v/>
      </c>
      <c r="B559" s="5" t="n"/>
      <c r="C559" s="5" t="n"/>
      <c r="D559" s="5" t="n"/>
      <c r="E559" s="5" t="n"/>
      <c r="F559" s="5" t="n"/>
      <c r="G559" s="5" t="n"/>
      <c r="H559" s="5" t="n"/>
      <c r="I559" s="5" t="n"/>
      <c r="J559" s="5" t="n"/>
      <c r="K559" s="5" t="n"/>
      <c r="L559" s="5" t="n"/>
      <c r="M559" s="9" t="n"/>
      <c r="N559" s="9" t="n"/>
      <c r="O559" s="9" t="n"/>
      <c r="P559" s="9" t="n"/>
      <c r="Q559" s="9" t="n"/>
      <c r="R559" s="8">
        <f>IF($A559="","",COUNTIF(INV_Product,$A559))</f>
        <v/>
      </c>
      <c r="S559" s="8">
        <f>IF($A559="","",COUNTIFS(INV_Product,$A559,INV_Status,"Available"))</f>
        <v/>
      </c>
      <c r="T559" s="8">
        <f>IF($D559="","",IF(COUNTIFS(DD_PairCategory,$C559,DD_Subcategory,$D559)&gt;0,"ok","✗ "&amp;$D559&amp;" is not under "&amp;$C559))</f>
        <v/>
      </c>
      <c r="U559" s="8">
        <f>IF($F559="","",IF(COUNTIFS(PM_Brand,$E559,PM_Model,$F559)&gt;1,"⚠ duplicate product",IF(AND($B559&lt;&gt;"",COUNTIF(PM_Short,$B559)&gt;1),"⚠ short code reused","")))</f>
        <v/>
      </c>
      <c r="V559" s="5" t="n"/>
    </row>
    <row r="560">
      <c r="A560" s="8">
        <f>IF($F560="","","PRD-"&amp;TEXT(ROW()-3,"0000"))</f>
        <v/>
      </c>
      <c r="B560" s="5" t="n"/>
      <c r="C560" s="5" t="n"/>
      <c r="D560" s="5" t="n"/>
      <c r="E560" s="5" t="n"/>
      <c r="F560" s="5" t="n"/>
      <c r="G560" s="5" t="n"/>
      <c r="H560" s="5" t="n"/>
      <c r="I560" s="5" t="n"/>
      <c r="J560" s="5" t="n"/>
      <c r="K560" s="5" t="n"/>
      <c r="L560" s="5" t="n"/>
      <c r="M560" s="9" t="n"/>
      <c r="N560" s="9" t="n"/>
      <c r="O560" s="9" t="n"/>
      <c r="P560" s="9" t="n"/>
      <c r="Q560" s="9" t="n"/>
      <c r="R560" s="8">
        <f>IF($A560="","",COUNTIF(INV_Product,$A560))</f>
        <v/>
      </c>
      <c r="S560" s="8">
        <f>IF($A560="","",COUNTIFS(INV_Product,$A560,INV_Status,"Available"))</f>
        <v/>
      </c>
      <c r="T560" s="8">
        <f>IF($D560="","",IF(COUNTIFS(DD_PairCategory,$C560,DD_Subcategory,$D560)&gt;0,"ok","✗ "&amp;$D560&amp;" is not under "&amp;$C560))</f>
        <v/>
      </c>
      <c r="U560" s="8">
        <f>IF($F560="","",IF(COUNTIFS(PM_Brand,$E560,PM_Model,$F560)&gt;1,"⚠ duplicate product",IF(AND($B560&lt;&gt;"",COUNTIF(PM_Short,$B560)&gt;1),"⚠ short code reused","")))</f>
        <v/>
      </c>
      <c r="V560" s="5" t="n"/>
    </row>
    <row r="561">
      <c r="A561" s="8">
        <f>IF($F561="","","PRD-"&amp;TEXT(ROW()-3,"0000"))</f>
        <v/>
      </c>
      <c r="B561" s="5" t="n"/>
      <c r="C561" s="5" t="n"/>
      <c r="D561" s="5" t="n"/>
      <c r="E561" s="5" t="n"/>
      <c r="F561" s="5" t="n"/>
      <c r="G561" s="5" t="n"/>
      <c r="H561" s="5" t="n"/>
      <c r="I561" s="5" t="n"/>
      <c r="J561" s="5" t="n"/>
      <c r="K561" s="5" t="n"/>
      <c r="L561" s="5" t="n"/>
      <c r="M561" s="9" t="n"/>
      <c r="N561" s="9" t="n"/>
      <c r="O561" s="9" t="n"/>
      <c r="P561" s="9" t="n"/>
      <c r="Q561" s="9" t="n"/>
      <c r="R561" s="8">
        <f>IF($A561="","",COUNTIF(INV_Product,$A561))</f>
        <v/>
      </c>
      <c r="S561" s="8">
        <f>IF($A561="","",COUNTIFS(INV_Product,$A561,INV_Status,"Available"))</f>
        <v/>
      </c>
      <c r="T561" s="8">
        <f>IF($D561="","",IF(COUNTIFS(DD_PairCategory,$C561,DD_Subcategory,$D561)&gt;0,"ok","✗ "&amp;$D561&amp;" is not under "&amp;$C561))</f>
        <v/>
      </c>
      <c r="U561" s="8">
        <f>IF($F561="","",IF(COUNTIFS(PM_Brand,$E561,PM_Model,$F561)&gt;1,"⚠ duplicate product",IF(AND($B561&lt;&gt;"",COUNTIF(PM_Short,$B561)&gt;1),"⚠ short code reused","")))</f>
        <v/>
      </c>
      <c r="V561" s="5" t="n"/>
    </row>
    <row r="562">
      <c r="A562" s="8">
        <f>IF($F562="","","PRD-"&amp;TEXT(ROW()-3,"0000"))</f>
        <v/>
      </c>
      <c r="B562" s="5" t="n"/>
      <c r="C562" s="5" t="n"/>
      <c r="D562" s="5" t="n"/>
      <c r="E562" s="5" t="n"/>
      <c r="F562" s="5" t="n"/>
      <c r="G562" s="5" t="n"/>
      <c r="H562" s="5" t="n"/>
      <c r="I562" s="5" t="n"/>
      <c r="J562" s="5" t="n"/>
      <c r="K562" s="5" t="n"/>
      <c r="L562" s="5" t="n"/>
      <c r="M562" s="9" t="n"/>
      <c r="N562" s="9" t="n"/>
      <c r="O562" s="9" t="n"/>
      <c r="P562" s="9" t="n"/>
      <c r="Q562" s="9" t="n"/>
      <c r="R562" s="8">
        <f>IF($A562="","",COUNTIF(INV_Product,$A562))</f>
        <v/>
      </c>
      <c r="S562" s="8">
        <f>IF($A562="","",COUNTIFS(INV_Product,$A562,INV_Status,"Available"))</f>
        <v/>
      </c>
      <c r="T562" s="8">
        <f>IF($D562="","",IF(COUNTIFS(DD_PairCategory,$C562,DD_Subcategory,$D562)&gt;0,"ok","✗ "&amp;$D562&amp;" is not under "&amp;$C562))</f>
        <v/>
      </c>
      <c r="U562" s="8">
        <f>IF($F562="","",IF(COUNTIFS(PM_Brand,$E562,PM_Model,$F562)&gt;1,"⚠ duplicate product",IF(AND($B562&lt;&gt;"",COUNTIF(PM_Short,$B562)&gt;1),"⚠ short code reused","")))</f>
        <v/>
      </c>
      <c r="V562" s="5" t="n"/>
    </row>
    <row r="563">
      <c r="A563" s="8">
        <f>IF($F563="","","PRD-"&amp;TEXT(ROW()-3,"0000"))</f>
        <v/>
      </c>
      <c r="B563" s="5" t="n"/>
      <c r="C563" s="5" t="n"/>
      <c r="D563" s="5" t="n"/>
      <c r="E563" s="5" t="n"/>
      <c r="F563" s="5" t="n"/>
      <c r="G563" s="5" t="n"/>
      <c r="H563" s="5" t="n"/>
      <c r="I563" s="5" t="n"/>
      <c r="J563" s="5" t="n"/>
      <c r="K563" s="5" t="n"/>
      <c r="L563" s="5" t="n"/>
      <c r="M563" s="9" t="n"/>
      <c r="N563" s="9" t="n"/>
      <c r="O563" s="9" t="n"/>
      <c r="P563" s="9" t="n"/>
      <c r="Q563" s="9" t="n"/>
      <c r="R563" s="8">
        <f>IF($A563="","",COUNTIF(INV_Product,$A563))</f>
        <v/>
      </c>
      <c r="S563" s="8">
        <f>IF($A563="","",COUNTIFS(INV_Product,$A563,INV_Status,"Available"))</f>
        <v/>
      </c>
      <c r="T563" s="8">
        <f>IF($D563="","",IF(COUNTIFS(DD_PairCategory,$C563,DD_Subcategory,$D563)&gt;0,"ok","✗ "&amp;$D563&amp;" is not under "&amp;$C563))</f>
        <v/>
      </c>
      <c r="U563" s="8">
        <f>IF($F563="","",IF(COUNTIFS(PM_Brand,$E563,PM_Model,$F563)&gt;1,"⚠ duplicate product",IF(AND($B563&lt;&gt;"",COUNTIF(PM_Short,$B563)&gt;1),"⚠ short code reused","")))</f>
        <v/>
      </c>
      <c r="V563" s="5" t="n"/>
    </row>
    <row r="564">
      <c r="A564" s="8">
        <f>IF($F564="","","PRD-"&amp;TEXT(ROW()-3,"0000"))</f>
        <v/>
      </c>
      <c r="B564" s="5" t="n"/>
      <c r="C564" s="5" t="n"/>
      <c r="D564" s="5" t="n"/>
      <c r="E564" s="5" t="n"/>
      <c r="F564" s="5" t="n"/>
      <c r="G564" s="5" t="n"/>
      <c r="H564" s="5" t="n"/>
      <c r="I564" s="5" t="n"/>
      <c r="J564" s="5" t="n"/>
      <c r="K564" s="5" t="n"/>
      <c r="L564" s="5" t="n"/>
      <c r="M564" s="9" t="n"/>
      <c r="N564" s="9" t="n"/>
      <c r="O564" s="9" t="n"/>
      <c r="P564" s="9" t="n"/>
      <c r="Q564" s="9" t="n"/>
      <c r="R564" s="8">
        <f>IF($A564="","",COUNTIF(INV_Product,$A564))</f>
        <v/>
      </c>
      <c r="S564" s="8">
        <f>IF($A564="","",COUNTIFS(INV_Product,$A564,INV_Status,"Available"))</f>
        <v/>
      </c>
      <c r="T564" s="8">
        <f>IF($D564="","",IF(COUNTIFS(DD_PairCategory,$C564,DD_Subcategory,$D564)&gt;0,"ok","✗ "&amp;$D564&amp;" is not under "&amp;$C564))</f>
        <v/>
      </c>
      <c r="U564" s="8">
        <f>IF($F564="","",IF(COUNTIFS(PM_Brand,$E564,PM_Model,$F564)&gt;1,"⚠ duplicate product",IF(AND($B564&lt;&gt;"",COUNTIF(PM_Short,$B564)&gt;1),"⚠ short code reused","")))</f>
        <v/>
      </c>
      <c r="V564" s="5" t="n"/>
    </row>
    <row r="565">
      <c r="A565" s="8">
        <f>IF($F565="","","PRD-"&amp;TEXT(ROW()-3,"0000"))</f>
        <v/>
      </c>
      <c r="B565" s="5" t="n"/>
      <c r="C565" s="5" t="n"/>
      <c r="D565" s="5" t="n"/>
      <c r="E565" s="5" t="n"/>
      <c r="F565" s="5" t="n"/>
      <c r="G565" s="5" t="n"/>
      <c r="H565" s="5" t="n"/>
      <c r="I565" s="5" t="n"/>
      <c r="J565" s="5" t="n"/>
      <c r="K565" s="5" t="n"/>
      <c r="L565" s="5" t="n"/>
      <c r="M565" s="9" t="n"/>
      <c r="N565" s="9" t="n"/>
      <c r="O565" s="9" t="n"/>
      <c r="P565" s="9" t="n"/>
      <c r="Q565" s="9" t="n"/>
      <c r="R565" s="8">
        <f>IF($A565="","",COUNTIF(INV_Product,$A565))</f>
        <v/>
      </c>
      <c r="S565" s="8">
        <f>IF($A565="","",COUNTIFS(INV_Product,$A565,INV_Status,"Available"))</f>
        <v/>
      </c>
      <c r="T565" s="8">
        <f>IF($D565="","",IF(COUNTIFS(DD_PairCategory,$C565,DD_Subcategory,$D565)&gt;0,"ok","✗ "&amp;$D565&amp;" is not under "&amp;$C565))</f>
        <v/>
      </c>
      <c r="U565" s="8">
        <f>IF($F565="","",IF(COUNTIFS(PM_Brand,$E565,PM_Model,$F565)&gt;1,"⚠ duplicate product",IF(AND($B565&lt;&gt;"",COUNTIF(PM_Short,$B565)&gt;1),"⚠ short code reused","")))</f>
        <v/>
      </c>
      <c r="V565" s="5" t="n"/>
    </row>
    <row r="566">
      <c r="A566" s="8">
        <f>IF($F566="","","PRD-"&amp;TEXT(ROW()-3,"0000"))</f>
        <v/>
      </c>
      <c r="B566" s="5" t="n"/>
      <c r="C566" s="5" t="n"/>
      <c r="D566" s="5" t="n"/>
      <c r="E566" s="5" t="n"/>
      <c r="F566" s="5" t="n"/>
      <c r="G566" s="5" t="n"/>
      <c r="H566" s="5" t="n"/>
      <c r="I566" s="5" t="n"/>
      <c r="J566" s="5" t="n"/>
      <c r="K566" s="5" t="n"/>
      <c r="L566" s="5" t="n"/>
      <c r="M566" s="9" t="n"/>
      <c r="N566" s="9" t="n"/>
      <c r="O566" s="9" t="n"/>
      <c r="P566" s="9" t="n"/>
      <c r="Q566" s="9" t="n"/>
      <c r="R566" s="8">
        <f>IF($A566="","",COUNTIF(INV_Product,$A566))</f>
        <v/>
      </c>
      <c r="S566" s="8">
        <f>IF($A566="","",COUNTIFS(INV_Product,$A566,INV_Status,"Available"))</f>
        <v/>
      </c>
      <c r="T566" s="8">
        <f>IF($D566="","",IF(COUNTIFS(DD_PairCategory,$C566,DD_Subcategory,$D566)&gt;0,"ok","✗ "&amp;$D566&amp;" is not under "&amp;$C566))</f>
        <v/>
      </c>
      <c r="U566" s="8">
        <f>IF($F566="","",IF(COUNTIFS(PM_Brand,$E566,PM_Model,$F566)&gt;1,"⚠ duplicate product",IF(AND($B566&lt;&gt;"",COUNTIF(PM_Short,$B566)&gt;1),"⚠ short code reused","")))</f>
        <v/>
      </c>
      <c r="V566" s="5" t="n"/>
    </row>
    <row r="567">
      <c r="A567" s="8">
        <f>IF($F567="","","PRD-"&amp;TEXT(ROW()-3,"0000"))</f>
        <v/>
      </c>
      <c r="B567" s="5" t="n"/>
      <c r="C567" s="5" t="n"/>
      <c r="D567" s="5" t="n"/>
      <c r="E567" s="5" t="n"/>
      <c r="F567" s="5" t="n"/>
      <c r="G567" s="5" t="n"/>
      <c r="H567" s="5" t="n"/>
      <c r="I567" s="5" t="n"/>
      <c r="J567" s="5" t="n"/>
      <c r="K567" s="5" t="n"/>
      <c r="L567" s="5" t="n"/>
      <c r="M567" s="9" t="n"/>
      <c r="N567" s="9" t="n"/>
      <c r="O567" s="9" t="n"/>
      <c r="P567" s="9" t="n"/>
      <c r="Q567" s="9" t="n"/>
      <c r="R567" s="8">
        <f>IF($A567="","",COUNTIF(INV_Product,$A567))</f>
        <v/>
      </c>
      <c r="S567" s="8">
        <f>IF($A567="","",COUNTIFS(INV_Product,$A567,INV_Status,"Available"))</f>
        <v/>
      </c>
      <c r="T567" s="8">
        <f>IF($D567="","",IF(COUNTIFS(DD_PairCategory,$C567,DD_Subcategory,$D567)&gt;0,"ok","✗ "&amp;$D567&amp;" is not under "&amp;$C567))</f>
        <v/>
      </c>
      <c r="U567" s="8">
        <f>IF($F567="","",IF(COUNTIFS(PM_Brand,$E567,PM_Model,$F567)&gt;1,"⚠ duplicate product",IF(AND($B567&lt;&gt;"",COUNTIF(PM_Short,$B567)&gt;1),"⚠ short code reused","")))</f>
        <v/>
      </c>
      <c r="V567" s="5" t="n"/>
    </row>
    <row r="568">
      <c r="A568" s="8">
        <f>IF($F568="","","PRD-"&amp;TEXT(ROW()-3,"0000"))</f>
        <v/>
      </c>
      <c r="B568" s="5" t="n"/>
      <c r="C568" s="5" t="n"/>
      <c r="D568" s="5" t="n"/>
      <c r="E568" s="5" t="n"/>
      <c r="F568" s="5" t="n"/>
      <c r="G568" s="5" t="n"/>
      <c r="H568" s="5" t="n"/>
      <c r="I568" s="5" t="n"/>
      <c r="J568" s="5" t="n"/>
      <c r="K568" s="5" t="n"/>
      <c r="L568" s="5" t="n"/>
      <c r="M568" s="9" t="n"/>
      <c r="N568" s="9" t="n"/>
      <c r="O568" s="9" t="n"/>
      <c r="P568" s="9" t="n"/>
      <c r="Q568" s="9" t="n"/>
      <c r="R568" s="8">
        <f>IF($A568="","",COUNTIF(INV_Product,$A568))</f>
        <v/>
      </c>
      <c r="S568" s="8">
        <f>IF($A568="","",COUNTIFS(INV_Product,$A568,INV_Status,"Available"))</f>
        <v/>
      </c>
      <c r="T568" s="8">
        <f>IF($D568="","",IF(COUNTIFS(DD_PairCategory,$C568,DD_Subcategory,$D568)&gt;0,"ok","✗ "&amp;$D568&amp;" is not under "&amp;$C568))</f>
        <v/>
      </c>
      <c r="U568" s="8">
        <f>IF($F568="","",IF(COUNTIFS(PM_Brand,$E568,PM_Model,$F568)&gt;1,"⚠ duplicate product",IF(AND($B568&lt;&gt;"",COUNTIF(PM_Short,$B568)&gt;1),"⚠ short code reused","")))</f>
        <v/>
      </c>
      <c r="V568" s="5" t="n"/>
    </row>
    <row r="569">
      <c r="A569" s="8">
        <f>IF($F569="","","PRD-"&amp;TEXT(ROW()-3,"0000"))</f>
        <v/>
      </c>
      <c r="B569" s="5" t="n"/>
      <c r="C569" s="5" t="n"/>
      <c r="D569" s="5" t="n"/>
      <c r="E569" s="5" t="n"/>
      <c r="F569" s="5" t="n"/>
      <c r="G569" s="5" t="n"/>
      <c r="H569" s="5" t="n"/>
      <c r="I569" s="5" t="n"/>
      <c r="J569" s="5" t="n"/>
      <c r="K569" s="5" t="n"/>
      <c r="L569" s="5" t="n"/>
      <c r="M569" s="9" t="n"/>
      <c r="N569" s="9" t="n"/>
      <c r="O569" s="9" t="n"/>
      <c r="P569" s="9" t="n"/>
      <c r="Q569" s="9" t="n"/>
      <c r="R569" s="8">
        <f>IF($A569="","",COUNTIF(INV_Product,$A569))</f>
        <v/>
      </c>
      <c r="S569" s="8">
        <f>IF($A569="","",COUNTIFS(INV_Product,$A569,INV_Status,"Available"))</f>
        <v/>
      </c>
      <c r="T569" s="8">
        <f>IF($D569="","",IF(COUNTIFS(DD_PairCategory,$C569,DD_Subcategory,$D569)&gt;0,"ok","✗ "&amp;$D569&amp;" is not under "&amp;$C569))</f>
        <v/>
      </c>
      <c r="U569" s="8">
        <f>IF($F569="","",IF(COUNTIFS(PM_Brand,$E569,PM_Model,$F569)&gt;1,"⚠ duplicate product",IF(AND($B569&lt;&gt;"",COUNTIF(PM_Short,$B569)&gt;1),"⚠ short code reused","")))</f>
        <v/>
      </c>
      <c r="V569" s="5" t="n"/>
    </row>
    <row r="570">
      <c r="A570" s="8">
        <f>IF($F570="","","PRD-"&amp;TEXT(ROW()-3,"0000"))</f>
        <v/>
      </c>
      <c r="B570" s="5" t="n"/>
      <c r="C570" s="5" t="n"/>
      <c r="D570" s="5" t="n"/>
      <c r="E570" s="5" t="n"/>
      <c r="F570" s="5" t="n"/>
      <c r="G570" s="5" t="n"/>
      <c r="H570" s="5" t="n"/>
      <c r="I570" s="5" t="n"/>
      <c r="J570" s="5" t="n"/>
      <c r="K570" s="5" t="n"/>
      <c r="L570" s="5" t="n"/>
      <c r="M570" s="9" t="n"/>
      <c r="N570" s="9" t="n"/>
      <c r="O570" s="9" t="n"/>
      <c r="P570" s="9" t="n"/>
      <c r="Q570" s="9" t="n"/>
      <c r="R570" s="8">
        <f>IF($A570="","",COUNTIF(INV_Product,$A570))</f>
        <v/>
      </c>
      <c r="S570" s="8">
        <f>IF($A570="","",COUNTIFS(INV_Product,$A570,INV_Status,"Available"))</f>
        <v/>
      </c>
      <c r="T570" s="8">
        <f>IF($D570="","",IF(COUNTIFS(DD_PairCategory,$C570,DD_Subcategory,$D570)&gt;0,"ok","✗ "&amp;$D570&amp;" is not under "&amp;$C570))</f>
        <v/>
      </c>
      <c r="U570" s="8">
        <f>IF($F570="","",IF(COUNTIFS(PM_Brand,$E570,PM_Model,$F570)&gt;1,"⚠ duplicate product",IF(AND($B570&lt;&gt;"",COUNTIF(PM_Short,$B570)&gt;1),"⚠ short code reused","")))</f>
        <v/>
      </c>
      <c r="V570" s="5" t="n"/>
    </row>
    <row r="571">
      <c r="A571" s="8">
        <f>IF($F571="","","PRD-"&amp;TEXT(ROW()-3,"0000"))</f>
        <v/>
      </c>
      <c r="B571" s="5" t="n"/>
      <c r="C571" s="5" t="n"/>
      <c r="D571" s="5" t="n"/>
      <c r="E571" s="5" t="n"/>
      <c r="F571" s="5" t="n"/>
      <c r="G571" s="5" t="n"/>
      <c r="H571" s="5" t="n"/>
      <c r="I571" s="5" t="n"/>
      <c r="J571" s="5" t="n"/>
      <c r="K571" s="5" t="n"/>
      <c r="L571" s="5" t="n"/>
      <c r="M571" s="9" t="n"/>
      <c r="N571" s="9" t="n"/>
      <c r="O571" s="9" t="n"/>
      <c r="P571" s="9" t="n"/>
      <c r="Q571" s="9" t="n"/>
      <c r="R571" s="8">
        <f>IF($A571="","",COUNTIF(INV_Product,$A571))</f>
        <v/>
      </c>
      <c r="S571" s="8">
        <f>IF($A571="","",COUNTIFS(INV_Product,$A571,INV_Status,"Available"))</f>
        <v/>
      </c>
      <c r="T571" s="8">
        <f>IF($D571="","",IF(COUNTIFS(DD_PairCategory,$C571,DD_Subcategory,$D571)&gt;0,"ok","✗ "&amp;$D571&amp;" is not under "&amp;$C571))</f>
        <v/>
      </c>
      <c r="U571" s="8">
        <f>IF($F571="","",IF(COUNTIFS(PM_Brand,$E571,PM_Model,$F571)&gt;1,"⚠ duplicate product",IF(AND($B571&lt;&gt;"",COUNTIF(PM_Short,$B571)&gt;1),"⚠ short code reused","")))</f>
        <v/>
      </c>
      <c r="V571" s="5" t="n"/>
    </row>
    <row r="572">
      <c r="A572" s="8">
        <f>IF($F572="","","PRD-"&amp;TEXT(ROW()-3,"0000"))</f>
        <v/>
      </c>
      <c r="B572" s="5" t="n"/>
      <c r="C572" s="5" t="n"/>
      <c r="D572" s="5" t="n"/>
      <c r="E572" s="5" t="n"/>
      <c r="F572" s="5" t="n"/>
      <c r="G572" s="5" t="n"/>
      <c r="H572" s="5" t="n"/>
      <c r="I572" s="5" t="n"/>
      <c r="J572" s="5" t="n"/>
      <c r="K572" s="5" t="n"/>
      <c r="L572" s="5" t="n"/>
      <c r="M572" s="9" t="n"/>
      <c r="N572" s="9" t="n"/>
      <c r="O572" s="9" t="n"/>
      <c r="P572" s="9" t="n"/>
      <c r="Q572" s="9" t="n"/>
      <c r="R572" s="8">
        <f>IF($A572="","",COUNTIF(INV_Product,$A572))</f>
        <v/>
      </c>
      <c r="S572" s="8">
        <f>IF($A572="","",COUNTIFS(INV_Product,$A572,INV_Status,"Available"))</f>
        <v/>
      </c>
      <c r="T572" s="8">
        <f>IF($D572="","",IF(COUNTIFS(DD_PairCategory,$C572,DD_Subcategory,$D572)&gt;0,"ok","✗ "&amp;$D572&amp;" is not under "&amp;$C572))</f>
        <v/>
      </c>
      <c r="U572" s="8">
        <f>IF($F572="","",IF(COUNTIFS(PM_Brand,$E572,PM_Model,$F572)&gt;1,"⚠ duplicate product",IF(AND($B572&lt;&gt;"",COUNTIF(PM_Short,$B572)&gt;1),"⚠ short code reused","")))</f>
        <v/>
      </c>
      <c r="V572" s="5" t="n"/>
    </row>
    <row r="573">
      <c r="A573" s="8">
        <f>IF($F573="","","PRD-"&amp;TEXT(ROW()-3,"0000"))</f>
        <v/>
      </c>
      <c r="B573" s="5" t="n"/>
      <c r="C573" s="5" t="n"/>
      <c r="D573" s="5" t="n"/>
      <c r="E573" s="5" t="n"/>
      <c r="F573" s="5" t="n"/>
      <c r="G573" s="5" t="n"/>
      <c r="H573" s="5" t="n"/>
      <c r="I573" s="5" t="n"/>
      <c r="J573" s="5" t="n"/>
      <c r="K573" s="5" t="n"/>
      <c r="L573" s="5" t="n"/>
      <c r="M573" s="9" t="n"/>
      <c r="N573" s="9" t="n"/>
      <c r="O573" s="9" t="n"/>
      <c r="P573" s="9" t="n"/>
      <c r="Q573" s="9" t="n"/>
      <c r="R573" s="8">
        <f>IF($A573="","",COUNTIF(INV_Product,$A573))</f>
        <v/>
      </c>
      <c r="S573" s="8">
        <f>IF($A573="","",COUNTIFS(INV_Product,$A573,INV_Status,"Available"))</f>
        <v/>
      </c>
      <c r="T573" s="8">
        <f>IF($D573="","",IF(COUNTIFS(DD_PairCategory,$C573,DD_Subcategory,$D573)&gt;0,"ok","✗ "&amp;$D573&amp;" is not under "&amp;$C573))</f>
        <v/>
      </c>
      <c r="U573" s="8">
        <f>IF($F573="","",IF(COUNTIFS(PM_Brand,$E573,PM_Model,$F573)&gt;1,"⚠ duplicate product",IF(AND($B573&lt;&gt;"",COUNTIF(PM_Short,$B573)&gt;1),"⚠ short code reused","")))</f>
        <v/>
      </c>
      <c r="V573" s="5" t="n"/>
    </row>
    <row r="574">
      <c r="A574" s="8">
        <f>IF($F574="","","PRD-"&amp;TEXT(ROW()-3,"0000"))</f>
        <v/>
      </c>
      <c r="B574" s="5" t="n"/>
      <c r="C574" s="5" t="n"/>
      <c r="D574" s="5" t="n"/>
      <c r="E574" s="5" t="n"/>
      <c r="F574" s="5" t="n"/>
      <c r="G574" s="5" t="n"/>
      <c r="H574" s="5" t="n"/>
      <c r="I574" s="5" t="n"/>
      <c r="J574" s="5" t="n"/>
      <c r="K574" s="5" t="n"/>
      <c r="L574" s="5" t="n"/>
      <c r="M574" s="9" t="n"/>
      <c r="N574" s="9" t="n"/>
      <c r="O574" s="9" t="n"/>
      <c r="P574" s="9" t="n"/>
      <c r="Q574" s="9" t="n"/>
      <c r="R574" s="8">
        <f>IF($A574="","",COUNTIF(INV_Product,$A574))</f>
        <v/>
      </c>
      <c r="S574" s="8">
        <f>IF($A574="","",COUNTIFS(INV_Product,$A574,INV_Status,"Available"))</f>
        <v/>
      </c>
      <c r="T574" s="8">
        <f>IF($D574="","",IF(COUNTIFS(DD_PairCategory,$C574,DD_Subcategory,$D574)&gt;0,"ok","✗ "&amp;$D574&amp;" is not under "&amp;$C574))</f>
        <v/>
      </c>
      <c r="U574" s="8">
        <f>IF($F574="","",IF(COUNTIFS(PM_Brand,$E574,PM_Model,$F574)&gt;1,"⚠ duplicate product",IF(AND($B574&lt;&gt;"",COUNTIF(PM_Short,$B574)&gt;1),"⚠ short code reused","")))</f>
        <v/>
      </c>
      <c r="V574" s="5" t="n"/>
    </row>
    <row r="575">
      <c r="A575" s="8">
        <f>IF($F575="","","PRD-"&amp;TEXT(ROW()-3,"0000"))</f>
        <v/>
      </c>
      <c r="B575" s="5" t="n"/>
      <c r="C575" s="5" t="n"/>
      <c r="D575" s="5" t="n"/>
      <c r="E575" s="5" t="n"/>
      <c r="F575" s="5" t="n"/>
      <c r="G575" s="5" t="n"/>
      <c r="H575" s="5" t="n"/>
      <c r="I575" s="5" t="n"/>
      <c r="J575" s="5" t="n"/>
      <c r="K575" s="5" t="n"/>
      <c r="L575" s="5" t="n"/>
      <c r="M575" s="9" t="n"/>
      <c r="N575" s="9" t="n"/>
      <c r="O575" s="9" t="n"/>
      <c r="P575" s="9" t="n"/>
      <c r="Q575" s="9" t="n"/>
      <c r="R575" s="8">
        <f>IF($A575="","",COUNTIF(INV_Product,$A575))</f>
        <v/>
      </c>
      <c r="S575" s="8">
        <f>IF($A575="","",COUNTIFS(INV_Product,$A575,INV_Status,"Available"))</f>
        <v/>
      </c>
      <c r="T575" s="8">
        <f>IF($D575="","",IF(COUNTIFS(DD_PairCategory,$C575,DD_Subcategory,$D575)&gt;0,"ok","✗ "&amp;$D575&amp;" is not under "&amp;$C575))</f>
        <v/>
      </c>
      <c r="U575" s="8">
        <f>IF($F575="","",IF(COUNTIFS(PM_Brand,$E575,PM_Model,$F575)&gt;1,"⚠ duplicate product",IF(AND($B575&lt;&gt;"",COUNTIF(PM_Short,$B575)&gt;1),"⚠ short code reused","")))</f>
        <v/>
      </c>
      <c r="V575" s="5" t="n"/>
    </row>
    <row r="576">
      <c r="A576" s="8">
        <f>IF($F576="","","PRD-"&amp;TEXT(ROW()-3,"0000"))</f>
        <v/>
      </c>
      <c r="B576" s="5" t="n"/>
      <c r="C576" s="5" t="n"/>
      <c r="D576" s="5" t="n"/>
      <c r="E576" s="5" t="n"/>
      <c r="F576" s="5" t="n"/>
      <c r="G576" s="5" t="n"/>
      <c r="H576" s="5" t="n"/>
      <c r="I576" s="5" t="n"/>
      <c r="J576" s="5" t="n"/>
      <c r="K576" s="5" t="n"/>
      <c r="L576" s="5" t="n"/>
      <c r="M576" s="9" t="n"/>
      <c r="N576" s="9" t="n"/>
      <c r="O576" s="9" t="n"/>
      <c r="P576" s="9" t="n"/>
      <c r="Q576" s="9" t="n"/>
      <c r="R576" s="8">
        <f>IF($A576="","",COUNTIF(INV_Product,$A576))</f>
        <v/>
      </c>
      <c r="S576" s="8">
        <f>IF($A576="","",COUNTIFS(INV_Product,$A576,INV_Status,"Available"))</f>
        <v/>
      </c>
      <c r="T576" s="8">
        <f>IF($D576="","",IF(COUNTIFS(DD_PairCategory,$C576,DD_Subcategory,$D576)&gt;0,"ok","✗ "&amp;$D576&amp;" is not under "&amp;$C576))</f>
        <v/>
      </c>
      <c r="U576" s="8">
        <f>IF($F576="","",IF(COUNTIFS(PM_Brand,$E576,PM_Model,$F576)&gt;1,"⚠ duplicate product",IF(AND($B576&lt;&gt;"",COUNTIF(PM_Short,$B576)&gt;1),"⚠ short code reused","")))</f>
        <v/>
      </c>
      <c r="V576" s="5" t="n"/>
    </row>
    <row r="577">
      <c r="A577" s="8">
        <f>IF($F577="","","PRD-"&amp;TEXT(ROW()-3,"0000"))</f>
        <v/>
      </c>
      <c r="B577" s="5" t="n"/>
      <c r="C577" s="5" t="n"/>
      <c r="D577" s="5" t="n"/>
      <c r="E577" s="5" t="n"/>
      <c r="F577" s="5" t="n"/>
      <c r="G577" s="5" t="n"/>
      <c r="H577" s="5" t="n"/>
      <c r="I577" s="5" t="n"/>
      <c r="J577" s="5" t="n"/>
      <c r="K577" s="5" t="n"/>
      <c r="L577" s="5" t="n"/>
      <c r="M577" s="9" t="n"/>
      <c r="N577" s="9" t="n"/>
      <c r="O577" s="9" t="n"/>
      <c r="P577" s="9" t="n"/>
      <c r="Q577" s="9" t="n"/>
      <c r="R577" s="8">
        <f>IF($A577="","",COUNTIF(INV_Product,$A577))</f>
        <v/>
      </c>
      <c r="S577" s="8">
        <f>IF($A577="","",COUNTIFS(INV_Product,$A577,INV_Status,"Available"))</f>
        <v/>
      </c>
      <c r="T577" s="8">
        <f>IF($D577="","",IF(COUNTIFS(DD_PairCategory,$C577,DD_Subcategory,$D577)&gt;0,"ok","✗ "&amp;$D577&amp;" is not under "&amp;$C577))</f>
        <v/>
      </c>
      <c r="U577" s="8">
        <f>IF($F577="","",IF(COUNTIFS(PM_Brand,$E577,PM_Model,$F577)&gt;1,"⚠ duplicate product",IF(AND($B577&lt;&gt;"",COUNTIF(PM_Short,$B577)&gt;1),"⚠ short code reused","")))</f>
        <v/>
      </c>
      <c r="V577" s="5" t="n"/>
    </row>
    <row r="578">
      <c r="A578" s="8">
        <f>IF($F578="","","PRD-"&amp;TEXT(ROW()-3,"0000"))</f>
        <v/>
      </c>
      <c r="B578" s="5" t="n"/>
      <c r="C578" s="5" t="n"/>
      <c r="D578" s="5" t="n"/>
      <c r="E578" s="5" t="n"/>
      <c r="F578" s="5" t="n"/>
      <c r="G578" s="5" t="n"/>
      <c r="H578" s="5" t="n"/>
      <c r="I578" s="5" t="n"/>
      <c r="J578" s="5" t="n"/>
      <c r="K578" s="5" t="n"/>
      <c r="L578" s="5" t="n"/>
      <c r="M578" s="9" t="n"/>
      <c r="N578" s="9" t="n"/>
      <c r="O578" s="9" t="n"/>
      <c r="P578" s="9" t="n"/>
      <c r="Q578" s="9" t="n"/>
      <c r="R578" s="8">
        <f>IF($A578="","",COUNTIF(INV_Product,$A578))</f>
        <v/>
      </c>
      <c r="S578" s="8">
        <f>IF($A578="","",COUNTIFS(INV_Product,$A578,INV_Status,"Available"))</f>
        <v/>
      </c>
      <c r="T578" s="8">
        <f>IF($D578="","",IF(COUNTIFS(DD_PairCategory,$C578,DD_Subcategory,$D578)&gt;0,"ok","✗ "&amp;$D578&amp;" is not under "&amp;$C578))</f>
        <v/>
      </c>
      <c r="U578" s="8">
        <f>IF($F578="","",IF(COUNTIFS(PM_Brand,$E578,PM_Model,$F578)&gt;1,"⚠ duplicate product",IF(AND($B578&lt;&gt;"",COUNTIF(PM_Short,$B578)&gt;1),"⚠ short code reused","")))</f>
        <v/>
      </c>
      <c r="V578" s="5" t="n"/>
    </row>
    <row r="579">
      <c r="A579" s="8">
        <f>IF($F579="","","PRD-"&amp;TEXT(ROW()-3,"0000"))</f>
        <v/>
      </c>
      <c r="B579" s="5" t="n"/>
      <c r="C579" s="5" t="n"/>
      <c r="D579" s="5" t="n"/>
      <c r="E579" s="5" t="n"/>
      <c r="F579" s="5" t="n"/>
      <c r="G579" s="5" t="n"/>
      <c r="H579" s="5" t="n"/>
      <c r="I579" s="5" t="n"/>
      <c r="J579" s="5" t="n"/>
      <c r="K579" s="5" t="n"/>
      <c r="L579" s="5" t="n"/>
      <c r="M579" s="9" t="n"/>
      <c r="N579" s="9" t="n"/>
      <c r="O579" s="9" t="n"/>
      <c r="P579" s="9" t="n"/>
      <c r="Q579" s="9" t="n"/>
      <c r="R579" s="8">
        <f>IF($A579="","",COUNTIF(INV_Product,$A579))</f>
        <v/>
      </c>
      <c r="S579" s="8">
        <f>IF($A579="","",COUNTIFS(INV_Product,$A579,INV_Status,"Available"))</f>
        <v/>
      </c>
      <c r="T579" s="8">
        <f>IF($D579="","",IF(COUNTIFS(DD_PairCategory,$C579,DD_Subcategory,$D579)&gt;0,"ok","✗ "&amp;$D579&amp;" is not under "&amp;$C579))</f>
        <v/>
      </c>
      <c r="U579" s="8">
        <f>IF($F579="","",IF(COUNTIFS(PM_Brand,$E579,PM_Model,$F579)&gt;1,"⚠ duplicate product",IF(AND($B579&lt;&gt;"",COUNTIF(PM_Short,$B579)&gt;1),"⚠ short code reused","")))</f>
        <v/>
      </c>
      <c r="V579" s="5" t="n"/>
    </row>
    <row r="580">
      <c r="A580" s="8">
        <f>IF($F580="","","PRD-"&amp;TEXT(ROW()-3,"0000"))</f>
        <v/>
      </c>
      <c r="B580" s="5" t="n"/>
      <c r="C580" s="5" t="n"/>
      <c r="D580" s="5" t="n"/>
      <c r="E580" s="5" t="n"/>
      <c r="F580" s="5" t="n"/>
      <c r="G580" s="5" t="n"/>
      <c r="H580" s="5" t="n"/>
      <c r="I580" s="5" t="n"/>
      <c r="J580" s="5" t="n"/>
      <c r="K580" s="5" t="n"/>
      <c r="L580" s="5" t="n"/>
      <c r="M580" s="9" t="n"/>
      <c r="N580" s="9" t="n"/>
      <c r="O580" s="9" t="n"/>
      <c r="P580" s="9" t="n"/>
      <c r="Q580" s="9" t="n"/>
      <c r="R580" s="8">
        <f>IF($A580="","",COUNTIF(INV_Product,$A580))</f>
        <v/>
      </c>
      <c r="S580" s="8">
        <f>IF($A580="","",COUNTIFS(INV_Product,$A580,INV_Status,"Available"))</f>
        <v/>
      </c>
      <c r="T580" s="8">
        <f>IF($D580="","",IF(COUNTIFS(DD_PairCategory,$C580,DD_Subcategory,$D580)&gt;0,"ok","✗ "&amp;$D580&amp;" is not under "&amp;$C580))</f>
        <v/>
      </c>
      <c r="U580" s="8">
        <f>IF($F580="","",IF(COUNTIFS(PM_Brand,$E580,PM_Model,$F580)&gt;1,"⚠ duplicate product",IF(AND($B580&lt;&gt;"",COUNTIF(PM_Short,$B580)&gt;1),"⚠ short code reused","")))</f>
        <v/>
      </c>
      <c r="V580" s="5" t="n"/>
    </row>
    <row r="581">
      <c r="A581" s="8">
        <f>IF($F581="","","PRD-"&amp;TEXT(ROW()-3,"0000"))</f>
        <v/>
      </c>
      <c r="B581" s="5" t="n"/>
      <c r="C581" s="5" t="n"/>
      <c r="D581" s="5" t="n"/>
      <c r="E581" s="5" t="n"/>
      <c r="F581" s="5" t="n"/>
      <c r="G581" s="5" t="n"/>
      <c r="H581" s="5" t="n"/>
      <c r="I581" s="5" t="n"/>
      <c r="J581" s="5" t="n"/>
      <c r="K581" s="5" t="n"/>
      <c r="L581" s="5" t="n"/>
      <c r="M581" s="9" t="n"/>
      <c r="N581" s="9" t="n"/>
      <c r="O581" s="9" t="n"/>
      <c r="P581" s="9" t="n"/>
      <c r="Q581" s="9" t="n"/>
      <c r="R581" s="8">
        <f>IF($A581="","",COUNTIF(INV_Product,$A581))</f>
        <v/>
      </c>
      <c r="S581" s="8">
        <f>IF($A581="","",COUNTIFS(INV_Product,$A581,INV_Status,"Available"))</f>
        <v/>
      </c>
      <c r="T581" s="8">
        <f>IF($D581="","",IF(COUNTIFS(DD_PairCategory,$C581,DD_Subcategory,$D581)&gt;0,"ok","✗ "&amp;$D581&amp;" is not under "&amp;$C581))</f>
        <v/>
      </c>
      <c r="U581" s="8">
        <f>IF($F581="","",IF(COUNTIFS(PM_Brand,$E581,PM_Model,$F581)&gt;1,"⚠ duplicate product",IF(AND($B581&lt;&gt;"",COUNTIF(PM_Short,$B581)&gt;1),"⚠ short code reused","")))</f>
        <v/>
      </c>
      <c r="V581" s="5" t="n"/>
    </row>
    <row r="582">
      <c r="A582" s="8">
        <f>IF($F582="","","PRD-"&amp;TEXT(ROW()-3,"0000"))</f>
        <v/>
      </c>
      <c r="B582" s="5" t="n"/>
      <c r="C582" s="5" t="n"/>
      <c r="D582" s="5" t="n"/>
      <c r="E582" s="5" t="n"/>
      <c r="F582" s="5" t="n"/>
      <c r="G582" s="5" t="n"/>
      <c r="H582" s="5" t="n"/>
      <c r="I582" s="5" t="n"/>
      <c r="J582" s="5" t="n"/>
      <c r="K582" s="5" t="n"/>
      <c r="L582" s="5" t="n"/>
      <c r="M582" s="9" t="n"/>
      <c r="N582" s="9" t="n"/>
      <c r="O582" s="9" t="n"/>
      <c r="P582" s="9" t="n"/>
      <c r="Q582" s="9" t="n"/>
      <c r="R582" s="8">
        <f>IF($A582="","",COUNTIF(INV_Product,$A582))</f>
        <v/>
      </c>
      <c r="S582" s="8">
        <f>IF($A582="","",COUNTIFS(INV_Product,$A582,INV_Status,"Available"))</f>
        <v/>
      </c>
      <c r="T582" s="8">
        <f>IF($D582="","",IF(COUNTIFS(DD_PairCategory,$C582,DD_Subcategory,$D582)&gt;0,"ok","✗ "&amp;$D582&amp;" is not under "&amp;$C582))</f>
        <v/>
      </c>
      <c r="U582" s="8">
        <f>IF($F582="","",IF(COUNTIFS(PM_Brand,$E582,PM_Model,$F582)&gt;1,"⚠ duplicate product",IF(AND($B582&lt;&gt;"",COUNTIF(PM_Short,$B582)&gt;1),"⚠ short code reused","")))</f>
        <v/>
      </c>
      <c r="V582" s="5" t="n"/>
    </row>
    <row r="583">
      <c r="A583" s="8">
        <f>IF($F583="","","PRD-"&amp;TEXT(ROW()-3,"0000"))</f>
        <v/>
      </c>
      <c r="B583" s="5" t="n"/>
      <c r="C583" s="5" t="n"/>
      <c r="D583" s="5" t="n"/>
      <c r="E583" s="5" t="n"/>
      <c r="F583" s="5" t="n"/>
      <c r="G583" s="5" t="n"/>
      <c r="H583" s="5" t="n"/>
      <c r="I583" s="5" t="n"/>
      <c r="J583" s="5" t="n"/>
      <c r="K583" s="5" t="n"/>
      <c r="L583" s="5" t="n"/>
      <c r="M583" s="9" t="n"/>
      <c r="N583" s="9" t="n"/>
      <c r="O583" s="9" t="n"/>
      <c r="P583" s="9" t="n"/>
      <c r="Q583" s="9" t="n"/>
      <c r="R583" s="8">
        <f>IF($A583="","",COUNTIF(INV_Product,$A583))</f>
        <v/>
      </c>
      <c r="S583" s="8">
        <f>IF($A583="","",COUNTIFS(INV_Product,$A583,INV_Status,"Available"))</f>
        <v/>
      </c>
      <c r="T583" s="8">
        <f>IF($D583="","",IF(COUNTIFS(DD_PairCategory,$C583,DD_Subcategory,$D583)&gt;0,"ok","✗ "&amp;$D583&amp;" is not under "&amp;$C583))</f>
        <v/>
      </c>
      <c r="U583" s="8">
        <f>IF($F583="","",IF(COUNTIFS(PM_Brand,$E583,PM_Model,$F583)&gt;1,"⚠ duplicate product",IF(AND($B583&lt;&gt;"",COUNTIF(PM_Short,$B583)&gt;1),"⚠ short code reused","")))</f>
        <v/>
      </c>
      <c r="V583" s="5" t="n"/>
    </row>
    <row r="584">
      <c r="A584" s="8">
        <f>IF($F584="","","PRD-"&amp;TEXT(ROW()-3,"0000"))</f>
        <v/>
      </c>
      <c r="B584" s="5" t="n"/>
      <c r="C584" s="5" t="n"/>
      <c r="D584" s="5" t="n"/>
      <c r="E584" s="5" t="n"/>
      <c r="F584" s="5" t="n"/>
      <c r="G584" s="5" t="n"/>
      <c r="H584" s="5" t="n"/>
      <c r="I584" s="5" t="n"/>
      <c r="J584" s="5" t="n"/>
      <c r="K584" s="5" t="n"/>
      <c r="L584" s="5" t="n"/>
      <c r="M584" s="9" t="n"/>
      <c r="N584" s="9" t="n"/>
      <c r="O584" s="9" t="n"/>
      <c r="P584" s="9" t="n"/>
      <c r="Q584" s="9" t="n"/>
      <c r="R584" s="8">
        <f>IF($A584="","",COUNTIF(INV_Product,$A584))</f>
        <v/>
      </c>
      <c r="S584" s="8">
        <f>IF($A584="","",COUNTIFS(INV_Product,$A584,INV_Status,"Available"))</f>
        <v/>
      </c>
      <c r="T584" s="8">
        <f>IF($D584="","",IF(COUNTIFS(DD_PairCategory,$C584,DD_Subcategory,$D584)&gt;0,"ok","✗ "&amp;$D584&amp;" is not under "&amp;$C584))</f>
        <v/>
      </c>
      <c r="U584" s="8">
        <f>IF($F584="","",IF(COUNTIFS(PM_Brand,$E584,PM_Model,$F584)&gt;1,"⚠ duplicate product",IF(AND($B584&lt;&gt;"",COUNTIF(PM_Short,$B584)&gt;1),"⚠ short code reused","")))</f>
        <v/>
      </c>
      <c r="V584" s="5" t="n"/>
    </row>
    <row r="585">
      <c r="A585" s="8">
        <f>IF($F585="","","PRD-"&amp;TEXT(ROW()-3,"0000"))</f>
        <v/>
      </c>
      <c r="B585" s="5" t="n"/>
      <c r="C585" s="5" t="n"/>
      <c r="D585" s="5" t="n"/>
      <c r="E585" s="5" t="n"/>
      <c r="F585" s="5" t="n"/>
      <c r="G585" s="5" t="n"/>
      <c r="H585" s="5" t="n"/>
      <c r="I585" s="5" t="n"/>
      <c r="J585" s="5" t="n"/>
      <c r="K585" s="5" t="n"/>
      <c r="L585" s="5" t="n"/>
      <c r="M585" s="9" t="n"/>
      <c r="N585" s="9" t="n"/>
      <c r="O585" s="9" t="n"/>
      <c r="P585" s="9" t="n"/>
      <c r="Q585" s="9" t="n"/>
      <c r="R585" s="8">
        <f>IF($A585="","",COUNTIF(INV_Product,$A585))</f>
        <v/>
      </c>
      <c r="S585" s="8">
        <f>IF($A585="","",COUNTIFS(INV_Product,$A585,INV_Status,"Available"))</f>
        <v/>
      </c>
      <c r="T585" s="8">
        <f>IF($D585="","",IF(COUNTIFS(DD_PairCategory,$C585,DD_Subcategory,$D585)&gt;0,"ok","✗ "&amp;$D585&amp;" is not under "&amp;$C585))</f>
        <v/>
      </c>
      <c r="U585" s="8">
        <f>IF($F585="","",IF(COUNTIFS(PM_Brand,$E585,PM_Model,$F585)&gt;1,"⚠ duplicate product",IF(AND($B585&lt;&gt;"",COUNTIF(PM_Short,$B585)&gt;1),"⚠ short code reused","")))</f>
        <v/>
      </c>
      <c r="V585" s="5" t="n"/>
    </row>
    <row r="586">
      <c r="A586" s="8">
        <f>IF($F586="","","PRD-"&amp;TEXT(ROW()-3,"0000"))</f>
        <v/>
      </c>
      <c r="B586" s="5" t="n"/>
      <c r="C586" s="5" t="n"/>
      <c r="D586" s="5" t="n"/>
      <c r="E586" s="5" t="n"/>
      <c r="F586" s="5" t="n"/>
      <c r="G586" s="5" t="n"/>
      <c r="H586" s="5" t="n"/>
      <c r="I586" s="5" t="n"/>
      <c r="J586" s="5" t="n"/>
      <c r="K586" s="5" t="n"/>
      <c r="L586" s="5" t="n"/>
      <c r="M586" s="9" t="n"/>
      <c r="N586" s="9" t="n"/>
      <c r="O586" s="9" t="n"/>
      <c r="P586" s="9" t="n"/>
      <c r="Q586" s="9" t="n"/>
      <c r="R586" s="8">
        <f>IF($A586="","",COUNTIF(INV_Product,$A586))</f>
        <v/>
      </c>
      <c r="S586" s="8">
        <f>IF($A586="","",COUNTIFS(INV_Product,$A586,INV_Status,"Available"))</f>
        <v/>
      </c>
      <c r="T586" s="8">
        <f>IF($D586="","",IF(COUNTIFS(DD_PairCategory,$C586,DD_Subcategory,$D586)&gt;0,"ok","✗ "&amp;$D586&amp;" is not under "&amp;$C586))</f>
        <v/>
      </c>
      <c r="U586" s="8">
        <f>IF($F586="","",IF(COUNTIFS(PM_Brand,$E586,PM_Model,$F586)&gt;1,"⚠ duplicate product",IF(AND($B586&lt;&gt;"",COUNTIF(PM_Short,$B586)&gt;1),"⚠ short code reused","")))</f>
        <v/>
      </c>
      <c r="V586" s="5" t="n"/>
    </row>
    <row r="587">
      <c r="A587" s="8">
        <f>IF($F587="","","PRD-"&amp;TEXT(ROW()-3,"0000"))</f>
        <v/>
      </c>
      <c r="B587" s="5" t="n"/>
      <c r="C587" s="5" t="n"/>
      <c r="D587" s="5" t="n"/>
      <c r="E587" s="5" t="n"/>
      <c r="F587" s="5" t="n"/>
      <c r="G587" s="5" t="n"/>
      <c r="H587" s="5" t="n"/>
      <c r="I587" s="5" t="n"/>
      <c r="J587" s="5" t="n"/>
      <c r="K587" s="5" t="n"/>
      <c r="L587" s="5" t="n"/>
      <c r="M587" s="9" t="n"/>
      <c r="N587" s="9" t="n"/>
      <c r="O587" s="9" t="n"/>
      <c r="P587" s="9" t="n"/>
      <c r="Q587" s="9" t="n"/>
      <c r="R587" s="8">
        <f>IF($A587="","",COUNTIF(INV_Product,$A587))</f>
        <v/>
      </c>
      <c r="S587" s="8">
        <f>IF($A587="","",COUNTIFS(INV_Product,$A587,INV_Status,"Available"))</f>
        <v/>
      </c>
      <c r="T587" s="8">
        <f>IF($D587="","",IF(COUNTIFS(DD_PairCategory,$C587,DD_Subcategory,$D587)&gt;0,"ok","✗ "&amp;$D587&amp;" is not under "&amp;$C587))</f>
        <v/>
      </c>
      <c r="U587" s="8">
        <f>IF($F587="","",IF(COUNTIFS(PM_Brand,$E587,PM_Model,$F587)&gt;1,"⚠ duplicate product",IF(AND($B587&lt;&gt;"",COUNTIF(PM_Short,$B587)&gt;1),"⚠ short code reused","")))</f>
        <v/>
      </c>
      <c r="V587" s="5" t="n"/>
    </row>
    <row r="588">
      <c r="A588" s="8">
        <f>IF($F588="","","PRD-"&amp;TEXT(ROW()-3,"0000"))</f>
        <v/>
      </c>
      <c r="B588" s="5" t="n"/>
      <c r="C588" s="5" t="n"/>
      <c r="D588" s="5" t="n"/>
      <c r="E588" s="5" t="n"/>
      <c r="F588" s="5" t="n"/>
      <c r="G588" s="5" t="n"/>
      <c r="H588" s="5" t="n"/>
      <c r="I588" s="5" t="n"/>
      <c r="J588" s="5" t="n"/>
      <c r="K588" s="5" t="n"/>
      <c r="L588" s="5" t="n"/>
      <c r="M588" s="9" t="n"/>
      <c r="N588" s="9" t="n"/>
      <c r="O588" s="9" t="n"/>
      <c r="P588" s="9" t="n"/>
      <c r="Q588" s="9" t="n"/>
      <c r="R588" s="8">
        <f>IF($A588="","",COUNTIF(INV_Product,$A588))</f>
        <v/>
      </c>
      <c r="S588" s="8">
        <f>IF($A588="","",COUNTIFS(INV_Product,$A588,INV_Status,"Available"))</f>
        <v/>
      </c>
      <c r="T588" s="8">
        <f>IF($D588="","",IF(COUNTIFS(DD_PairCategory,$C588,DD_Subcategory,$D588)&gt;0,"ok","✗ "&amp;$D588&amp;" is not under "&amp;$C588))</f>
        <v/>
      </c>
      <c r="U588" s="8">
        <f>IF($F588="","",IF(COUNTIFS(PM_Brand,$E588,PM_Model,$F588)&gt;1,"⚠ duplicate product",IF(AND($B588&lt;&gt;"",COUNTIF(PM_Short,$B588)&gt;1),"⚠ short code reused","")))</f>
        <v/>
      </c>
      <c r="V588" s="5" t="n"/>
    </row>
    <row r="589">
      <c r="A589" s="8">
        <f>IF($F589="","","PRD-"&amp;TEXT(ROW()-3,"0000"))</f>
        <v/>
      </c>
      <c r="B589" s="5" t="n"/>
      <c r="C589" s="5" t="n"/>
      <c r="D589" s="5" t="n"/>
      <c r="E589" s="5" t="n"/>
      <c r="F589" s="5" t="n"/>
      <c r="G589" s="5" t="n"/>
      <c r="H589" s="5" t="n"/>
      <c r="I589" s="5" t="n"/>
      <c r="J589" s="5" t="n"/>
      <c r="K589" s="5" t="n"/>
      <c r="L589" s="5" t="n"/>
      <c r="M589" s="9" t="n"/>
      <c r="N589" s="9" t="n"/>
      <c r="O589" s="9" t="n"/>
      <c r="P589" s="9" t="n"/>
      <c r="Q589" s="9" t="n"/>
      <c r="R589" s="8">
        <f>IF($A589="","",COUNTIF(INV_Product,$A589))</f>
        <v/>
      </c>
      <c r="S589" s="8">
        <f>IF($A589="","",COUNTIFS(INV_Product,$A589,INV_Status,"Available"))</f>
        <v/>
      </c>
      <c r="T589" s="8">
        <f>IF($D589="","",IF(COUNTIFS(DD_PairCategory,$C589,DD_Subcategory,$D589)&gt;0,"ok","✗ "&amp;$D589&amp;" is not under "&amp;$C589))</f>
        <v/>
      </c>
      <c r="U589" s="8">
        <f>IF($F589="","",IF(COUNTIFS(PM_Brand,$E589,PM_Model,$F589)&gt;1,"⚠ duplicate product",IF(AND($B589&lt;&gt;"",COUNTIF(PM_Short,$B589)&gt;1),"⚠ short code reused","")))</f>
        <v/>
      </c>
      <c r="V589" s="5" t="n"/>
    </row>
    <row r="590">
      <c r="A590" s="8">
        <f>IF($F590="","","PRD-"&amp;TEXT(ROW()-3,"0000"))</f>
        <v/>
      </c>
      <c r="B590" s="5" t="n"/>
      <c r="C590" s="5" t="n"/>
      <c r="D590" s="5" t="n"/>
      <c r="E590" s="5" t="n"/>
      <c r="F590" s="5" t="n"/>
      <c r="G590" s="5" t="n"/>
      <c r="H590" s="5" t="n"/>
      <c r="I590" s="5" t="n"/>
      <c r="J590" s="5" t="n"/>
      <c r="K590" s="5" t="n"/>
      <c r="L590" s="5" t="n"/>
      <c r="M590" s="9" t="n"/>
      <c r="N590" s="9" t="n"/>
      <c r="O590" s="9" t="n"/>
      <c r="P590" s="9" t="n"/>
      <c r="Q590" s="9" t="n"/>
      <c r="R590" s="8">
        <f>IF($A590="","",COUNTIF(INV_Product,$A590))</f>
        <v/>
      </c>
      <c r="S590" s="8">
        <f>IF($A590="","",COUNTIFS(INV_Product,$A590,INV_Status,"Available"))</f>
        <v/>
      </c>
      <c r="T590" s="8">
        <f>IF($D590="","",IF(COUNTIFS(DD_PairCategory,$C590,DD_Subcategory,$D590)&gt;0,"ok","✗ "&amp;$D590&amp;" is not under "&amp;$C590))</f>
        <v/>
      </c>
      <c r="U590" s="8">
        <f>IF($F590="","",IF(COUNTIFS(PM_Brand,$E590,PM_Model,$F590)&gt;1,"⚠ duplicate product",IF(AND($B590&lt;&gt;"",COUNTIF(PM_Short,$B590)&gt;1),"⚠ short code reused","")))</f>
        <v/>
      </c>
      <c r="V590" s="5" t="n"/>
    </row>
    <row r="591">
      <c r="A591" s="8">
        <f>IF($F591="","","PRD-"&amp;TEXT(ROW()-3,"0000"))</f>
        <v/>
      </c>
      <c r="B591" s="5" t="n"/>
      <c r="C591" s="5" t="n"/>
      <c r="D591" s="5" t="n"/>
      <c r="E591" s="5" t="n"/>
      <c r="F591" s="5" t="n"/>
      <c r="G591" s="5" t="n"/>
      <c r="H591" s="5" t="n"/>
      <c r="I591" s="5" t="n"/>
      <c r="J591" s="5" t="n"/>
      <c r="K591" s="5" t="n"/>
      <c r="L591" s="5" t="n"/>
      <c r="M591" s="9" t="n"/>
      <c r="N591" s="9" t="n"/>
      <c r="O591" s="9" t="n"/>
      <c r="P591" s="9" t="n"/>
      <c r="Q591" s="9" t="n"/>
      <c r="R591" s="8">
        <f>IF($A591="","",COUNTIF(INV_Product,$A591))</f>
        <v/>
      </c>
      <c r="S591" s="8">
        <f>IF($A591="","",COUNTIFS(INV_Product,$A591,INV_Status,"Available"))</f>
        <v/>
      </c>
      <c r="T591" s="8">
        <f>IF($D591="","",IF(COUNTIFS(DD_PairCategory,$C591,DD_Subcategory,$D591)&gt;0,"ok","✗ "&amp;$D591&amp;" is not under "&amp;$C591))</f>
        <v/>
      </c>
      <c r="U591" s="8">
        <f>IF($F591="","",IF(COUNTIFS(PM_Brand,$E591,PM_Model,$F591)&gt;1,"⚠ duplicate product",IF(AND($B591&lt;&gt;"",COUNTIF(PM_Short,$B591)&gt;1),"⚠ short code reused","")))</f>
        <v/>
      </c>
      <c r="V591" s="5" t="n"/>
    </row>
    <row r="592">
      <c r="A592" s="8">
        <f>IF($F592="","","PRD-"&amp;TEXT(ROW()-3,"0000"))</f>
        <v/>
      </c>
      <c r="B592" s="5" t="n"/>
      <c r="C592" s="5" t="n"/>
      <c r="D592" s="5" t="n"/>
      <c r="E592" s="5" t="n"/>
      <c r="F592" s="5" t="n"/>
      <c r="G592" s="5" t="n"/>
      <c r="H592" s="5" t="n"/>
      <c r="I592" s="5" t="n"/>
      <c r="J592" s="5" t="n"/>
      <c r="K592" s="5" t="n"/>
      <c r="L592" s="5" t="n"/>
      <c r="M592" s="9" t="n"/>
      <c r="N592" s="9" t="n"/>
      <c r="O592" s="9" t="n"/>
      <c r="P592" s="9" t="n"/>
      <c r="Q592" s="9" t="n"/>
      <c r="R592" s="8">
        <f>IF($A592="","",COUNTIF(INV_Product,$A592))</f>
        <v/>
      </c>
      <c r="S592" s="8">
        <f>IF($A592="","",COUNTIFS(INV_Product,$A592,INV_Status,"Available"))</f>
        <v/>
      </c>
      <c r="T592" s="8">
        <f>IF($D592="","",IF(COUNTIFS(DD_PairCategory,$C592,DD_Subcategory,$D592)&gt;0,"ok","✗ "&amp;$D592&amp;" is not under "&amp;$C592))</f>
        <v/>
      </c>
      <c r="U592" s="8">
        <f>IF($F592="","",IF(COUNTIFS(PM_Brand,$E592,PM_Model,$F592)&gt;1,"⚠ duplicate product",IF(AND($B592&lt;&gt;"",COUNTIF(PM_Short,$B592)&gt;1),"⚠ short code reused","")))</f>
        <v/>
      </c>
      <c r="V592" s="5" t="n"/>
    </row>
    <row r="593">
      <c r="A593" s="8">
        <f>IF($F593="","","PRD-"&amp;TEXT(ROW()-3,"0000"))</f>
        <v/>
      </c>
      <c r="B593" s="5" t="n"/>
      <c r="C593" s="5" t="n"/>
      <c r="D593" s="5" t="n"/>
      <c r="E593" s="5" t="n"/>
      <c r="F593" s="5" t="n"/>
      <c r="G593" s="5" t="n"/>
      <c r="H593" s="5" t="n"/>
      <c r="I593" s="5" t="n"/>
      <c r="J593" s="5" t="n"/>
      <c r="K593" s="5" t="n"/>
      <c r="L593" s="5" t="n"/>
      <c r="M593" s="9" t="n"/>
      <c r="N593" s="9" t="n"/>
      <c r="O593" s="9" t="n"/>
      <c r="P593" s="9" t="n"/>
      <c r="Q593" s="9" t="n"/>
      <c r="R593" s="8">
        <f>IF($A593="","",COUNTIF(INV_Product,$A593))</f>
        <v/>
      </c>
      <c r="S593" s="8">
        <f>IF($A593="","",COUNTIFS(INV_Product,$A593,INV_Status,"Available"))</f>
        <v/>
      </c>
      <c r="T593" s="8">
        <f>IF($D593="","",IF(COUNTIFS(DD_PairCategory,$C593,DD_Subcategory,$D593)&gt;0,"ok","✗ "&amp;$D593&amp;" is not under "&amp;$C593))</f>
        <v/>
      </c>
      <c r="U593" s="8">
        <f>IF($F593="","",IF(COUNTIFS(PM_Brand,$E593,PM_Model,$F593)&gt;1,"⚠ duplicate product",IF(AND($B593&lt;&gt;"",COUNTIF(PM_Short,$B593)&gt;1),"⚠ short code reused","")))</f>
        <v/>
      </c>
      <c r="V593" s="5" t="n"/>
    </row>
    <row r="594">
      <c r="A594" s="8">
        <f>IF($F594="","","PRD-"&amp;TEXT(ROW()-3,"0000"))</f>
        <v/>
      </c>
      <c r="B594" s="5" t="n"/>
      <c r="C594" s="5" t="n"/>
      <c r="D594" s="5" t="n"/>
      <c r="E594" s="5" t="n"/>
      <c r="F594" s="5" t="n"/>
      <c r="G594" s="5" t="n"/>
      <c r="H594" s="5" t="n"/>
      <c r="I594" s="5" t="n"/>
      <c r="J594" s="5" t="n"/>
      <c r="K594" s="5" t="n"/>
      <c r="L594" s="5" t="n"/>
      <c r="M594" s="9" t="n"/>
      <c r="N594" s="9" t="n"/>
      <c r="O594" s="9" t="n"/>
      <c r="P594" s="9" t="n"/>
      <c r="Q594" s="9" t="n"/>
      <c r="R594" s="8">
        <f>IF($A594="","",COUNTIF(INV_Product,$A594))</f>
        <v/>
      </c>
      <c r="S594" s="8">
        <f>IF($A594="","",COUNTIFS(INV_Product,$A594,INV_Status,"Available"))</f>
        <v/>
      </c>
      <c r="T594" s="8">
        <f>IF($D594="","",IF(COUNTIFS(DD_PairCategory,$C594,DD_Subcategory,$D594)&gt;0,"ok","✗ "&amp;$D594&amp;" is not under "&amp;$C594))</f>
        <v/>
      </c>
      <c r="U594" s="8">
        <f>IF($F594="","",IF(COUNTIFS(PM_Brand,$E594,PM_Model,$F594)&gt;1,"⚠ duplicate product",IF(AND($B594&lt;&gt;"",COUNTIF(PM_Short,$B594)&gt;1),"⚠ short code reused","")))</f>
        <v/>
      </c>
      <c r="V594" s="5" t="n"/>
    </row>
    <row r="595">
      <c r="A595" s="8">
        <f>IF($F595="","","PRD-"&amp;TEXT(ROW()-3,"0000"))</f>
        <v/>
      </c>
      <c r="B595" s="5" t="n"/>
      <c r="C595" s="5" t="n"/>
      <c r="D595" s="5" t="n"/>
      <c r="E595" s="5" t="n"/>
      <c r="F595" s="5" t="n"/>
      <c r="G595" s="5" t="n"/>
      <c r="H595" s="5" t="n"/>
      <c r="I595" s="5" t="n"/>
      <c r="J595" s="5" t="n"/>
      <c r="K595" s="5" t="n"/>
      <c r="L595" s="5" t="n"/>
      <c r="M595" s="9" t="n"/>
      <c r="N595" s="9" t="n"/>
      <c r="O595" s="9" t="n"/>
      <c r="P595" s="9" t="n"/>
      <c r="Q595" s="9" t="n"/>
      <c r="R595" s="8">
        <f>IF($A595="","",COUNTIF(INV_Product,$A595))</f>
        <v/>
      </c>
      <c r="S595" s="8">
        <f>IF($A595="","",COUNTIFS(INV_Product,$A595,INV_Status,"Available"))</f>
        <v/>
      </c>
      <c r="T595" s="8">
        <f>IF($D595="","",IF(COUNTIFS(DD_PairCategory,$C595,DD_Subcategory,$D595)&gt;0,"ok","✗ "&amp;$D595&amp;" is not under "&amp;$C595))</f>
        <v/>
      </c>
      <c r="U595" s="8">
        <f>IF($F595="","",IF(COUNTIFS(PM_Brand,$E595,PM_Model,$F595)&gt;1,"⚠ duplicate product",IF(AND($B595&lt;&gt;"",COUNTIF(PM_Short,$B595)&gt;1),"⚠ short code reused","")))</f>
        <v/>
      </c>
      <c r="V595" s="5" t="n"/>
    </row>
    <row r="596">
      <c r="A596" s="8">
        <f>IF($F596="","","PRD-"&amp;TEXT(ROW()-3,"0000"))</f>
        <v/>
      </c>
      <c r="B596" s="5" t="n"/>
      <c r="C596" s="5" t="n"/>
      <c r="D596" s="5" t="n"/>
      <c r="E596" s="5" t="n"/>
      <c r="F596" s="5" t="n"/>
      <c r="G596" s="5" t="n"/>
      <c r="H596" s="5" t="n"/>
      <c r="I596" s="5" t="n"/>
      <c r="J596" s="5" t="n"/>
      <c r="K596" s="5" t="n"/>
      <c r="L596" s="5" t="n"/>
      <c r="M596" s="9" t="n"/>
      <c r="N596" s="9" t="n"/>
      <c r="O596" s="9" t="n"/>
      <c r="P596" s="9" t="n"/>
      <c r="Q596" s="9" t="n"/>
      <c r="R596" s="8">
        <f>IF($A596="","",COUNTIF(INV_Product,$A596))</f>
        <v/>
      </c>
      <c r="S596" s="8">
        <f>IF($A596="","",COUNTIFS(INV_Product,$A596,INV_Status,"Available"))</f>
        <v/>
      </c>
      <c r="T596" s="8">
        <f>IF($D596="","",IF(COUNTIFS(DD_PairCategory,$C596,DD_Subcategory,$D596)&gt;0,"ok","✗ "&amp;$D596&amp;" is not under "&amp;$C596))</f>
        <v/>
      </c>
      <c r="U596" s="8">
        <f>IF($F596="","",IF(COUNTIFS(PM_Brand,$E596,PM_Model,$F596)&gt;1,"⚠ duplicate product",IF(AND($B596&lt;&gt;"",COUNTIF(PM_Short,$B596)&gt;1),"⚠ short code reused","")))</f>
        <v/>
      </c>
      <c r="V596" s="5" t="n"/>
    </row>
    <row r="597">
      <c r="A597" s="8">
        <f>IF($F597="","","PRD-"&amp;TEXT(ROW()-3,"0000"))</f>
        <v/>
      </c>
      <c r="B597" s="5" t="n"/>
      <c r="C597" s="5" t="n"/>
      <c r="D597" s="5" t="n"/>
      <c r="E597" s="5" t="n"/>
      <c r="F597" s="5" t="n"/>
      <c r="G597" s="5" t="n"/>
      <c r="H597" s="5" t="n"/>
      <c r="I597" s="5" t="n"/>
      <c r="J597" s="5" t="n"/>
      <c r="K597" s="5" t="n"/>
      <c r="L597" s="5" t="n"/>
      <c r="M597" s="9" t="n"/>
      <c r="N597" s="9" t="n"/>
      <c r="O597" s="9" t="n"/>
      <c r="P597" s="9" t="n"/>
      <c r="Q597" s="9" t="n"/>
      <c r="R597" s="8">
        <f>IF($A597="","",COUNTIF(INV_Product,$A597))</f>
        <v/>
      </c>
      <c r="S597" s="8">
        <f>IF($A597="","",COUNTIFS(INV_Product,$A597,INV_Status,"Available"))</f>
        <v/>
      </c>
      <c r="T597" s="8">
        <f>IF($D597="","",IF(COUNTIFS(DD_PairCategory,$C597,DD_Subcategory,$D597)&gt;0,"ok","✗ "&amp;$D597&amp;" is not under "&amp;$C597))</f>
        <v/>
      </c>
      <c r="U597" s="8">
        <f>IF($F597="","",IF(COUNTIFS(PM_Brand,$E597,PM_Model,$F597)&gt;1,"⚠ duplicate product",IF(AND($B597&lt;&gt;"",COUNTIF(PM_Short,$B597)&gt;1),"⚠ short code reused","")))</f>
        <v/>
      </c>
      <c r="V597" s="5" t="n"/>
    </row>
    <row r="598">
      <c r="A598" s="8">
        <f>IF($F598="","","PRD-"&amp;TEXT(ROW()-3,"0000"))</f>
        <v/>
      </c>
      <c r="B598" s="5" t="n"/>
      <c r="C598" s="5" t="n"/>
      <c r="D598" s="5" t="n"/>
      <c r="E598" s="5" t="n"/>
      <c r="F598" s="5" t="n"/>
      <c r="G598" s="5" t="n"/>
      <c r="H598" s="5" t="n"/>
      <c r="I598" s="5" t="n"/>
      <c r="J598" s="5" t="n"/>
      <c r="K598" s="5" t="n"/>
      <c r="L598" s="5" t="n"/>
      <c r="M598" s="9" t="n"/>
      <c r="N598" s="9" t="n"/>
      <c r="O598" s="9" t="n"/>
      <c r="P598" s="9" t="n"/>
      <c r="Q598" s="9" t="n"/>
      <c r="R598" s="8">
        <f>IF($A598="","",COUNTIF(INV_Product,$A598))</f>
        <v/>
      </c>
      <c r="S598" s="8">
        <f>IF($A598="","",COUNTIFS(INV_Product,$A598,INV_Status,"Available"))</f>
        <v/>
      </c>
      <c r="T598" s="8">
        <f>IF($D598="","",IF(COUNTIFS(DD_PairCategory,$C598,DD_Subcategory,$D598)&gt;0,"ok","✗ "&amp;$D598&amp;" is not under "&amp;$C598))</f>
        <v/>
      </c>
      <c r="U598" s="8">
        <f>IF($F598="","",IF(COUNTIFS(PM_Brand,$E598,PM_Model,$F598)&gt;1,"⚠ duplicate product",IF(AND($B598&lt;&gt;"",COUNTIF(PM_Short,$B598)&gt;1),"⚠ short code reused","")))</f>
        <v/>
      </c>
      <c r="V598" s="5" t="n"/>
    </row>
    <row r="599">
      <c r="A599" s="8">
        <f>IF($F599="","","PRD-"&amp;TEXT(ROW()-3,"0000"))</f>
        <v/>
      </c>
      <c r="B599" s="5" t="n"/>
      <c r="C599" s="5" t="n"/>
      <c r="D599" s="5" t="n"/>
      <c r="E599" s="5" t="n"/>
      <c r="F599" s="5" t="n"/>
      <c r="G599" s="5" t="n"/>
      <c r="H599" s="5" t="n"/>
      <c r="I599" s="5" t="n"/>
      <c r="J599" s="5" t="n"/>
      <c r="K599" s="5" t="n"/>
      <c r="L599" s="5" t="n"/>
      <c r="M599" s="9" t="n"/>
      <c r="N599" s="9" t="n"/>
      <c r="O599" s="9" t="n"/>
      <c r="P599" s="9" t="n"/>
      <c r="Q599" s="9" t="n"/>
      <c r="R599" s="8">
        <f>IF($A599="","",COUNTIF(INV_Product,$A599))</f>
        <v/>
      </c>
      <c r="S599" s="8">
        <f>IF($A599="","",COUNTIFS(INV_Product,$A599,INV_Status,"Available"))</f>
        <v/>
      </c>
      <c r="T599" s="8">
        <f>IF($D599="","",IF(COUNTIFS(DD_PairCategory,$C599,DD_Subcategory,$D599)&gt;0,"ok","✗ "&amp;$D599&amp;" is not under "&amp;$C599))</f>
        <v/>
      </c>
      <c r="U599" s="8">
        <f>IF($F599="","",IF(COUNTIFS(PM_Brand,$E599,PM_Model,$F599)&gt;1,"⚠ duplicate product",IF(AND($B599&lt;&gt;"",COUNTIF(PM_Short,$B599)&gt;1),"⚠ short code reused","")))</f>
        <v/>
      </c>
      <c r="V599" s="5" t="n"/>
    </row>
    <row r="600">
      <c r="A600" s="8">
        <f>IF($F600="","","PRD-"&amp;TEXT(ROW()-3,"0000"))</f>
        <v/>
      </c>
      <c r="B600" s="5" t="n"/>
      <c r="C600" s="5" t="n"/>
      <c r="D600" s="5" t="n"/>
      <c r="E600" s="5" t="n"/>
      <c r="F600" s="5" t="n"/>
      <c r="G600" s="5" t="n"/>
      <c r="H600" s="5" t="n"/>
      <c r="I600" s="5" t="n"/>
      <c r="J600" s="5" t="n"/>
      <c r="K600" s="5" t="n"/>
      <c r="L600" s="5" t="n"/>
      <c r="M600" s="9" t="n"/>
      <c r="N600" s="9" t="n"/>
      <c r="O600" s="9" t="n"/>
      <c r="P600" s="9" t="n"/>
      <c r="Q600" s="9" t="n"/>
      <c r="R600" s="8">
        <f>IF($A600="","",COUNTIF(INV_Product,$A600))</f>
        <v/>
      </c>
      <c r="S600" s="8">
        <f>IF($A600="","",COUNTIFS(INV_Product,$A600,INV_Status,"Available"))</f>
        <v/>
      </c>
      <c r="T600" s="8">
        <f>IF($D600="","",IF(COUNTIFS(DD_PairCategory,$C600,DD_Subcategory,$D600)&gt;0,"ok","✗ "&amp;$D600&amp;" is not under "&amp;$C600))</f>
        <v/>
      </c>
      <c r="U600" s="8">
        <f>IF($F600="","",IF(COUNTIFS(PM_Brand,$E600,PM_Model,$F600)&gt;1,"⚠ duplicate product",IF(AND($B600&lt;&gt;"",COUNTIF(PM_Short,$B600)&gt;1),"⚠ short code reused","")))</f>
        <v/>
      </c>
      <c r="V600" s="5" t="n"/>
    </row>
    <row r="601">
      <c r="A601" s="8">
        <f>IF($F601="","","PRD-"&amp;TEXT(ROW()-3,"0000"))</f>
        <v/>
      </c>
      <c r="B601" s="5" t="n"/>
      <c r="C601" s="5" t="n"/>
      <c r="D601" s="5" t="n"/>
      <c r="E601" s="5" t="n"/>
      <c r="F601" s="5" t="n"/>
      <c r="G601" s="5" t="n"/>
      <c r="H601" s="5" t="n"/>
      <c r="I601" s="5" t="n"/>
      <c r="J601" s="5" t="n"/>
      <c r="K601" s="5" t="n"/>
      <c r="L601" s="5" t="n"/>
      <c r="M601" s="9" t="n"/>
      <c r="N601" s="9" t="n"/>
      <c r="O601" s="9" t="n"/>
      <c r="P601" s="9" t="n"/>
      <c r="Q601" s="9" t="n"/>
      <c r="R601" s="8">
        <f>IF($A601="","",COUNTIF(INV_Product,$A601))</f>
        <v/>
      </c>
      <c r="S601" s="8">
        <f>IF($A601="","",COUNTIFS(INV_Product,$A601,INV_Status,"Available"))</f>
        <v/>
      </c>
      <c r="T601" s="8">
        <f>IF($D601="","",IF(COUNTIFS(DD_PairCategory,$C601,DD_Subcategory,$D601)&gt;0,"ok","✗ "&amp;$D601&amp;" is not under "&amp;$C601))</f>
        <v/>
      </c>
      <c r="U601" s="8">
        <f>IF($F601="","",IF(COUNTIFS(PM_Brand,$E601,PM_Model,$F601)&gt;1,"⚠ duplicate product",IF(AND($B601&lt;&gt;"",COUNTIF(PM_Short,$B601)&gt;1),"⚠ short code reused","")))</f>
        <v/>
      </c>
      <c r="V601" s="5" t="n"/>
    </row>
    <row r="602">
      <c r="A602" s="8">
        <f>IF($F602="","","PRD-"&amp;TEXT(ROW()-3,"0000"))</f>
        <v/>
      </c>
      <c r="B602" s="5" t="n"/>
      <c r="C602" s="5" t="n"/>
      <c r="D602" s="5" t="n"/>
      <c r="E602" s="5" t="n"/>
      <c r="F602" s="5" t="n"/>
      <c r="G602" s="5" t="n"/>
      <c r="H602" s="5" t="n"/>
      <c r="I602" s="5" t="n"/>
      <c r="J602" s="5" t="n"/>
      <c r="K602" s="5" t="n"/>
      <c r="L602" s="5" t="n"/>
      <c r="M602" s="9" t="n"/>
      <c r="N602" s="9" t="n"/>
      <c r="O602" s="9" t="n"/>
      <c r="P602" s="9" t="n"/>
      <c r="Q602" s="9" t="n"/>
      <c r="R602" s="8">
        <f>IF($A602="","",COUNTIF(INV_Product,$A602))</f>
        <v/>
      </c>
      <c r="S602" s="8">
        <f>IF($A602="","",COUNTIFS(INV_Product,$A602,INV_Status,"Available"))</f>
        <v/>
      </c>
      <c r="T602" s="8">
        <f>IF($D602="","",IF(COUNTIFS(DD_PairCategory,$C602,DD_Subcategory,$D602)&gt;0,"ok","✗ "&amp;$D602&amp;" is not under "&amp;$C602))</f>
        <v/>
      </c>
      <c r="U602" s="8">
        <f>IF($F602="","",IF(COUNTIFS(PM_Brand,$E602,PM_Model,$F602)&gt;1,"⚠ duplicate product",IF(AND($B602&lt;&gt;"",COUNTIF(PM_Short,$B602)&gt;1),"⚠ short code reused","")))</f>
        <v/>
      </c>
      <c r="V602" s="5" t="n"/>
    </row>
    <row r="603">
      <c r="A603" s="8">
        <f>IF($F603="","","PRD-"&amp;TEXT(ROW()-3,"0000"))</f>
        <v/>
      </c>
      <c r="B603" s="5" t="n"/>
      <c r="C603" s="5" t="n"/>
      <c r="D603" s="5" t="n"/>
      <c r="E603" s="5" t="n"/>
      <c r="F603" s="5" t="n"/>
      <c r="G603" s="5" t="n"/>
      <c r="H603" s="5" t="n"/>
      <c r="I603" s="5" t="n"/>
      <c r="J603" s="5" t="n"/>
      <c r="K603" s="5" t="n"/>
      <c r="L603" s="5" t="n"/>
      <c r="M603" s="9" t="n"/>
      <c r="N603" s="9" t="n"/>
      <c r="O603" s="9" t="n"/>
      <c r="P603" s="9" t="n"/>
      <c r="Q603" s="9" t="n"/>
      <c r="R603" s="8">
        <f>IF($A603="","",COUNTIF(INV_Product,$A603))</f>
        <v/>
      </c>
      <c r="S603" s="8">
        <f>IF($A603="","",COUNTIFS(INV_Product,$A603,INV_Status,"Available"))</f>
        <v/>
      </c>
      <c r="T603" s="8">
        <f>IF($D603="","",IF(COUNTIFS(DD_PairCategory,$C603,DD_Subcategory,$D603)&gt;0,"ok","✗ "&amp;$D603&amp;" is not under "&amp;$C603))</f>
        <v/>
      </c>
      <c r="U603" s="8">
        <f>IF($F603="","",IF(COUNTIFS(PM_Brand,$E603,PM_Model,$F603)&gt;1,"⚠ duplicate product",IF(AND($B603&lt;&gt;"",COUNTIF(PM_Short,$B603)&gt;1),"⚠ short code reused","")))</f>
        <v/>
      </c>
      <c r="V603" s="5" t="n"/>
    </row>
    <row r="604"/>
    <row r="605">
      <c r="A605" s="3" t="inlineStr">
        <is>
          <t>Short code goes on the sticker and is what makes a Unit ID readable: CDJ3000-03. Keep it under about 10 characters, no spaces, and never reuse one.</t>
        </is>
      </c>
    </row>
    <row r="606">
      <c r="A606" s="3" t="inlineStr">
        <is>
          <t>Duplicate? watches two things: the same Brand + Model name entered twice, and the same short code used for two different products. Either one turns the row red.</t>
        </is>
      </c>
    </row>
  </sheetData>
  <conditionalFormatting sqref="A4:V603">
    <cfRule type="expression" priority="1" dxfId="0" stopIfTrue="0">
      <formula>$U4&lt;&gt;""</formula>
    </cfRule>
    <cfRule type="expression" priority="2" dxfId="1" stopIfTrue="0">
      <formula>LEFT($T4,1)="✗"</formula>
    </cfRule>
  </conditionalFormatting>
  <dataValidations count="3">
    <dataValidation sqref="C4:C603" showDropDown="0" showInputMessage="0" showErrorMessage="1" allowBlank="1" errorTitle="Pick from the list" error="Not on the list. Add it on the DROPDOWNS sheet and it will appear here." type="list">
      <formula1>=DD_Category</formula1>
    </dataValidation>
    <dataValidation sqref="D4:D603" showDropDown="0" showInputMessage="0" showErrorMessage="1" allowBlank="1" errorTitle="Pick from the list" error="Not on the list. Add it on the DROPDOWNS sheet and it will appear here." type="list">
      <formula1>=DD_Subcategory</formula1>
    </dataValidation>
    <dataValidation sqref="E4:E603" showDropDown="0" showInputMessage="0" showErrorMessage="1" allowBlank="1" errorTitle="Pick from the list" error="Not on the list. Add it on the DROPDOWNS sheet and it will appear here." type="list">
      <formula1>=DD_Brand</formula1>
    </dataValidation>
  </dataValidations>
  <pageMargins left="0.75" right="0.75" top="1" bottom="1" header="0.5" footer="0.5"/>
</worksheet>
</file>

<file path=xl/worksheets/sheet3.xml><?xml version="1.0" encoding="utf-8"?>
<worksheet xmlns="http://schemas.openxmlformats.org/spreadsheetml/2006/main">
  <sheetPr>
    <tabColor rgb="FF2563EB"/>
    <outlinePr summaryBelow="1" summaryRight="1"/>
    <pageSetUpPr/>
  </sheetPr>
  <dimension ref="A1:P200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0" customWidth="1" min="1" max="1"/>
    <col width="105" customWidth="1" min="2" max="2"/>
    <col width="90" customWidth="1" min="3" max="3"/>
    <col width="150" customWidth="1" min="4" max="4"/>
    <col width="175" customWidth="1" min="5" max="5"/>
    <col width="140" customWidth="1" min="6" max="6"/>
    <col width="210" customWidth="1" min="7" max="7"/>
    <col width="145" customWidth="1" min="8" max="8"/>
    <col width="105" customWidth="1" min="9" max="9"/>
    <col width="105" customWidth="1" min="10" max="10"/>
    <col width="130" customWidth="1" min="11" max="11"/>
    <col width="150" customWidth="1" min="12" max="12"/>
    <col width="130" customWidth="1" min="13" max="13"/>
    <col width="120" customWidth="1" min="14" max="14"/>
    <col width="165" customWidth="1" min="15" max="15"/>
    <col width="230" customWidth="1" min="16" max="16"/>
  </cols>
  <sheetData>
    <row r="1">
      <c r="A1" s="1" t="inlineStr">
        <is>
          <t>INVENTORY — one row per PHYSICAL PIECE</t>
        </is>
      </c>
    </row>
    <row r="2">
      <c r="A2" s="2" t="inlineStr">
        <is>
          <t>Six identical par cans are six rows here and one row on PRODUCT MASTER. You type only the blue-orange cells; the description columns look themselves up, so the same fact is never stored twice and can never disagree with itself.</t>
        </is>
      </c>
    </row>
    <row r="3" ht="34" customHeight="1">
      <c r="A3" s="7" t="inlineStr">
        <is>
          <t>Unit ID</t>
        </is>
      </c>
      <c r="B3" s="7" t="inlineStr">
        <is>
          <t>Product ID</t>
        </is>
      </c>
      <c r="C3" s="7" t="inlineStr">
        <is>
          <t>Piece no.</t>
        </is>
      </c>
      <c r="D3" s="7" t="inlineStr">
        <is>
          <t>Category</t>
        </is>
      </c>
      <c r="E3" s="7" t="inlineStr">
        <is>
          <t>Subcategory</t>
        </is>
      </c>
      <c r="F3" s="7" t="inlineStr">
        <is>
          <t>Brand</t>
        </is>
      </c>
      <c r="G3" s="7" t="inlineStr">
        <is>
          <t>Model name</t>
        </is>
      </c>
      <c r="H3" s="7" t="inlineStr">
        <is>
          <t>Serial number</t>
        </is>
      </c>
      <c r="I3" s="7" t="inlineStr">
        <is>
          <t>Bought on</t>
        </is>
      </c>
      <c r="J3" s="7" t="inlineStr">
        <is>
          <t>Cost</t>
        </is>
      </c>
      <c r="K3" s="7" t="inlineStr">
        <is>
          <t>Condition</t>
        </is>
      </c>
      <c r="L3" s="7" t="inlineStr">
        <is>
          <t>Status</t>
        </is>
      </c>
      <c r="M3" s="7" t="inlineStr">
        <is>
          <t>Where it is</t>
        </is>
      </c>
      <c r="N3" s="7" t="inlineStr">
        <is>
          <t>Owned / hired</t>
        </is>
      </c>
      <c r="O3" s="7" t="inlineStr">
        <is>
          <t>Duplicate?</t>
        </is>
      </c>
      <c r="P3" s="7" t="inlineStr">
        <is>
          <t>Notes</t>
        </is>
      </c>
    </row>
    <row r="4">
      <c r="A4" s="8">
        <f>IF(OR($B4="",$C4=""),"",IFERROR(INDEX(PM_Short,MATCH($B4,PM_ID,0))&amp;"-"&amp;TEXT($C4,"00"),"?? no such product"))</f>
        <v/>
      </c>
      <c r="B4" s="5" t="n"/>
      <c r="C4" s="5" t="n"/>
      <c r="D4" s="8">
        <f>IF($B4="","",IFERROR(INDEX(PM_Category,MATCH($B4,PM_ID,0)),""))</f>
        <v/>
      </c>
      <c r="E4" s="8">
        <f>IF($B4="","",IFERROR(INDEX(PM_Subcategory,MATCH($B4,PM_ID,0)),""))</f>
        <v/>
      </c>
      <c r="F4" s="8">
        <f>IF($B4="","",IFERROR(INDEX(PM_Brand,MATCH($B4,PM_ID,0)),""))</f>
        <v/>
      </c>
      <c r="G4" s="8">
        <f>IF($B4="","",IFERROR(INDEX(PM_Model,MATCH($B4,PM_ID,0)),""))</f>
        <v/>
      </c>
      <c r="H4" s="5" t="n"/>
      <c r="I4" s="10" t="n"/>
      <c r="J4" s="9" t="n"/>
      <c r="K4" s="5" t="n"/>
      <c r="L4" s="5" t="n"/>
      <c r="M4" s="5" t="n"/>
      <c r="N4" s="5" t="n"/>
      <c r="O4" s="8">
        <f>IF($B4="","",IF(AND($A4&lt;&gt;"",COUNTIF(INV_ID,$A4)&gt;1),"⚠ this Unit ID already exists",IF(AND($H4&lt;&gt;"",COUNTIF(INV_Serial,$H4)&gt;1),"⚠ this serial already exists",IF(COUNTIFS(INV_Product,$B4,INV_No,$C4)&gt;1,"⚠ piece number reused",""))))</f>
        <v/>
      </c>
      <c r="P4" s="5" t="n"/>
    </row>
    <row r="5">
      <c r="A5" s="8">
        <f>IF(OR($B5="",$C5=""),"",IFERROR(INDEX(PM_Short,MATCH($B5,PM_ID,0))&amp;"-"&amp;TEXT($C5,"00"),"?? no such product"))</f>
        <v/>
      </c>
      <c r="B5" s="5" t="n"/>
      <c r="C5" s="5" t="n"/>
      <c r="D5" s="8">
        <f>IF($B5="","",IFERROR(INDEX(PM_Category,MATCH($B5,PM_ID,0)),""))</f>
        <v/>
      </c>
      <c r="E5" s="8">
        <f>IF($B5="","",IFERROR(INDEX(PM_Subcategory,MATCH($B5,PM_ID,0)),""))</f>
        <v/>
      </c>
      <c r="F5" s="8">
        <f>IF($B5="","",IFERROR(INDEX(PM_Brand,MATCH($B5,PM_ID,0)),""))</f>
        <v/>
      </c>
      <c r="G5" s="8">
        <f>IF($B5="","",IFERROR(INDEX(PM_Model,MATCH($B5,PM_ID,0)),""))</f>
        <v/>
      </c>
      <c r="H5" s="5" t="n"/>
      <c r="I5" s="10" t="n"/>
      <c r="J5" s="9" t="n"/>
      <c r="K5" s="5" t="n"/>
      <c r="L5" s="5" t="n"/>
      <c r="M5" s="5" t="n"/>
      <c r="N5" s="5" t="n"/>
      <c r="O5" s="8">
        <f>IF($B5="","",IF(AND($A5&lt;&gt;"",COUNTIF(INV_ID,$A5)&gt;1),"⚠ this Unit ID already exists",IF(AND($H5&lt;&gt;"",COUNTIF(INV_Serial,$H5)&gt;1),"⚠ this serial already exists",IF(COUNTIFS(INV_Product,$B5,INV_No,$C5)&gt;1,"⚠ piece number reused",""))))</f>
        <v/>
      </c>
      <c r="P5" s="5" t="n"/>
    </row>
    <row r="6">
      <c r="A6" s="8">
        <f>IF(OR($B6="",$C6=""),"",IFERROR(INDEX(PM_Short,MATCH($B6,PM_ID,0))&amp;"-"&amp;TEXT($C6,"00"),"?? no such product"))</f>
        <v/>
      </c>
      <c r="B6" s="5" t="n"/>
      <c r="C6" s="5" t="n"/>
      <c r="D6" s="8">
        <f>IF($B6="","",IFERROR(INDEX(PM_Category,MATCH($B6,PM_ID,0)),""))</f>
        <v/>
      </c>
      <c r="E6" s="8">
        <f>IF($B6="","",IFERROR(INDEX(PM_Subcategory,MATCH($B6,PM_ID,0)),""))</f>
        <v/>
      </c>
      <c r="F6" s="8">
        <f>IF($B6="","",IFERROR(INDEX(PM_Brand,MATCH($B6,PM_ID,0)),""))</f>
        <v/>
      </c>
      <c r="G6" s="8">
        <f>IF($B6="","",IFERROR(INDEX(PM_Model,MATCH($B6,PM_ID,0)),""))</f>
        <v/>
      </c>
      <c r="H6" s="5" t="n"/>
      <c r="I6" s="10" t="n"/>
      <c r="J6" s="9" t="n"/>
      <c r="K6" s="5" t="n"/>
      <c r="L6" s="5" t="n"/>
      <c r="M6" s="5" t="n"/>
      <c r="N6" s="5" t="n"/>
      <c r="O6" s="8">
        <f>IF($B6="","",IF(AND($A6&lt;&gt;"",COUNTIF(INV_ID,$A6)&gt;1),"⚠ this Unit ID already exists",IF(AND($H6&lt;&gt;"",COUNTIF(INV_Serial,$H6)&gt;1),"⚠ this serial already exists",IF(COUNTIFS(INV_Product,$B6,INV_No,$C6)&gt;1,"⚠ piece number reused",""))))</f>
        <v/>
      </c>
      <c r="P6" s="5" t="n"/>
    </row>
    <row r="7">
      <c r="A7" s="8">
        <f>IF(OR($B7="",$C7=""),"",IFERROR(INDEX(PM_Short,MATCH($B7,PM_ID,0))&amp;"-"&amp;TEXT($C7,"00"),"?? no such product"))</f>
        <v/>
      </c>
      <c r="B7" s="5" t="n"/>
      <c r="C7" s="5" t="n"/>
      <c r="D7" s="8">
        <f>IF($B7="","",IFERROR(INDEX(PM_Category,MATCH($B7,PM_ID,0)),""))</f>
        <v/>
      </c>
      <c r="E7" s="8">
        <f>IF($B7="","",IFERROR(INDEX(PM_Subcategory,MATCH($B7,PM_ID,0)),""))</f>
        <v/>
      </c>
      <c r="F7" s="8">
        <f>IF($B7="","",IFERROR(INDEX(PM_Brand,MATCH($B7,PM_ID,0)),""))</f>
        <v/>
      </c>
      <c r="G7" s="8">
        <f>IF($B7="","",IFERROR(INDEX(PM_Model,MATCH($B7,PM_ID,0)),""))</f>
        <v/>
      </c>
      <c r="H7" s="5" t="n"/>
      <c r="I7" s="10" t="n"/>
      <c r="J7" s="9" t="n"/>
      <c r="K7" s="5" t="n"/>
      <c r="L7" s="5" t="n"/>
      <c r="M7" s="5" t="n"/>
      <c r="N7" s="5" t="n"/>
      <c r="O7" s="8">
        <f>IF($B7="","",IF(AND($A7&lt;&gt;"",COUNTIF(INV_ID,$A7)&gt;1),"⚠ this Unit ID already exists",IF(AND($H7&lt;&gt;"",COUNTIF(INV_Serial,$H7)&gt;1),"⚠ this serial already exists",IF(COUNTIFS(INV_Product,$B7,INV_No,$C7)&gt;1,"⚠ piece number reused",""))))</f>
        <v/>
      </c>
      <c r="P7" s="5" t="n"/>
    </row>
    <row r="8">
      <c r="A8" s="8">
        <f>IF(OR($B8="",$C8=""),"",IFERROR(INDEX(PM_Short,MATCH($B8,PM_ID,0))&amp;"-"&amp;TEXT($C8,"00"),"?? no such product"))</f>
        <v/>
      </c>
      <c r="B8" s="5" t="n"/>
      <c r="C8" s="5" t="n"/>
      <c r="D8" s="8">
        <f>IF($B8="","",IFERROR(INDEX(PM_Category,MATCH($B8,PM_ID,0)),""))</f>
        <v/>
      </c>
      <c r="E8" s="8">
        <f>IF($B8="","",IFERROR(INDEX(PM_Subcategory,MATCH($B8,PM_ID,0)),""))</f>
        <v/>
      </c>
      <c r="F8" s="8">
        <f>IF($B8="","",IFERROR(INDEX(PM_Brand,MATCH($B8,PM_ID,0)),""))</f>
        <v/>
      </c>
      <c r="G8" s="8">
        <f>IF($B8="","",IFERROR(INDEX(PM_Model,MATCH($B8,PM_ID,0)),""))</f>
        <v/>
      </c>
      <c r="H8" s="5" t="n"/>
      <c r="I8" s="10" t="n"/>
      <c r="J8" s="9" t="n"/>
      <c r="K8" s="5" t="n"/>
      <c r="L8" s="5" t="n"/>
      <c r="M8" s="5" t="n"/>
      <c r="N8" s="5" t="n"/>
      <c r="O8" s="8">
        <f>IF($B8="","",IF(AND($A8&lt;&gt;"",COUNTIF(INV_ID,$A8)&gt;1),"⚠ this Unit ID already exists",IF(AND($H8&lt;&gt;"",COUNTIF(INV_Serial,$H8)&gt;1),"⚠ this serial already exists",IF(COUNTIFS(INV_Product,$B8,INV_No,$C8)&gt;1,"⚠ piece number reused",""))))</f>
        <v/>
      </c>
      <c r="P8" s="5" t="n"/>
    </row>
    <row r="9">
      <c r="A9" s="8">
        <f>IF(OR($B9="",$C9=""),"",IFERROR(INDEX(PM_Short,MATCH($B9,PM_ID,0))&amp;"-"&amp;TEXT($C9,"00"),"?? no such product"))</f>
        <v/>
      </c>
      <c r="B9" s="5" t="n"/>
      <c r="C9" s="5" t="n"/>
      <c r="D9" s="8">
        <f>IF($B9="","",IFERROR(INDEX(PM_Category,MATCH($B9,PM_ID,0)),""))</f>
        <v/>
      </c>
      <c r="E9" s="8">
        <f>IF($B9="","",IFERROR(INDEX(PM_Subcategory,MATCH($B9,PM_ID,0)),""))</f>
        <v/>
      </c>
      <c r="F9" s="8">
        <f>IF($B9="","",IFERROR(INDEX(PM_Brand,MATCH($B9,PM_ID,0)),""))</f>
        <v/>
      </c>
      <c r="G9" s="8">
        <f>IF($B9="","",IFERROR(INDEX(PM_Model,MATCH($B9,PM_ID,0)),""))</f>
        <v/>
      </c>
      <c r="H9" s="5" t="n"/>
      <c r="I9" s="10" t="n"/>
      <c r="J9" s="9" t="n"/>
      <c r="K9" s="5" t="n"/>
      <c r="L9" s="5" t="n"/>
      <c r="M9" s="5" t="n"/>
      <c r="N9" s="5" t="n"/>
      <c r="O9" s="8">
        <f>IF($B9="","",IF(AND($A9&lt;&gt;"",COUNTIF(INV_ID,$A9)&gt;1),"⚠ this Unit ID already exists",IF(AND($H9&lt;&gt;"",COUNTIF(INV_Serial,$H9)&gt;1),"⚠ this serial already exists",IF(COUNTIFS(INV_Product,$B9,INV_No,$C9)&gt;1,"⚠ piece number reused",""))))</f>
        <v/>
      </c>
      <c r="P9" s="5" t="n"/>
    </row>
    <row r="10">
      <c r="A10" s="8">
        <f>IF(OR($B10="",$C10=""),"",IFERROR(INDEX(PM_Short,MATCH($B10,PM_ID,0))&amp;"-"&amp;TEXT($C10,"00"),"?? no such product"))</f>
        <v/>
      </c>
      <c r="B10" s="5" t="n"/>
      <c r="C10" s="5" t="n"/>
      <c r="D10" s="8">
        <f>IF($B10="","",IFERROR(INDEX(PM_Category,MATCH($B10,PM_ID,0)),""))</f>
        <v/>
      </c>
      <c r="E10" s="8">
        <f>IF($B10="","",IFERROR(INDEX(PM_Subcategory,MATCH($B10,PM_ID,0)),""))</f>
        <v/>
      </c>
      <c r="F10" s="8">
        <f>IF($B10="","",IFERROR(INDEX(PM_Brand,MATCH($B10,PM_ID,0)),""))</f>
        <v/>
      </c>
      <c r="G10" s="8">
        <f>IF($B10="","",IFERROR(INDEX(PM_Model,MATCH($B10,PM_ID,0)),""))</f>
        <v/>
      </c>
      <c r="H10" s="5" t="n"/>
      <c r="I10" s="10" t="n"/>
      <c r="J10" s="9" t="n"/>
      <c r="K10" s="5" t="n"/>
      <c r="L10" s="5" t="n"/>
      <c r="M10" s="5" t="n"/>
      <c r="N10" s="5" t="n"/>
      <c r="O10" s="8">
        <f>IF($B10="","",IF(AND($A10&lt;&gt;"",COUNTIF(INV_ID,$A10)&gt;1),"⚠ this Unit ID already exists",IF(AND($H10&lt;&gt;"",COUNTIF(INV_Serial,$H10)&gt;1),"⚠ this serial already exists",IF(COUNTIFS(INV_Product,$B10,INV_No,$C10)&gt;1,"⚠ piece number reused",""))))</f>
        <v/>
      </c>
      <c r="P10" s="5" t="n"/>
    </row>
    <row r="11">
      <c r="A11" s="8">
        <f>IF(OR($B11="",$C11=""),"",IFERROR(INDEX(PM_Short,MATCH($B11,PM_ID,0))&amp;"-"&amp;TEXT($C11,"00"),"?? no such product"))</f>
        <v/>
      </c>
      <c r="B11" s="5" t="n"/>
      <c r="C11" s="5" t="n"/>
      <c r="D11" s="8">
        <f>IF($B11="","",IFERROR(INDEX(PM_Category,MATCH($B11,PM_ID,0)),""))</f>
        <v/>
      </c>
      <c r="E11" s="8">
        <f>IF($B11="","",IFERROR(INDEX(PM_Subcategory,MATCH($B11,PM_ID,0)),""))</f>
        <v/>
      </c>
      <c r="F11" s="8">
        <f>IF($B11="","",IFERROR(INDEX(PM_Brand,MATCH($B11,PM_ID,0)),""))</f>
        <v/>
      </c>
      <c r="G11" s="8">
        <f>IF($B11="","",IFERROR(INDEX(PM_Model,MATCH($B11,PM_ID,0)),""))</f>
        <v/>
      </c>
      <c r="H11" s="5" t="n"/>
      <c r="I11" s="10" t="n"/>
      <c r="J11" s="9" t="n"/>
      <c r="K11" s="5" t="n"/>
      <c r="L11" s="5" t="n"/>
      <c r="M11" s="5" t="n"/>
      <c r="N11" s="5" t="n"/>
      <c r="O11" s="8">
        <f>IF($B11="","",IF(AND($A11&lt;&gt;"",COUNTIF(INV_ID,$A11)&gt;1),"⚠ this Unit ID already exists",IF(AND($H11&lt;&gt;"",COUNTIF(INV_Serial,$H11)&gt;1),"⚠ this serial already exists",IF(COUNTIFS(INV_Product,$B11,INV_No,$C11)&gt;1,"⚠ piece number reused",""))))</f>
        <v/>
      </c>
      <c r="P11" s="5" t="n"/>
    </row>
    <row r="12">
      <c r="A12" s="8">
        <f>IF(OR($B12="",$C12=""),"",IFERROR(INDEX(PM_Short,MATCH($B12,PM_ID,0))&amp;"-"&amp;TEXT($C12,"00"),"?? no such product"))</f>
        <v/>
      </c>
      <c r="B12" s="5" t="n"/>
      <c r="C12" s="5" t="n"/>
      <c r="D12" s="8">
        <f>IF($B12="","",IFERROR(INDEX(PM_Category,MATCH($B12,PM_ID,0)),""))</f>
        <v/>
      </c>
      <c r="E12" s="8">
        <f>IF($B12="","",IFERROR(INDEX(PM_Subcategory,MATCH($B12,PM_ID,0)),""))</f>
        <v/>
      </c>
      <c r="F12" s="8">
        <f>IF($B12="","",IFERROR(INDEX(PM_Brand,MATCH($B12,PM_ID,0)),""))</f>
        <v/>
      </c>
      <c r="G12" s="8">
        <f>IF($B12="","",IFERROR(INDEX(PM_Model,MATCH($B12,PM_ID,0)),""))</f>
        <v/>
      </c>
      <c r="H12" s="5" t="n"/>
      <c r="I12" s="10" t="n"/>
      <c r="J12" s="9" t="n"/>
      <c r="K12" s="5" t="n"/>
      <c r="L12" s="5" t="n"/>
      <c r="M12" s="5" t="n"/>
      <c r="N12" s="5" t="n"/>
      <c r="O12" s="8">
        <f>IF($B12="","",IF(AND($A12&lt;&gt;"",COUNTIF(INV_ID,$A12)&gt;1),"⚠ this Unit ID already exists",IF(AND($H12&lt;&gt;"",COUNTIF(INV_Serial,$H12)&gt;1),"⚠ this serial already exists",IF(COUNTIFS(INV_Product,$B12,INV_No,$C12)&gt;1,"⚠ piece number reused",""))))</f>
        <v/>
      </c>
      <c r="P12" s="5" t="n"/>
    </row>
    <row r="13">
      <c r="A13" s="8">
        <f>IF(OR($B13="",$C13=""),"",IFERROR(INDEX(PM_Short,MATCH($B13,PM_ID,0))&amp;"-"&amp;TEXT($C13,"00"),"?? no such product"))</f>
        <v/>
      </c>
      <c r="B13" s="5" t="n"/>
      <c r="C13" s="5" t="n"/>
      <c r="D13" s="8">
        <f>IF($B13="","",IFERROR(INDEX(PM_Category,MATCH($B13,PM_ID,0)),""))</f>
        <v/>
      </c>
      <c r="E13" s="8">
        <f>IF($B13="","",IFERROR(INDEX(PM_Subcategory,MATCH($B13,PM_ID,0)),""))</f>
        <v/>
      </c>
      <c r="F13" s="8">
        <f>IF($B13="","",IFERROR(INDEX(PM_Brand,MATCH($B13,PM_ID,0)),""))</f>
        <v/>
      </c>
      <c r="G13" s="8">
        <f>IF($B13="","",IFERROR(INDEX(PM_Model,MATCH($B13,PM_ID,0)),""))</f>
        <v/>
      </c>
      <c r="H13" s="5" t="n"/>
      <c r="I13" s="10" t="n"/>
      <c r="J13" s="9" t="n"/>
      <c r="K13" s="5" t="n"/>
      <c r="L13" s="5" t="n"/>
      <c r="M13" s="5" t="n"/>
      <c r="N13" s="5" t="n"/>
      <c r="O13" s="8">
        <f>IF($B13="","",IF(AND($A13&lt;&gt;"",COUNTIF(INV_ID,$A13)&gt;1),"⚠ this Unit ID already exists",IF(AND($H13&lt;&gt;"",COUNTIF(INV_Serial,$H13)&gt;1),"⚠ this serial already exists",IF(COUNTIFS(INV_Product,$B13,INV_No,$C13)&gt;1,"⚠ piece number reused",""))))</f>
        <v/>
      </c>
      <c r="P13" s="5" t="n"/>
    </row>
    <row r="14">
      <c r="A14" s="8">
        <f>IF(OR($B14="",$C14=""),"",IFERROR(INDEX(PM_Short,MATCH($B14,PM_ID,0))&amp;"-"&amp;TEXT($C14,"00"),"?? no such product"))</f>
        <v/>
      </c>
      <c r="B14" s="5" t="n"/>
      <c r="C14" s="5" t="n"/>
      <c r="D14" s="8">
        <f>IF($B14="","",IFERROR(INDEX(PM_Category,MATCH($B14,PM_ID,0)),""))</f>
        <v/>
      </c>
      <c r="E14" s="8">
        <f>IF($B14="","",IFERROR(INDEX(PM_Subcategory,MATCH($B14,PM_ID,0)),""))</f>
        <v/>
      </c>
      <c r="F14" s="8">
        <f>IF($B14="","",IFERROR(INDEX(PM_Brand,MATCH($B14,PM_ID,0)),""))</f>
        <v/>
      </c>
      <c r="G14" s="8">
        <f>IF($B14="","",IFERROR(INDEX(PM_Model,MATCH($B14,PM_ID,0)),""))</f>
        <v/>
      </c>
      <c r="H14" s="5" t="n"/>
      <c r="I14" s="10" t="n"/>
      <c r="J14" s="9" t="n"/>
      <c r="K14" s="5" t="n"/>
      <c r="L14" s="5" t="n"/>
      <c r="M14" s="5" t="n"/>
      <c r="N14" s="5" t="n"/>
      <c r="O14" s="8">
        <f>IF($B14="","",IF(AND($A14&lt;&gt;"",COUNTIF(INV_ID,$A14)&gt;1),"⚠ this Unit ID already exists",IF(AND($H14&lt;&gt;"",COUNTIF(INV_Serial,$H14)&gt;1),"⚠ this serial already exists",IF(COUNTIFS(INV_Product,$B14,INV_No,$C14)&gt;1,"⚠ piece number reused",""))))</f>
        <v/>
      </c>
      <c r="P14" s="5" t="n"/>
    </row>
    <row r="15">
      <c r="A15" s="8">
        <f>IF(OR($B15="",$C15=""),"",IFERROR(INDEX(PM_Short,MATCH($B15,PM_ID,0))&amp;"-"&amp;TEXT($C15,"00"),"?? no such product"))</f>
        <v/>
      </c>
      <c r="B15" s="5" t="n"/>
      <c r="C15" s="5" t="n"/>
      <c r="D15" s="8">
        <f>IF($B15="","",IFERROR(INDEX(PM_Category,MATCH($B15,PM_ID,0)),""))</f>
        <v/>
      </c>
      <c r="E15" s="8">
        <f>IF($B15="","",IFERROR(INDEX(PM_Subcategory,MATCH($B15,PM_ID,0)),""))</f>
        <v/>
      </c>
      <c r="F15" s="8">
        <f>IF($B15="","",IFERROR(INDEX(PM_Brand,MATCH($B15,PM_ID,0)),""))</f>
        <v/>
      </c>
      <c r="G15" s="8">
        <f>IF($B15="","",IFERROR(INDEX(PM_Model,MATCH($B15,PM_ID,0)),""))</f>
        <v/>
      </c>
      <c r="H15" s="5" t="n"/>
      <c r="I15" s="10" t="n"/>
      <c r="J15" s="9" t="n"/>
      <c r="K15" s="5" t="n"/>
      <c r="L15" s="5" t="n"/>
      <c r="M15" s="5" t="n"/>
      <c r="N15" s="5" t="n"/>
      <c r="O15" s="8">
        <f>IF($B15="","",IF(AND($A15&lt;&gt;"",COUNTIF(INV_ID,$A15)&gt;1),"⚠ this Unit ID already exists",IF(AND($H15&lt;&gt;"",COUNTIF(INV_Serial,$H15)&gt;1),"⚠ this serial already exists",IF(COUNTIFS(INV_Product,$B15,INV_No,$C15)&gt;1,"⚠ piece number reused",""))))</f>
        <v/>
      </c>
      <c r="P15" s="5" t="n"/>
    </row>
    <row r="16">
      <c r="A16" s="8">
        <f>IF(OR($B16="",$C16=""),"",IFERROR(INDEX(PM_Short,MATCH($B16,PM_ID,0))&amp;"-"&amp;TEXT($C16,"00"),"?? no such product"))</f>
        <v/>
      </c>
      <c r="B16" s="5" t="n"/>
      <c r="C16" s="5" t="n"/>
      <c r="D16" s="8">
        <f>IF($B16="","",IFERROR(INDEX(PM_Category,MATCH($B16,PM_ID,0)),""))</f>
        <v/>
      </c>
      <c r="E16" s="8">
        <f>IF($B16="","",IFERROR(INDEX(PM_Subcategory,MATCH($B16,PM_ID,0)),""))</f>
        <v/>
      </c>
      <c r="F16" s="8">
        <f>IF($B16="","",IFERROR(INDEX(PM_Brand,MATCH($B16,PM_ID,0)),""))</f>
        <v/>
      </c>
      <c r="G16" s="8">
        <f>IF($B16="","",IFERROR(INDEX(PM_Model,MATCH($B16,PM_ID,0)),""))</f>
        <v/>
      </c>
      <c r="H16" s="5" t="n"/>
      <c r="I16" s="10" t="n"/>
      <c r="J16" s="9" t="n"/>
      <c r="K16" s="5" t="n"/>
      <c r="L16" s="5" t="n"/>
      <c r="M16" s="5" t="n"/>
      <c r="N16" s="5" t="n"/>
      <c r="O16" s="8">
        <f>IF($B16="","",IF(AND($A16&lt;&gt;"",COUNTIF(INV_ID,$A16)&gt;1),"⚠ this Unit ID already exists",IF(AND($H16&lt;&gt;"",COUNTIF(INV_Serial,$H16)&gt;1),"⚠ this serial already exists",IF(COUNTIFS(INV_Product,$B16,INV_No,$C16)&gt;1,"⚠ piece number reused",""))))</f>
        <v/>
      </c>
      <c r="P16" s="5" t="n"/>
    </row>
    <row r="17">
      <c r="A17" s="8">
        <f>IF(OR($B17="",$C17=""),"",IFERROR(INDEX(PM_Short,MATCH($B17,PM_ID,0))&amp;"-"&amp;TEXT($C17,"00"),"?? no such product"))</f>
        <v/>
      </c>
      <c r="B17" s="5" t="n"/>
      <c r="C17" s="5" t="n"/>
      <c r="D17" s="8">
        <f>IF($B17="","",IFERROR(INDEX(PM_Category,MATCH($B17,PM_ID,0)),""))</f>
        <v/>
      </c>
      <c r="E17" s="8">
        <f>IF($B17="","",IFERROR(INDEX(PM_Subcategory,MATCH($B17,PM_ID,0)),""))</f>
        <v/>
      </c>
      <c r="F17" s="8">
        <f>IF($B17="","",IFERROR(INDEX(PM_Brand,MATCH($B17,PM_ID,0)),""))</f>
        <v/>
      </c>
      <c r="G17" s="8">
        <f>IF($B17="","",IFERROR(INDEX(PM_Model,MATCH($B17,PM_ID,0)),""))</f>
        <v/>
      </c>
      <c r="H17" s="5" t="n"/>
      <c r="I17" s="10" t="n"/>
      <c r="J17" s="9" t="n"/>
      <c r="K17" s="5" t="n"/>
      <c r="L17" s="5" t="n"/>
      <c r="M17" s="5" t="n"/>
      <c r="N17" s="5" t="n"/>
      <c r="O17" s="8">
        <f>IF($B17="","",IF(AND($A17&lt;&gt;"",COUNTIF(INV_ID,$A17)&gt;1),"⚠ this Unit ID already exists",IF(AND($H17&lt;&gt;"",COUNTIF(INV_Serial,$H17)&gt;1),"⚠ this serial already exists",IF(COUNTIFS(INV_Product,$B17,INV_No,$C17)&gt;1,"⚠ piece number reused",""))))</f>
        <v/>
      </c>
      <c r="P17" s="5" t="n"/>
    </row>
    <row r="18">
      <c r="A18" s="8">
        <f>IF(OR($B18="",$C18=""),"",IFERROR(INDEX(PM_Short,MATCH($B18,PM_ID,0))&amp;"-"&amp;TEXT($C18,"00"),"?? no such product"))</f>
        <v/>
      </c>
      <c r="B18" s="5" t="n"/>
      <c r="C18" s="5" t="n"/>
      <c r="D18" s="8">
        <f>IF($B18="","",IFERROR(INDEX(PM_Category,MATCH($B18,PM_ID,0)),""))</f>
        <v/>
      </c>
      <c r="E18" s="8">
        <f>IF($B18="","",IFERROR(INDEX(PM_Subcategory,MATCH($B18,PM_ID,0)),""))</f>
        <v/>
      </c>
      <c r="F18" s="8">
        <f>IF($B18="","",IFERROR(INDEX(PM_Brand,MATCH($B18,PM_ID,0)),""))</f>
        <v/>
      </c>
      <c r="G18" s="8">
        <f>IF($B18="","",IFERROR(INDEX(PM_Model,MATCH($B18,PM_ID,0)),""))</f>
        <v/>
      </c>
      <c r="H18" s="5" t="n"/>
      <c r="I18" s="10" t="n"/>
      <c r="J18" s="9" t="n"/>
      <c r="K18" s="5" t="n"/>
      <c r="L18" s="5" t="n"/>
      <c r="M18" s="5" t="n"/>
      <c r="N18" s="5" t="n"/>
      <c r="O18" s="8">
        <f>IF($B18="","",IF(AND($A18&lt;&gt;"",COUNTIF(INV_ID,$A18)&gt;1),"⚠ this Unit ID already exists",IF(AND($H18&lt;&gt;"",COUNTIF(INV_Serial,$H18)&gt;1),"⚠ this serial already exists",IF(COUNTIFS(INV_Product,$B18,INV_No,$C18)&gt;1,"⚠ piece number reused",""))))</f>
        <v/>
      </c>
      <c r="P18" s="5" t="n"/>
    </row>
    <row r="19">
      <c r="A19" s="8">
        <f>IF(OR($B19="",$C19=""),"",IFERROR(INDEX(PM_Short,MATCH($B19,PM_ID,0))&amp;"-"&amp;TEXT($C19,"00"),"?? no such product"))</f>
        <v/>
      </c>
      <c r="B19" s="5" t="n"/>
      <c r="C19" s="5" t="n"/>
      <c r="D19" s="8">
        <f>IF($B19="","",IFERROR(INDEX(PM_Category,MATCH($B19,PM_ID,0)),""))</f>
        <v/>
      </c>
      <c r="E19" s="8">
        <f>IF($B19="","",IFERROR(INDEX(PM_Subcategory,MATCH($B19,PM_ID,0)),""))</f>
        <v/>
      </c>
      <c r="F19" s="8">
        <f>IF($B19="","",IFERROR(INDEX(PM_Brand,MATCH($B19,PM_ID,0)),""))</f>
        <v/>
      </c>
      <c r="G19" s="8">
        <f>IF($B19="","",IFERROR(INDEX(PM_Model,MATCH($B19,PM_ID,0)),""))</f>
        <v/>
      </c>
      <c r="H19" s="5" t="n"/>
      <c r="I19" s="10" t="n"/>
      <c r="J19" s="9" t="n"/>
      <c r="K19" s="5" t="n"/>
      <c r="L19" s="5" t="n"/>
      <c r="M19" s="5" t="n"/>
      <c r="N19" s="5" t="n"/>
      <c r="O19" s="8">
        <f>IF($B19="","",IF(AND($A19&lt;&gt;"",COUNTIF(INV_ID,$A19)&gt;1),"⚠ this Unit ID already exists",IF(AND($H19&lt;&gt;"",COUNTIF(INV_Serial,$H19)&gt;1),"⚠ this serial already exists",IF(COUNTIFS(INV_Product,$B19,INV_No,$C19)&gt;1,"⚠ piece number reused",""))))</f>
        <v/>
      </c>
      <c r="P19" s="5" t="n"/>
    </row>
    <row r="20">
      <c r="A20" s="8">
        <f>IF(OR($B20="",$C20=""),"",IFERROR(INDEX(PM_Short,MATCH($B20,PM_ID,0))&amp;"-"&amp;TEXT($C20,"00"),"?? no such product"))</f>
        <v/>
      </c>
      <c r="B20" s="5" t="n"/>
      <c r="C20" s="5" t="n"/>
      <c r="D20" s="8">
        <f>IF($B20="","",IFERROR(INDEX(PM_Category,MATCH($B20,PM_ID,0)),""))</f>
        <v/>
      </c>
      <c r="E20" s="8">
        <f>IF($B20="","",IFERROR(INDEX(PM_Subcategory,MATCH($B20,PM_ID,0)),""))</f>
        <v/>
      </c>
      <c r="F20" s="8">
        <f>IF($B20="","",IFERROR(INDEX(PM_Brand,MATCH($B20,PM_ID,0)),""))</f>
        <v/>
      </c>
      <c r="G20" s="8">
        <f>IF($B20="","",IFERROR(INDEX(PM_Model,MATCH($B20,PM_ID,0)),""))</f>
        <v/>
      </c>
      <c r="H20" s="5" t="n"/>
      <c r="I20" s="10" t="n"/>
      <c r="J20" s="9" t="n"/>
      <c r="K20" s="5" t="n"/>
      <c r="L20" s="5" t="n"/>
      <c r="M20" s="5" t="n"/>
      <c r="N20" s="5" t="n"/>
      <c r="O20" s="8">
        <f>IF($B20="","",IF(AND($A20&lt;&gt;"",COUNTIF(INV_ID,$A20)&gt;1),"⚠ this Unit ID already exists",IF(AND($H20&lt;&gt;"",COUNTIF(INV_Serial,$H20)&gt;1),"⚠ this serial already exists",IF(COUNTIFS(INV_Product,$B20,INV_No,$C20)&gt;1,"⚠ piece number reused",""))))</f>
        <v/>
      </c>
      <c r="P20" s="5" t="n"/>
    </row>
    <row r="21">
      <c r="A21" s="8">
        <f>IF(OR($B21="",$C21=""),"",IFERROR(INDEX(PM_Short,MATCH($B21,PM_ID,0))&amp;"-"&amp;TEXT($C21,"00"),"?? no such product"))</f>
        <v/>
      </c>
      <c r="B21" s="5" t="n"/>
      <c r="C21" s="5" t="n"/>
      <c r="D21" s="8">
        <f>IF($B21="","",IFERROR(INDEX(PM_Category,MATCH($B21,PM_ID,0)),""))</f>
        <v/>
      </c>
      <c r="E21" s="8">
        <f>IF($B21="","",IFERROR(INDEX(PM_Subcategory,MATCH($B21,PM_ID,0)),""))</f>
        <v/>
      </c>
      <c r="F21" s="8">
        <f>IF($B21="","",IFERROR(INDEX(PM_Brand,MATCH($B21,PM_ID,0)),""))</f>
        <v/>
      </c>
      <c r="G21" s="8">
        <f>IF($B21="","",IFERROR(INDEX(PM_Model,MATCH($B21,PM_ID,0)),""))</f>
        <v/>
      </c>
      <c r="H21" s="5" t="n"/>
      <c r="I21" s="10" t="n"/>
      <c r="J21" s="9" t="n"/>
      <c r="K21" s="5" t="n"/>
      <c r="L21" s="5" t="n"/>
      <c r="M21" s="5" t="n"/>
      <c r="N21" s="5" t="n"/>
      <c r="O21" s="8">
        <f>IF($B21="","",IF(AND($A21&lt;&gt;"",COUNTIF(INV_ID,$A21)&gt;1),"⚠ this Unit ID already exists",IF(AND($H21&lt;&gt;"",COUNTIF(INV_Serial,$H21)&gt;1),"⚠ this serial already exists",IF(COUNTIFS(INV_Product,$B21,INV_No,$C21)&gt;1,"⚠ piece number reused",""))))</f>
        <v/>
      </c>
      <c r="P21" s="5" t="n"/>
    </row>
    <row r="22">
      <c r="A22" s="8">
        <f>IF(OR($B22="",$C22=""),"",IFERROR(INDEX(PM_Short,MATCH($B22,PM_ID,0))&amp;"-"&amp;TEXT($C22,"00"),"?? no such product"))</f>
        <v/>
      </c>
      <c r="B22" s="5" t="n"/>
      <c r="C22" s="5" t="n"/>
      <c r="D22" s="8">
        <f>IF($B22="","",IFERROR(INDEX(PM_Category,MATCH($B22,PM_ID,0)),""))</f>
        <v/>
      </c>
      <c r="E22" s="8">
        <f>IF($B22="","",IFERROR(INDEX(PM_Subcategory,MATCH($B22,PM_ID,0)),""))</f>
        <v/>
      </c>
      <c r="F22" s="8">
        <f>IF($B22="","",IFERROR(INDEX(PM_Brand,MATCH($B22,PM_ID,0)),""))</f>
        <v/>
      </c>
      <c r="G22" s="8">
        <f>IF($B22="","",IFERROR(INDEX(PM_Model,MATCH($B22,PM_ID,0)),""))</f>
        <v/>
      </c>
      <c r="H22" s="5" t="n"/>
      <c r="I22" s="10" t="n"/>
      <c r="J22" s="9" t="n"/>
      <c r="K22" s="5" t="n"/>
      <c r="L22" s="5" t="n"/>
      <c r="M22" s="5" t="n"/>
      <c r="N22" s="5" t="n"/>
      <c r="O22" s="8">
        <f>IF($B22="","",IF(AND($A22&lt;&gt;"",COUNTIF(INV_ID,$A22)&gt;1),"⚠ this Unit ID already exists",IF(AND($H22&lt;&gt;"",COUNTIF(INV_Serial,$H22)&gt;1),"⚠ this serial already exists",IF(COUNTIFS(INV_Product,$B22,INV_No,$C22)&gt;1,"⚠ piece number reused",""))))</f>
        <v/>
      </c>
      <c r="P22" s="5" t="n"/>
    </row>
    <row r="23">
      <c r="A23" s="8">
        <f>IF(OR($B23="",$C23=""),"",IFERROR(INDEX(PM_Short,MATCH($B23,PM_ID,0))&amp;"-"&amp;TEXT($C23,"00"),"?? no such product"))</f>
        <v/>
      </c>
      <c r="B23" s="5" t="n"/>
      <c r="C23" s="5" t="n"/>
      <c r="D23" s="8">
        <f>IF($B23="","",IFERROR(INDEX(PM_Category,MATCH($B23,PM_ID,0)),""))</f>
        <v/>
      </c>
      <c r="E23" s="8">
        <f>IF($B23="","",IFERROR(INDEX(PM_Subcategory,MATCH($B23,PM_ID,0)),""))</f>
        <v/>
      </c>
      <c r="F23" s="8">
        <f>IF($B23="","",IFERROR(INDEX(PM_Brand,MATCH($B23,PM_ID,0)),""))</f>
        <v/>
      </c>
      <c r="G23" s="8">
        <f>IF($B23="","",IFERROR(INDEX(PM_Model,MATCH($B23,PM_ID,0)),""))</f>
        <v/>
      </c>
      <c r="H23" s="5" t="n"/>
      <c r="I23" s="10" t="n"/>
      <c r="J23" s="9" t="n"/>
      <c r="K23" s="5" t="n"/>
      <c r="L23" s="5" t="n"/>
      <c r="M23" s="5" t="n"/>
      <c r="N23" s="5" t="n"/>
      <c r="O23" s="8">
        <f>IF($B23="","",IF(AND($A23&lt;&gt;"",COUNTIF(INV_ID,$A23)&gt;1),"⚠ this Unit ID already exists",IF(AND($H23&lt;&gt;"",COUNTIF(INV_Serial,$H23)&gt;1),"⚠ this serial already exists",IF(COUNTIFS(INV_Product,$B23,INV_No,$C23)&gt;1,"⚠ piece number reused",""))))</f>
        <v/>
      </c>
      <c r="P23" s="5" t="n"/>
    </row>
    <row r="24">
      <c r="A24" s="8">
        <f>IF(OR($B24="",$C24=""),"",IFERROR(INDEX(PM_Short,MATCH($B24,PM_ID,0))&amp;"-"&amp;TEXT($C24,"00"),"?? no such product"))</f>
        <v/>
      </c>
      <c r="B24" s="5" t="n"/>
      <c r="C24" s="5" t="n"/>
      <c r="D24" s="8">
        <f>IF($B24="","",IFERROR(INDEX(PM_Category,MATCH($B24,PM_ID,0)),""))</f>
        <v/>
      </c>
      <c r="E24" s="8">
        <f>IF($B24="","",IFERROR(INDEX(PM_Subcategory,MATCH($B24,PM_ID,0)),""))</f>
        <v/>
      </c>
      <c r="F24" s="8">
        <f>IF($B24="","",IFERROR(INDEX(PM_Brand,MATCH($B24,PM_ID,0)),""))</f>
        <v/>
      </c>
      <c r="G24" s="8">
        <f>IF($B24="","",IFERROR(INDEX(PM_Model,MATCH($B24,PM_ID,0)),""))</f>
        <v/>
      </c>
      <c r="H24" s="5" t="n"/>
      <c r="I24" s="10" t="n"/>
      <c r="J24" s="9" t="n"/>
      <c r="K24" s="5" t="n"/>
      <c r="L24" s="5" t="n"/>
      <c r="M24" s="5" t="n"/>
      <c r="N24" s="5" t="n"/>
      <c r="O24" s="8">
        <f>IF($B24="","",IF(AND($A24&lt;&gt;"",COUNTIF(INV_ID,$A24)&gt;1),"⚠ this Unit ID already exists",IF(AND($H24&lt;&gt;"",COUNTIF(INV_Serial,$H24)&gt;1),"⚠ this serial already exists",IF(COUNTIFS(INV_Product,$B24,INV_No,$C24)&gt;1,"⚠ piece number reused",""))))</f>
        <v/>
      </c>
      <c r="P24" s="5" t="n"/>
    </row>
    <row r="25">
      <c r="A25" s="8">
        <f>IF(OR($B25="",$C25=""),"",IFERROR(INDEX(PM_Short,MATCH($B25,PM_ID,0))&amp;"-"&amp;TEXT($C25,"00"),"?? no such product"))</f>
        <v/>
      </c>
      <c r="B25" s="5" t="n"/>
      <c r="C25" s="5" t="n"/>
      <c r="D25" s="8">
        <f>IF($B25="","",IFERROR(INDEX(PM_Category,MATCH($B25,PM_ID,0)),""))</f>
        <v/>
      </c>
      <c r="E25" s="8">
        <f>IF($B25="","",IFERROR(INDEX(PM_Subcategory,MATCH($B25,PM_ID,0)),""))</f>
        <v/>
      </c>
      <c r="F25" s="8">
        <f>IF($B25="","",IFERROR(INDEX(PM_Brand,MATCH($B25,PM_ID,0)),""))</f>
        <v/>
      </c>
      <c r="G25" s="8">
        <f>IF($B25="","",IFERROR(INDEX(PM_Model,MATCH($B25,PM_ID,0)),""))</f>
        <v/>
      </c>
      <c r="H25" s="5" t="n"/>
      <c r="I25" s="10" t="n"/>
      <c r="J25" s="9" t="n"/>
      <c r="K25" s="5" t="n"/>
      <c r="L25" s="5" t="n"/>
      <c r="M25" s="5" t="n"/>
      <c r="N25" s="5" t="n"/>
      <c r="O25" s="8">
        <f>IF($B25="","",IF(AND($A25&lt;&gt;"",COUNTIF(INV_ID,$A25)&gt;1),"⚠ this Unit ID already exists",IF(AND($H25&lt;&gt;"",COUNTIF(INV_Serial,$H25)&gt;1),"⚠ this serial already exists",IF(COUNTIFS(INV_Product,$B25,INV_No,$C25)&gt;1,"⚠ piece number reused",""))))</f>
        <v/>
      </c>
      <c r="P25" s="5" t="n"/>
    </row>
    <row r="26">
      <c r="A26" s="8">
        <f>IF(OR($B26="",$C26=""),"",IFERROR(INDEX(PM_Short,MATCH($B26,PM_ID,0))&amp;"-"&amp;TEXT($C26,"00"),"?? no such product"))</f>
        <v/>
      </c>
      <c r="B26" s="5" t="n"/>
      <c r="C26" s="5" t="n"/>
      <c r="D26" s="8">
        <f>IF($B26="","",IFERROR(INDEX(PM_Category,MATCH($B26,PM_ID,0)),""))</f>
        <v/>
      </c>
      <c r="E26" s="8">
        <f>IF($B26="","",IFERROR(INDEX(PM_Subcategory,MATCH($B26,PM_ID,0)),""))</f>
        <v/>
      </c>
      <c r="F26" s="8">
        <f>IF($B26="","",IFERROR(INDEX(PM_Brand,MATCH($B26,PM_ID,0)),""))</f>
        <v/>
      </c>
      <c r="G26" s="8">
        <f>IF($B26="","",IFERROR(INDEX(PM_Model,MATCH($B26,PM_ID,0)),""))</f>
        <v/>
      </c>
      <c r="H26" s="5" t="n"/>
      <c r="I26" s="10" t="n"/>
      <c r="J26" s="9" t="n"/>
      <c r="K26" s="5" t="n"/>
      <c r="L26" s="5" t="n"/>
      <c r="M26" s="5" t="n"/>
      <c r="N26" s="5" t="n"/>
      <c r="O26" s="8">
        <f>IF($B26="","",IF(AND($A26&lt;&gt;"",COUNTIF(INV_ID,$A26)&gt;1),"⚠ this Unit ID already exists",IF(AND($H26&lt;&gt;"",COUNTIF(INV_Serial,$H26)&gt;1),"⚠ this serial already exists",IF(COUNTIFS(INV_Product,$B26,INV_No,$C26)&gt;1,"⚠ piece number reused",""))))</f>
        <v/>
      </c>
      <c r="P26" s="5" t="n"/>
    </row>
    <row r="27">
      <c r="A27" s="8">
        <f>IF(OR($B27="",$C27=""),"",IFERROR(INDEX(PM_Short,MATCH($B27,PM_ID,0))&amp;"-"&amp;TEXT($C27,"00"),"?? no such product"))</f>
        <v/>
      </c>
      <c r="B27" s="5" t="n"/>
      <c r="C27" s="5" t="n"/>
      <c r="D27" s="8">
        <f>IF($B27="","",IFERROR(INDEX(PM_Category,MATCH($B27,PM_ID,0)),""))</f>
        <v/>
      </c>
      <c r="E27" s="8">
        <f>IF($B27="","",IFERROR(INDEX(PM_Subcategory,MATCH($B27,PM_ID,0)),""))</f>
        <v/>
      </c>
      <c r="F27" s="8">
        <f>IF($B27="","",IFERROR(INDEX(PM_Brand,MATCH($B27,PM_ID,0)),""))</f>
        <v/>
      </c>
      <c r="G27" s="8">
        <f>IF($B27="","",IFERROR(INDEX(PM_Model,MATCH($B27,PM_ID,0)),""))</f>
        <v/>
      </c>
      <c r="H27" s="5" t="n"/>
      <c r="I27" s="10" t="n"/>
      <c r="J27" s="9" t="n"/>
      <c r="K27" s="5" t="n"/>
      <c r="L27" s="5" t="n"/>
      <c r="M27" s="5" t="n"/>
      <c r="N27" s="5" t="n"/>
      <c r="O27" s="8">
        <f>IF($B27="","",IF(AND($A27&lt;&gt;"",COUNTIF(INV_ID,$A27)&gt;1),"⚠ this Unit ID already exists",IF(AND($H27&lt;&gt;"",COUNTIF(INV_Serial,$H27)&gt;1),"⚠ this serial already exists",IF(COUNTIFS(INV_Product,$B27,INV_No,$C27)&gt;1,"⚠ piece number reused",""))))</f>
        <v/>
      </c>
      <c r="P27" s="5" t="n"/>
    </row>
    <row r="28">
      <c r="A28" s="8">
        <f>IF(OR($B28="",$C28=""),"",IFERROR(INDEX(PM_Short,MATCH($B28,PM_ID,0))&amp;"-"&amp;TEXT($C28,"00"),"?? no such product"))</f>
        <v/>
      </c>
      <c r="B28" s="5" t="n"/>
      <c r="C28" s="5" t="n"/>
      <c r="D28" s="8">
        <f>IF($B28="","",IFERROR(INDEX(PM_Category,MATCH($B28,PM_ID,0)),""))</f>
        <v/>
      </c>
      <c r="E28" s="8">
        <f>IF($B28="","",IFERROR(INDEX(PM_Subcategory,MATCH($B28,PM_ID,0)),""))</f>
        <v/>
      </c>
      <c r="F28" s="8">
        <f>IF($B28="","",IFERROR(INDEX(PM_Brand,MATCH($B28,PM_ID,0)),""))</f>
        <v/>
      </c>
      <c r="G28" s="8">
        <f>IF($B28="","",IFERROR(INDEX(PM_Model,MATCH($B28,PM_ID,0)),""))</f>
        <v/>
      </c>
      <c r="H28" s="5" t="n"/>
      <c r="I28" s="10" t="n"/>
      <c r="J28" s="9" t="n"/>
      <c r="K28" s="5" t="n"/>
      <c r="L28" s="5" t="n"/>
      <c r="M28" s="5" t="n"/>
      <c r="N28" s="5" t="n"/>
      <c r="O28" s="8">
        <f>IF($B28="","",IF(AND($A28&lt;&gt;"",COUNTIF(INV_ID,$A28)&gt;1),"⚠ this Unit ID already exists",IF(AND($H28&lt;&gt;"",COUNTIF(INV_Serial,$H28)&gt;1),"⚠ this serial already exists",IF(COUNTIFS(INV_Product,$B28,INV_No,$C28)&gt;1,"⚠ piece number reused",""))))</f>
        <v/>
      </c>
      <c r="P28" s="5" t="n"/>
    </row>
    <row r="29">
      <c r="A29" s="8">
        <f>IF(OR($B29="",$C29=""),"",IFERROR(INDEX(PM_Short,MATCH($B29,PM_ID,0))&amp;"-"&amp;TEXT($C29,"00"),"?? no such product"))</f>
        <v/>
      </c>
      <c r="B29" s="5" t="n"/>
      <c r="C29" s="5" t="n"/>
      <c r="D29" s="8">
        <f>IF($B29="","",IFERROR(INDEX(PM_Category,MATCH($B29,PM_ID,0)),""))</f>
        <v/>
      </c>
      <c r="E29" s="8">
        <f>IF($B29="","",IFERROR(INDEX(PM_Subcategory,MATCH($B29,PM_ID,0)),""))</f>
        <v/>
      </c>
      <c r="F29" s="8">
        <f>IF($B29="","",IFERROR(INDEX(PM_Brand,MATCH($B29,PM_ID,0)),""))</f>
        <v/>
      </c>
      <c r="G29" s="8">
        <f>IF($B29="","",IFERROR(INDEX(PM_Model,MATCH($B29,PM_ID,0)),""))</f>
        <v/>
      </c>
      <c r="H29" s="5" t="n"/>
      <c r="I29" s="10" t="n"/>
      <c r="J29" s="9" t="n"/>
      <c r="K29" s="5" t="n"/>
      <c r="L29" s="5" t="n"/>
      <c r="M29" s="5" t="n"/>
      <c r="N29" s="5" t="n"/>
      <c r="O29" s="8">
        <f>IF($B29="","",IF(AND($A29&lt;&gt;"",COUNTIF(INV_ID,$A29)&gt;1),"⚠ this Unit ID already exists",IF(AND($H29&lt;&gt;"",COUNTIF(INV_Serial,$H29)&gt;1),"⚠ this serial already exists",IF(COUNTIFS(INV_Product,$B29,INV_No,$C29)&gt;1,"⚠ piece number reused",""))))</f>
        <v/>
      </c>
      <c r="P29" s="5" t="n"/>
    </row>
    <row r="30">
      <c r="A30" s="8">
        <f>IF(OR($B30="",$C30=""),"",IFERROR(INDEX(PM_Short,MATCH($B30,PM_ID,0))&amp;"-"&amp;TEXT($C30,"00"),"?? no such product"))</f>
        <v/>
      </c>
      <c r="B30" s="5" t="n"/>
      <c r="C30" s="5" t="n"/>
      <c r="D30" s="8">
        <f>IF($B30="","",IFERROR(INDEX(PM_Category,MATCH($B30,PM_ID,0)),""))</f>
        <v/>
      </c>
      <c r="E30" s="8">
        <f>IF($B30="","",IFERROR(INDEX(PM_Subcategory,MATCH($B30,PM_ID,0)),""))</f>
        <v/>
      </c>
      <c r="F30" s="8">
        <f>IF($B30="","",IFERROR(INDEX(PM_Brand,MATCH($B30,PM_ID,0)),""))</f>
        <v/>
      </c>
      <c r="G30" s="8">
        <f>IF($B30="","",IFERROR(INDEX(PM_Model,MATCH($B30,PM_ID,0)),""))</f>
        <v/>
      </c>
      <c r="H30" s="5" t="n"/>
      <c r="I30" s="10" t="n"/>
      <c r="J30" s="9" t="n"/>
      <c r="K30" s="5" t="n"/>
      <c r="L30" s="5" t="n"/>
      <c r="M30" s="5" t="n"/>
      <c r="N30" s="5" t="n"/>
      <c r="O30" s="8">
        <f>IF($B30="","",IF(AND($A30&lt;&gt;"",COUNTIF(INV_ID,$A30)&gt;1),"⚠ this Unit ID already exists",IF(AND($H30&lt;&gt;"",COUNTIF(INV_Serial,$H30)&gt;1),"⚠ this serial already exists",IF(COUNTIFS(INV_Product,$B30,INV_No,$C30)&gt;1,"⚠ piece number reused",""))))</f>
        <v/>
      </c>
      <c r="P30" s="5" t="n"/>
    </row>
    <row r="31">
      <c r="A31" s="8">
        <f>IF(OR($B31="",$C31=""),"",IFERROR(INDEX(PM_Short,MATCH($B31,PM_ID,0))&amp;"-"&amp;TEXT($C31,"00"),"?? no such product"))</f>
        <v/>
      </c>
      <c r="B31" s="5" t="n"/>
      <c r="C31" s="5" t="n"/>
      <c r="D31" s="8">
        <f>IF($B31="","",IFERROR(INDEX(PM_Category,MATCH($B31,PM_ID,0)),""))</f>
        <v/>
      </c>
      <c r="E31" s="8">
        <f>IF($B31="","",IFERROR(INDEX(PM_Subcategory,MATCH($B31,PM_ID,0)),""))</f>
        <v/>
      </c>
      <c r="F31" s="8">
        <f>IF($B31="","",IFERROR(INDEX(PM_Brand,MATCH($B31,PM_ID,0)),""))</f>
        <v/>
      </c>
      <c r="G31" s="8">
        <f>IF($B31="","",IFERROR(INDEX(PM_Model,MATCH($B31,PM_ID,0)),""))</f>
        <v/>
      </c>
      <c r="H31" s="5" t="n"/>
      <c r="I31" s="10" t="n"/>
      <c r="J31" s="9" t="n"/>
      <c r="K31" s="5" t="n"/>
      <c r="L31" s="5" t="n"/>
      <c r="M31" s="5" t="n"/>
      <c r="N31" s="5" t="n"/>
      <c r="O31" s="8">
        <f>IF($B31="","",IF(AND($A31&lt;&gt;"",COUNTIF(INV_ID,$A31)&gt;1),"⚠ this Unit ID already exists",IF(AND($H31&lt;&gt;"",COUNTIF(INV_Serial,$H31)&gt;1),"⚠ this serial already exists",IF(COUNTIFS(INV_Product,$B31,INV_No,$C31)&gt;1,"⚠ piece number reused",""))))</f>
        <v/>
      </c>
      <c r="P31" s="5" t="n"/>
    </row>
    <row r="32">
      <c r="A32" s="8">
        <f>IF(OR($B32="",$C32=""),"",IFERROR(INDEX(PM_Short,MATCH($B32,PM_ID,0))&amp;"-"&amp;TEXT($C32,"00"),"?? no such product"))</f>
        <v/>
      </c>
      <c r="B32" s="5" t="n"/>
      <c r="C32" s="5" t="n"/>
      <c r="D32" s="8">
        <f>IF($B32="","",IFERROR(INDEX(PM_Category,MATCH($B32,PM_ID,0)),""))</f>
        <v/>
      </c>
      <c r="E32" s="8">
        <f>IF($B32="","",IFERROR(INDEX(PM_Subcategory,MATCH($B32,PM_ID,0)),""))</f>
        <v/>
      </c>
      <c r="F32" s="8">
        <f>IF($B32="","",IFERROR(INDEX(PM_Brand,MATCH($B32,PM_ID,0)),""))</f>
        <v/>
      </c>
      <c r="G32" s="8">
        <f>IF($B32="","",IFERROR(INDEX(PM_Model,MATCH($B32,PM_ID,0)),""))</f>
        <v/>
      </c>
      <c r="H32" s="5" t="n"/>
      <c r="I32" s="10" t="n"/>
      <c r="J32" s="9" t="n"/>
      <c r="K32" s="5" t="n"/>
      <c r="L32" s="5" t="n"/>
      <c r="M32" s="5" t="n"/>
      <c r="N32" s="5" t="n"/>
      <c r="O32" s="8">
        <f>IF($B32="","",IF(AND($A32&lt;&gt;"",COUNTIF(INV_ID,$A32)&gt;1),"⚠ this Unit ID already exists",IF(AND($H32&lt;&gt;"",COUNTIF(INV_Serial,$H32)&gt;1),"⚠ this serial already exists",IF(COUNTIFS(INV_Product,$B32,INV_No,$C32)&gt;1,"⚠ piece number reused",""))))</f>
        <v/>
      </c>
      <c r="P32" s="5" t="n"/>
    </row>
    <row r="33">
      <c r="A33" s="8">
        <f>IF(OR($B33="",$C33=""),"",IFERROR(INDEX(PM_Short,MATCH($B33,PM_ID,0))&amp;"-"&amp;TEXT($C33,"00"),"?? no such product"))</f>
        <v/>
      </c>
      <c r="B33" s="5" t="n"/>
      <c r="C33" s="5" t="n"/>
      <c r="D33" s="8">
        <f>IF($B33="","",IFERROR(INDEX(PM_Category,MATCH($B33,PM_ID,0)),""))</f>
        <v/>
      </c>
      <c r="E33" s="8">
        <f>IF($B33="","",IFERROR(INDEX(PM_Subcategory,MATCH($B33,PM_ID,0)),""))</f>
        <v/>
      </c>
      <c r="F33" s="8">
        <f>IF($B33="","",IFERROR(INDEX(PM_Brand,MATCH($B33,PM_ID,0)),""))</f>
        <v/>
      </c>
      <c r="G33" s="8">
        <f>IF($B33="","",IFERROR(INDEX(PM_Model,MATCH($B33,PM_ID,0)),""))</f>
        <v/>
      </c>
      <c r="H33" s="5" t="n"/>
      <c r="I33" s="10" t="n"/>
      <c r="J33" s="9" t="n"/>
      <c r="K33" s="5" t="n"/>
      <c r="L33" s="5" t="n"/>
      <c r="M33" s="5" t="n"/>
      <c r="N33" s="5" t="n"/>
      <c r="O33" s="8">
        <f>IF($B33="","",IF(AND($A33&lt;&gt;"",COUNTIF(INV_ID,$A33)&gt;1),"⚠ this Unit ID already exists",IF(AND($H33&lt;&gt;"",COUNTIF(INV_Serial,$H33)&gt;1),"⚠ this serial already exists",IF(COUNTIFS(INV_Product,$B33,INV_No,$C33)&gt;1,"⚠ piece number reused",""))))</f>
        <v/>
      </c>
      <c r="P33" s="5" t="n"/>
    </row>
    <row r="34">
      <c r="A34" s="8">
        <f>IF(OR($B34="",$C34=""),"",IFERROR(INDEX(PM_Short,MATCH($B34,PM_ID,0))&amp;"-"&amp;TEXT($C34,"00"),"?? no such product"))</f>
        <v/>
      </c>
      <c r="B34" s="5" t="n"/>
      <c r="C34" s="5" t="n"/>
      <c r="D34" s="8">
        <f>IF($B34="","",IFERROR(INDEX(PM_Category,MATCH($B34,PM_ID,0)),""))</f>
        <v/>
      </c>
      <c r="E34" s="8">
        <f>IF($B34="","",IFERROR(INDEX(PM_Subcategory,MATCH($B34,PM_ID,0)),""))</f>
        <v/>
      </c>
      <c r="F34" s="8">
        <f>IF($B34="","",IFERROR(INDEX(PM_Brand,MATCH($B34,PM_ID,0)),""))</f>
        <v/>
      </c>
      <c r="G34" s="8">
        <f>IF($B34="","",IFERROR(INDEX(PM_Model,MATCH($B34,PM_ID,0)),""))</f>
        <v/>
      </c>
      <c r="H34" s="5" t="n"/>
      <c r="I34" s="10" t="n"/>
      <c r="J34" s="9" t="n"/>
      <c r="K34" s="5" t="n"/>
      <c r="L34" s="5" t="n"/>
      <c r="M34" s="5" t="n"/>
      <c r="N34" s="5" t="n"/>
      <c r="O34" s="8">
        <f>IF($B34="","",IF(AND($A34&lt;&gt;"",COUNTIF(INV_ID,$A34)&gt;1),"⚠ this Unit ID already exists",IF(AND($H34&lt;&gt;"",COUNTIF(INV_Serial,$H34)&gt;1),"⚠ this serial already exists",IF(COUNTIFS(INV_Product,$B34,INV_No,$C34)&gt;1,"⚠ piece number reused",""))))</f>
        <v/>
      </c>
      <c r="P34" s="5" t="n"/>
    </row>
    <row r="35">
      <c r="A35" s="8">
        <f>IF(OR($B35="",$C35=""),"",IFERROR(INDEX(PM_Short,MATCH($B35,PM_ID,0))&amp;"-"&amp;TEXT($C35,"00"),"?? no such product"))</f>
        <v/>
      </c>
      <c r="B35" s="5" t="n"/>
      <c r="C35" s="5" t="n"/>
      <c r="D35" s="8">
        <f>IF($B35="","",IFERROR(INDEX(PM_Category,MATCH($B35,PM_ID,0)),""))</f>
        <v/>
      </c>
      <c r="E35" s="8">
        <f>IF($B35="","",IFERROR(INDEX(PM_Subcategory,MATCH($B35,PM_ID,0)),""))</f>
        <v/>
      </c>
      <c r="F35" s="8">
        <f>IF($B35="","",IFERROR(INDEX(PM_Brand,MATCH($B35,PM_ID,0)),""))</f>
        <v/>
      </c>
      <c r="G35" s="8">
        <f>IF($B35="","",IFERROR(INDEX(PM_Model,MATCH($B35,PM_ID,0)),""))</f>
        <v/>
      </c>
      <c r="H35" s="5" t="n"/>
      <c r="I35" s="10" t="n"/>
      <c r="J35" s="9" t="n"/>
      <c r="K35" s="5" t="n"/>
      <c r="L35" s="5" t="n"/>
      <c r="M35" s="5" t="n"/>
      <c r="N35" s="5" t="n"/>
      <c r="O35" s="8">
        <f>IF($B35="","",IF(AND($A35&lt;&gt;"",COUNTIF(INV_ID,$A35)&gt;1),"⚠ this Unit ID already exists",IF(AND($H35&lt;&gt;"",COUNTIF(INV_Serial,$H35)&gt;1),"⚠ this serial already exists",IF(COUNTIFS(INV_Product,$B35,INV_No,$C35)&gt;1,"⚠ piece number reused",""))))</f>
        <v/>
      </c>
      <c r="P35" s="5" t="n"/>
    </row>
    <row r="36">
      <c r="A36" s="8">
        <f>IF(OR($B36="",$C36=""),"",IFERROR(INDEX(PM_Short,MATCH($B36,PM_ID,0))&amp;"-"&amp;TEXT($C36,"00"),"?? no such product"))</f>
        <v/>
      </c>
      <c r="B36" s="5" t="n"/>
      <c r="C36" s="5" t="n"/>
      <c r="D36" s="8">
        <f>IF($B36="","",IFERROR(INDEX(PM_Category,MATCH($B36,PM_ID,0)),""))</f>
        <v/>
      </c>
      <c r="E36" s="8">
        <f>IF($B36="","",IFERROR(INDEX(PM_Subcategory,MATCH($B36,PM_ID,0)),""))</f>
        <v/>
      </c>
      <c r="F36" s="8">
        <f>IF($B36="","",IFERROR(INDEX(PM_Brand,MATCH($B36,PM_ID,0)),""))</f>
        <v/>
      </c>
      <c r="G36" s="8">
        <f>IF($B36="","",IFERROR(INDEX(PM_Model,MATCH($B36,PM_ID,0)),""))</f>
        <v/>
      </c>
      <c r="H36" s="5" t="n"/>
      <c r="I36" s="10" t="n"/>
      <c r="J36" s="9" t="n"/>
      <c r="K36" s="5" t="n"/>
      <c r="L36" s="5" t="n"/>
      <c r="M36" s="5" t="n"/>
      <c r="N36" s="5" t="n"/>
      <c r="O36" s="8">
        <f>IF($B36="","",IF(AND($A36&lt;&gt;"",COUNTIF(INV_ID,$A36)&gt;1),"⚠ this Unit ID already exists",IF(AND($H36&lt;&gt;"",COUNTIF(INV_Serial,$H36)&gt;1),"⚠ this serial already exists",IF(COUNTIFS(INV_Product,$B36,INV_No,$C36)&gt;1,"⚠ piece number reused",""))))</f>
        <v/>
      </c>
      <c r="P36" s="5" t="n"/>
    </row>
    <row r="37">
      <c r="A37" s="8">
        <f>IF(OR($B37="",$C37=""),"",IFERROR(INDEX(PM_Short,MATCH($B37,PM_ID,0))&amp;"-"&amp;TEXT($C37,"00"),"?? no such product"))</f>
        <v/>
      </c>
      <c r="B37" s="5" t="n"/>
      <c r="C37" s="5" t="n"/>
      <c r="D37" s="8">
        <f>IF($B37="","",IFERROR(INDEX(PM_Category,MATCH($B37,PM_ID,0)),""))</f>
        <v/>
      </c>
      <c r="E37" s="8">
        <f>IF($B37="","",IFERROR(INDEX(PM_Subcategory,MATCH($B37,PM_ID,0)),""))</f>
        <v/>
      </c>
      <c r="F37" s="8">
        <f>IF($B37="","",IFERROR(INDEX(PM_Brand,MATCH($B37,PM_ID,0)),""))</f>
        <v/>
      </c>
      <c r="G37" s="8">
        <f>IF($B37="","",IFERROR(INDEX(PM_Model,MATCH($B37,PM_ID,0)),""))</f>
        <v/>
      </c>
      <c r="H37" s="5" t="n"/>
      <c r="I37" s="10" t="n"/>
      <c r="J37" s="9" t="n"/>
      <c r="K37" s="5" t="n"/>
      <c r="L37" s="5" t="n"/>
      <c r="M37" s="5" t="n"/>
      <c r="N37" s="5" t="n"/>
      <c r="O37" s="8">
        <f>IF($B37="","",IF(AND($A37&lt;&gt;"",COUNTIF(INV_ID,$A37)&gt;1),"⚠ this Unit ID already exists",IF(AND($H37&lt;&gt;"",COUNTIF(INV_Serial,$H37)&gt;1),"⚠ this serial already exists",IF(COUNTIFS(INV_Product,$B37,INV_No,$C37)&gt;1,"⚠ piece number reused",""))))</f>
        <v/>
      </c>
      <c r="P37" s="5" t="n"/>
    </row>
    <row r="38">
      <c r="A38" s="8">
        <f>IF(OR($B38="",$C38=""),"",IFERROR(INDEX(PM_Short,MATCH($B38,PM_ID,0))&amp;"-"&amp;TEXT($C38,"00"),"?? no such product"))</f>
        <v/>
      </c>
      <c r="B38" s="5" t="n"/>
      <c r="C38" s="5" t="n"/>
      <c r="D38" s="8">
        <f>IF($B38="","",IFERROR(INDEX(PM_Category,MATCH($B38,PM_ID,0)),""))</f>
        <v/>
      </c>
      <c r="E38" s="8">
        <f>IF($B38="","",IFERROR(INDEX(PM_Subcategory,MATCH($B38,PM_ID,0)),""))</f>
        <v/>
      </c>
      <c r="F38" s="8">
        <f>IF($B38="","",IFERROR(INDEX(PM_Brand,MATCH($B38,PM_ID,0)),""))</f>
        <v/>
      </c>
      <c r="G38" s="8">
        <f>IF($B38="","",IFERROR(INDEX(PM_Model,MATCH($B38,PM_ID,0)),""))</f>
        <v/>
      </c>
      <c r="H38" s="5" t="n"/>
      <c r="I38" s="10" t="n"/>
      <c r="J38" s="9" t="n"/>
      <c r="K38" s="5" t="n"/>
      <c r="L38" s="5" t="n"/>
      <c r="M38" s="5" t="n"/>
      <c r="N38" s="5" t="n"/>
      <c r="O38" s="8">
        <f>IF($B38="","",IF(AND($A38&lt;&gt;"",COUNTIF(INV_ID,$A38)&gt;1),"⚠ this Unit ID already exists",IF(AND($H38&lt;&gt;"",COUNTIF(INV_Serial,$H38)&gt;1),"⚠ this serial already exists",IF(COUNTIFS(INV_Product,$B38,INV_No,$C38)&gt;1,"⚠ piece number reused",""))))</f>
        <v/>
      </c>
      <c r="P38" s="5" t="n"/>
    </row>
    <row r="39">
      <c r="A39" s="8">
        <f>IF(OR($B39="",$C39=""),"",IFERROR(INDEX(PM_Short,MATCH($B39,PM_ID,0))&amp;"-"&amp;TEXT($C39,"00"),"?? no such product"))</f>
        <v/>
      </c>
      <c r="B39" s="5" t="n"/>
      <c r="C39" s="5" t="n"/>
      <c r="D39" s="8">
        <f>IF($B39="","",IFERROR(INDEX(PM_Category,MATCH($B39,PM_ID,0)),""))</f>
        <v/>
      </c>
      <c r="E39" s="8">
        <f>IF($B39="","",IFERROR(INDEX(PM_Subcategory,MATCH($B39,PM_ID,0)),""))</f>
        <v/>
      </c>
      <c r="F39" s="8">
        <f>IF($B39="","",IFERROR(INDEX(PM_Brand,MATCH($B39,PM_ID,0)),""))</f>
        <v/>
      </c>
      <c r="G39" s="8">
        <f>IF($B39="","",IFERROR(INDEX(PM_Model,MATCH($B39,PM_ID,0)),""))</f>
        <v/>
      </c>
      <c r="H39" s="5" t="n"/>
      <c r="I39" s="10" t="n"/>
      <c r="J39" s="9" t="n"/>
      <c r="K39" s="5" t="n"/>
      <c r="L39" s="5" t="n"/>
      <c r="M39" s="5" t="n"/>
      <c r="N39" s="5" t="n"/>
      <c r="O39" s="8">
        <f>IF($B39="","",IF(AND($A39&lt;&gt;"",COUNTIF(INV_ID,$A39)&gt;1),"⚠ this Unit ID already exists",IF(AND($H39&lt;&gt;"",COUNTIF(INV_Serial,$H39)&gt;1),"⚠ this serial already exists",IF(COUNTIFS(INV_Product,$B39,INV_No,$C39)&gt;1,"⚠ piece number reused",""))))</f>
        <v/>
      </c>
      <c r="P39" s="5" t="n"/>
    </row>
    <row r="40">
      <c r="A40" s="8">
        <f>IF(OR($B40="",$C40=""),"",IFERROR(INDEX(PM_Short,MATCH($B40,PM_ID,0))&amp;"-"&amp;TEXT($C40,"00"),"?? no such product"))</f>
        <v/>
      </c>
      <c r="B40" s="5" t="n"/>
      <c r="C40" s="5" t="n"/>
      <c r="D40" s="8">
        <f>IF($B40="","",IFERROR(INDEX(PM_Category,MATCH($B40,PM_ID,0)),""))</f>
        <v/>
      </c>
      <c r="E40" s="8">
        <f>IF($B40="","",IFERROR(INDEX(PM_Subcategory,MATCH($B40,PM_ID,0)),""))</f>
        <v/>
      </c>
      <c r="F40" s="8">
        <f>IF($B40="","",IFERROR(INDEX(PM_Brand,MATCH($B40,PM_ID,0)),""))</f>
        <v/>
      </c>
      <c r="G40" s="8">
        <f>IF($B40="","",IFERROR(INDEX(PM_Model,MATCH($B40,PM_ID,0)),""))</f>
        <v/>
      </c>
      <c r="H40" s="5" t="n"/>
      <c r="I40" s="10" t="n"/>
      <c r="J40" s="9" t="n"/>
      <c r="K40" s="5" t="n"/>
      <c r="L40" s="5" t="n"/>
      <c r="M40" s="5" t="n"/>
      <c r="N40" s="5" t="n"/>
      <c r="O40" s="8">
        <f>IF($B40="","",IF(AND($A40&lt;&gt;"",COUNTIF(INV_ID,$A40)&gt;1),"⚠ this Unit ID already exists",IF(AND($H40&lt;&gt;"",COUNTIF(INV_Serial,$H40)&gt;1),"⚠ this serial already exists",IF(COUNTIFS(INV_Product,$B40,INV_No,$C40)&gt;1,"⚠ piece number reused",""))))</f>
        <v/>
      </c>
      <c r="P40" s="5" t="n"/>
    </row>
    <row r="41">
      <c r="A41" s="8">
        <f>IF(OR($B41="",$C41=""),"",IFERROR(INDEX(PM_Short,MATCH($B41,PM_ID,0))&amp;"-"&amp;TEXT($C41,"00"),"?? no such product"))</f>
        <v/>
      </c>
      <c r="B41" s="5" t="n"/>
      <c r="C41" s="5" t="n"/>
      <c r="D41" s="8">
        <f>IF($B41="","",IFERROR(INDEX(PM_Category,MATCH($B41,PM_ID,0)),""))</f>
        <v/>
      </c>
      <c r="E41" s="8">
        <f>IF($B41="","",IFERROR(INDEX(PM_Subcategory,MATCH($B41,PM_ID,0)),""))</f>
        <v/>
      </c>
      <c r="F41" s="8">
        <f>IF($B41="","",IFERROR(INDEX(PM_Brand,MATCH($B41,PM_ID,0)),""))</f>
        <v/>
      </c>
      <c r="G41" s="8">
        <f>IF($B41="","",IFERROR(INDEX(PM_Model,MATCH($B41,PM_ID,0)),""))</f>
        <v/>
      </c>
      <c r="H41" s="5" t="n"/>
      <c r="I41" s="10" t="n"/>
      <c r="J41" s="9" t="n"/>
      <c r="K41" s="5" t="n"/>
      <c r="L41" s="5" t="n"/>
      <c r="M41" s="5" t="n"/>
      <c r="N41" s="5" t="n"/>
      <c r="O41" s="8">
        <f>IF($B41="","",IF(AND($A41&lt;&gt;"",COUNTIF(INV_ID,$A41)&gt;1),"⚠ this Unit ID already exists",IF(AND($H41&lt;&gt;"",COUNTIF(INV_Serial,$H41)&gt;1),"⚠ this serial already exists",IF(COUNTIFS(INV_Product,$B41,INV_No,$C41)&gt;1,"⚠ piece number reused",""))))</f>
        <v/>
      </c>
      <c r="P41" s="5" t="n"/>
    </row>
    <row r="42">
      <c r="A42" s="8">
        <f>IF(OR($B42="",$C42=""),"",IFERROR(INDEX(PM_Short,MATCH($B42,PM_ID,0))&amp;"-"&amp;TEXT($C42,"00"),"?? no such product"))</f>
        <v/>
      </c>
      <c r="B42" s="5" t="n"/>
      <c r="C42" s="5" t="n"/>
      <c r="D42" s="8">
        <f>IF($B42="","",IFERROR(INDEX(PM_Category,MATCH($B42,PM_ID,0)),""))</f>
        <v/>
      </c>
      <c r="E42" s="8">
        <f>IF($B42="","",IFERROR(INDEX(PM_Subcategory,MATCH($B42,PM_ID,0)),""))</f>
        <v/>
      </c>
      <c r="F42" s="8">
        <f>IF($B42="","",IFERROR(INDEX(PM_Brand,MATCH($B42,PM_ID,0)),""))</f>
        <v/>
      </c>
      <c r="G42" s="8">
        <f>IF($B42="","",IFERROR(INDEX(PM_Model,MATCH($B42,PM_ID,0)),""))</f>
        <v/>
      </c>
      <c r="H42" s="5" t="n"/>
      <c r="I42" s="10" t="n"/>
      <c r="J42" s="9" t="n"/>
      <c r="K42" s="5" t="n"/>
      <c r="L42" s="5" t="n"/>
      <c r="M42" s="5" t="n"/>
      <c r="N42" s="5" t="n"/>
      <c r="O42" s="8">
        <f>IF($B42="","",IF(AND($A42&lt;&gt;"",COUNTIF(INV_ID,$A42)&gt;1),"⚠ this Unit ID already exists",IF(AND($H42&lt;&gt;"",COUNTIF(INV_Serial,$H42)&gt;1),"⚠ this serial already exists",IF(COUNTIFS(INV_Product,$B42,INV_No,$C42)&gt;1,"⚠ piece number reused",""))))</f>
        <v/>
      </c>
      <c r="P42" s="5" t="n"/>
    </row>
    <row r="43">
      <c r="A43" s="8">
        <f>IF(OR($B43="",$C43=""),"",IFERROR(INDEX(PM_Short,MATCH($B43,PM_ID,0))&amp;"-"&amp;TEXT($C43,"00"),"?? no such product"))</f>
        <v/>
      </c>
      <c r="B43" s="5" t="n"/>
      <c r="C43" s="5" t="n"/>
      <c r="D43" s="8">
        <f>IF($B43="","",IFERROR(INDEX(PM_Category,MATCH($B43,PM_ID,0)),""))</f>
        <v/>
      </c>
      <c r="E43" s="8">
        <f>IF($B43="","",IFERROR(INDEX(PM_Subcategory,MATCH($B43,PM_ID,0)),""))</f>
        <v/>
      </c>
      <c r="F43" s="8">
        <f>IF($B43="","",IFERROR(INDEX(PM_Brand,MATCH($B43,PM_ID,0)),""))</f>
        <v/>
      </c>
      <c r="G43" s="8">
        <f>IF($B43="","",IFERROR(INDEX(PM_Model,MATCH($B43,PM_ID,0)),""))</f>
        <v/>
      </c>
      <c r="H43" s="5" t="n"/>
      <c r="I43" s="10" t="n"/>
      <c r="J43" s="9" t="n"/>
      <c r="K43" s="5" t="n"/>
      <c r="L43" s="5" t="n"/>
      <c r="M43" s="5" t="n"/>
      <c r="N43" s="5" t="n"/>
      <c r="O43" s="8">
        <f>IF($B43="","",IF(AND($A43&lt;&gt;"",COUNTIF(INV_ID,$A43)&gt;1),"⚠ this Unit ID already exists",IF(AND($H43&lt;&gt;"",COUNTIF(INV_Serial,$H43)&gt;1),"⚠ this serial already exists",IF(COUNTIFS(INV_Product,$B43,INV_No,$C43)&gt;1,"⚠ piece number reused",""))))</f>
        <v/>
      </c>
      <c r="P43" s="5" t="n"/>
    </row>
    <row r="44">
      <c r="A44" s="8">
        <f>IF(OR($B44="",$C44=""),"",IFERROR(INDEX(PM_Short,MATCH($B44,PM_ID,0))&amp;"-"&amp;TEXT($C44,"00"),"?? no such product"))</f>
        <v/>
      </c>
      <c r="B44" s="5" t="n"/>
      <c r="C44" s="5" t="n"/>
      <c r="D44" s="8">
        <f>IF($B44="","",IFERROR(INDEX(PM_Category,MATCH($B44,PM_ID,0)),""))</f>
        <v/>
      </c>
      <c r="E44" s="8">
        <f>IF($B44="","",IFERROR(INDEX(PM_Subcategory,MATCH($B44,PM_ID,0)),""))</f>
        <v/>
      </c>
      <c r="F44" s="8">
        <f>IF($B44="","",IFERROR(INDEX(PM_Brand,MATCH($B44,PM_ID,0)),""))</f>
        <v/>
      </c>
      <c r="G44" s="8">
        <f>IF($B44="","",IFERROR(INDEX(PM_Model,MATCH($B44,PM_ID,0)),""))</f>
        <v/>
      </c>
      <c r="H44" s="5" t="n"/>
      <c r="I44" s="10" t="n"/>
      <c r="J44" s="9" t="n"/>
      <c r="K44" s="5" t="n"/>
      <c r="L44" s="5" t="n"/>
      <c r="M44" s="5" t="n"/>
      <c r="N44" s="5" t="n"/>
      <c r="O44" s="8">
        <f>IF($B44="","",IF(AND($A44&lt;&gt;"",COUNTIF(INV_ID,$A44)&gt;1),"⚠ this Unit ID already exists",IF(AND($H44&lt;&gt;"",COUNTIF(INV_Serial,$H44)&gt;1),"⚠ this serial already exists",IF(COUNTIFS(INV_Product,$B44,INV_No,$C44)&gt;1,"⚠ piece number reused",""))))</f>
        <v/>
      </c>
      <c r="P44" s="5" t="n"/>
    </row>
    <row r="45">
      <c r="A45" s="8">
        <f>IF(OR($B45="",$C45=""),"",IFERROR(INDEX(PM_Short,MATCH($B45,PM_ID,0))&amp;"-"&amp;TEXT($C45,"00"),"?? no such product"))</f>
        <v/>
      </c>
      <c r="B45" s="5" t="n"/>
      <c r="C45" s="5" t="n"/>
      <c r="D45" s="8">
        <f>IF($B45="","",IFERROR(INDEX(PM_Category,MATCH($B45,PM_ID,0)),""))</f>
        <v/>
      </c>
      <c r="E45" s="8">
        <f>IF($B45="","",IFERROR(INDEX(PM_Subcategory,MATCH($B45,PM_ID,0)),""))</f>
        <v/>
      </c>
      <c r="F45" s="8">
        <f>IF($B45="","",IFERROR(INDEX(PM_Brand,MATCH($B45,PM_ID,0)),""))</f>
        <v/>
      </c>
      <c r="G45" s="8">
        <f>IF($B45="","",IFERROR(INDEX(PM_Model,MATCH($B45,PM_ID,0)),""))</f>
        <v/>
      </c>
      <c r="H45" s="5" t="n"/>
      <c r="I45" s="10" t="n"/>
      <c r="J45" s="9" t="n"/>
      <c r="K45" s="5" t="n"/>
      <c r="L45" s="5" t="n"/>
      <c r="M45" s="5" t="n"/>
      <c r="N45" s="5" t="n"/>
      <c r="O45" s="8">
        <f>IF($B45="","",IF(AND($A45&lt;&gt;"",COUNTIF(INV_ID,$A45)&gt;1),"⚠ this Unit ID already exists",IF(AND($H45&lt;&gt;"",COUNTIF(INV_Serial,$H45)&gt;1),"⚠ this serial already exists",IF(COUNTIFS(INV_Product,$B45,INV_No,$C45)&gt;1,"⚠ piece number reused",""))))</f>
        <v/>
      </c>
      <c r="P45" s="5" t="n"/>
    </row>
    <row r="46">
      <c r="A46" s="8">
        <f>IF(OR($B46="",$C46=""),"",IFERROR(INDEX(PM_Short,MATCH($B46,PM_ID,0))&amp;"-"&amp;TEXT($C46,"00"),"?? no such product"))</f>
        <v/>
      </c>
      <c r="B46" s="5" t="n"/>
      <c r="C46" s="5" t="n"/>
      <c r="D46" s="8">
        <f>IF($B46="","",IFERROR(INDEX(PM_Category,MATCH($B46,PM_ID,0)),""))</f>
        <v/>
      </c>
      <c r="E46" s="8">
        <f>IF($B46="","",IFERROR(INDEX(PM_Subcategory,MATCH($B46,PM_ID,0)),""))</f>
        <v/>
      </c>
      <c r="F46" s="8">
        <f>IF($B46="","",IFERROR(INDEX(PM_Brand,MATCH($B46,PM_ID,0)),""))</f>
        <v/>
      </c>
      <c r="G46" s="8">
        <f>IF($B46="","",IFERROR(INDEX(PM_Model,MATCH($B46,PM_ID,0)),""))</f>
        <v/>
      </c>
      <c r="H46" s="5" t="n"/>
      <c r="I46" s="10" t="n"/>
      <c r="J46" s="9" t="n"/>
      <c r="K46" s="5" t="n"/>
      <c r="L46" s="5" t="n"/>
      <c r="M46" s="5" t="n"/>
      <c r="N46" s="5" t="n"/>
      <c r="O46" s="8">
        <f>IF($B46="","",IF(AND($A46&lt;&gt;"",COUNTIF(INV_ID,$A46)&gt;1),"⚠ this Unit ID already exists",IF(AND($H46&lt;&gt;"",COUNTIF(INV_Serial,$H46)&gt;1),"⚠ this serial already exists",IF(COUNTIFS(INV_Product,$B46,INV_No,$C46)&gt;1,"⚠ piece number reused",""))))</f>
        <v/>
      </c>
      <c r="P46" s="5" t="n"/>
    </row>
    <row r="47">
      <c r="A47" s="8">
        <f>IF(OR($B47="",$C47=""),"",IFERROR(INDEX(PM_Short,MATCH($B47,PM_ID,0))&amp;"-"&amp;TEXT($C47,"00"),"?? no such product"))</f>
        <v/>
      </c>
      <c r="B47" s="5" t="n"/>
      <c r="C47" s="5" t="n"/>
      <c r="D47" s="8">
        <f>IF($B47="","",IFERROR(INDEX(PM_Category,MATCH($B47,PM_ID,0)),""))</f>
        <v/>
      </c>
      <c r="E47" s="8">
        <f>IF($B47="","",IFERROR(INDEX(PM_Subcategory,MATCH($B47,PM_ID,0)),""))</f>
        <v/>
      </c>
      <c r="F47" s="8">
        <f>IF($B47="","",IFERROR(INDEX(PM_Brand,MATCH($B47,PM_ID,0)),""))</f>
        <v/>
      </c>
      <c r="G47" s="8">
        <f>IF($B47="","",IFERROR(INDEX(PM_Model,MATCH($B47,PM_ID,0)),""))</f>
        <v/>
      </c>
      <c r="H47" s="5" t="n"/>
      <c r="I47" s="10" t="n"/>
      <c r="J47" s="9" t="n"/>
      <c r="K47" s="5" t="n"/>
      <c r="L47" s="5" t="n"/>
      <c r="M47" s="5" t="n"/>
      <c r="N47" s="5" t="n"/>
      <c r="O47" s="8">
        <f>IF($B47="","",IF(AND($A47&lt;&gt;"",COUNTIF(INV_ID,$A47)&gt;1),"⚠ this Unit ID already exists",IF(AND($H47&lt;&gt;"",COUNTIF(INV_Serial,$H47)&gt;1),"⚠ this serial already exists",IF(COUNTIFS(INV_Product,$B47,INV_No,$C47)&gt;1,"⚠ piece number reused",""))))</f>
        <v/>
      </c>
      <c r="P47" s="5" t="n"/>
    </row>
    <row r="48">
      <c r="A48" s="8">
        <f>IF(OR($B48="",$C48=""),"",IFERROR(INDEX(PM_Short,MATCH($B48,PM_ID,0))&amp;"-"&amp;TEXT($C48,"00"),"?? no such product"))</f>
        <v/>
      </c>
      <c r="B48" s="5" t="n"/>
      <c r="C48" s="5" t="n"/>
      <c r="D48" s="8">
        <f>IF($B48="","",IFERROR(INDEX(PM_Category,MATCH($B48,PM_ID,0)),""))</f>
        <v/>
      </c>
      <c r="E48" s="8">
        <f>IF($B48="","",IFERROR(INDEX(PM_Subcategory,MATCH($B48,PM_ID,0)),""))</f>
        <v/>
      </c>
      <c r="F48" s="8">
        <f>IF($B48="","",IFERROR(INDEX(PM_Brand,MATCH($B48,PM_ID,0)),""))</f>
        <v/>
      </c>
      <c r="G48" s="8">
        <f>IF($B48="","",IFERROR(INDEX(PM_Model,MATCH($B48,PM_ID,0)),""))</f>
        <v/>
      </c>
      <c r="H48" s="5" t="n"/>
      <c r="I48" s="10" t="n"/>
      <c r="J48" s="9" t="n"/>
      <c r="K48" s="5" t="n"/>
      <c r="L48" s="5" t="n"/>
      <c r="M48" s="5" t="n"/>
      <c r="N48" s="5" t="n"/>
      <c r="O48" s="8">
        <f>IF($B48="","",IF(AND($A48&lt;&gt;"",COUNTIF(INV_ID,$A48)&gt;1),"⚠ this Unit ID already exists",IF(AND($H48&lt;&gt;"",COUNTIF(INV_Serial,$H48)&gt;1),"⚠ this serial already exists",IF(COUNTIFS(INV_Product,$B48,INV_No,$C48)&gt;1,"⚠ piece number reused",""))))</f>
        <v/>
      </c>
      <c r="P48" s="5" t="n"/>
    </row>
    <row r="49">
      <c r="A49" s="8">
        <f>IF(OR($B49="",$C49=""),"",IFERROR(INDEX(PM_Short,MATCH($B49,PM_ID,0))&amp;"-"&amp;TEXT($C49,"00"),"?? no such product"))</f>
        <v/>
      </c>
      <c r="B49" s="5" t="n"/>
      <c r="C49" s="5" t="n"/>
      <c r="D49" s="8">
        <f>IF($B49="","",IFERROR(INDEX(PM_Category,MATCH($B49,PM_ID,0)),""))</f>
        <v/>
      </c>
      <c r="E49" s="8">
        <f>IF($B49="","",IFERROR(INDEX(PM_Subcategory,MATCH($B49,PM_ID,0)),""))</f>
        <v/>
      </c>
      <c r="F49" s="8">
        <f>IF($B49="","",IFERROR(INDEX(PM_Brand,MATCH($B49,PM_ID,0)),""))</f>
        <v/>
      </c>
      <c r="G49" s="8">
        <f>IF($B49="","",IFERROR(INDEX(PM_Model,MATCH($B49,PM_ID,0)),""))</f>
        <v/>
      </c>
      <c r="H49" s="5" t="n"/>
      <c r="I49" s="10" t="n"/>
      <c r="J49" s="9" t="n"/>
      <c r="K49" s="5" t="n"/>
      <c r="L49" s="5" t="n"/>
      <c r="M49" s="5" t="n"/>
      <c r="N49" s="5" t="n"/>
      <c r="O49" s="8">
        <f>IF($B49="","",IF(AND($A49&lt;&gt;"",COUNTIF(INV_ID,$A49)&gt;1),"⚠ this Unit ID already exists",IF(AND($H49&lt;&gt;"",COUNTIF(INV_Serial,$H49)&gt;1),"⚠ this serial already exists",IF(COUNTIFS(INV_Product,$B49,INV_No,$C49)&gt;1,"⚠ piece number reused",""))))</f>
        <v/>
      </c>
      <c r="P49" s="5" t="n"/>
    </row>
    <row r="50">
      <c r="A50" s="8">
        <f>IF(OR($B50="",$C50=""),"",IFERROR(INDEX(PM_Short,MATCH($B50,PM_ID,0))&amp;"-"&amp;TEXT($C50,"00"),"?? no such product"))</f>
        <v/>
      </c>
      <c r="B50" s="5" t="n"/>
      <c r="C50" s="5" t="n"/>
      <c r="D50" s="8">
        <f>IF($B50="","",IFERROR(INDEX(PM_Category,MATCH($B50,PM_ID,0)),""))</f>
        <v/>
      </c>
      <c r="E50" s="8">
        <f>IF($B50="","",IFERROR(INDEX(PM_Subcategory,MATCH($B50,PM_ID,0)),""))</f>
        <v/>
      </c>
      <c r="F50" s="8">
        <f>IF($B50="","",IFERROR(INDEX(PM_Brand,MATCH($B50,PM_ID,0)),""))</f>
        <v/>
      </c>
      <c r="G50" s="8">
        <f>IF($B50="","",IFERROR(INDEX(PM_Model,MATCH($B50,PM_ID,0)),""))</f>
        <v/>
      </c>
      <c r="H50" s="5" t="n"/>
      <c r="I50" s="10" t="n"/>
      <c r="J50" s="9" t="n"/>
      <c r="K50" s="5" t="n"/>
      <c r="L50" s="5" t="n"/>
      <c r="M50" s="5" t="n"/>
      <c r="N50" s="5" t="n"/>
      <c r="O50" s="8">
        <f>IF($B50="","",IF(AND($A50&lt;&gt;"",COUNTIF(INV_ID,$A50)&gt;1),"⚠ this Unit ID already exists",IF(AND($H50&lt;&gt;"",COUNTIF(INV_Serial,$H50)&gt;1),"⚠ this serial already exists",IF(COUNTIFS(INV_Product,$B50,INV_No,$C50)&gt;1,"⚠ piece number reused",""))))</f>
        <v/>
      </c>
      <c r="P50" s="5" t="n"/>
    </row>
    <row r="51">
      <c r="A51" s="8">
        <f>IF(OR($B51="",$C51=""),"",IFERROR(INDEX(PM_Short,MATCH($B51,PM_ID,0))&amp;"-"&amp;TEXT($C51,"00"),"?? no such product"))</f>
        <v/>
      </c>
      <c r="B51" s="5" t="n"/>
      <c r="C51" s="5" t="n"/>
      <c r="D51" s="8">
        <f>IF($B51="","",IFERROR(INDEX(PM_Category,MATCH($B51,PM_ID,0)),""))</f>
        <v/>
      </c>
      <c r="E51" s="8">
        <f>IF($B51="","",IFERROR(INDEX(PM_Subcategory,MATCH($B51,PM_ID,0)),""))</f>
        <v/>
      </c>
      <c r="F51" s="8">
        <f>IF($B51="","",IFERROR(INDEX(PM_Brand,MATCH($B51,PM_ID,0)),""))</f>
        <v/>
      </c>
      <c r="G51" s="8">
        <f>IF($B51="","",IFERROR(INDEX(PM_Model,MATCH($B51,PM_ID,0)),""))</f>
        <v/>
      </c>
      <c r="H51" s="5" t="n"/>
      <c r="I51" s="10" t="n"/>
      <c r="J51" s="9" t="n"/>
      <c r="K51" s="5" t="n"/>
      <c r="L51" s="5" t="n"/>
      <c r="M51" s="5" t="n"/>
      <c r="N51" s="5" t="n"/>
      <c r="O51" s="8">
        <f>IF($B51="","",IF(AND($A51&lt;&gt;"",COUNTIF(INV_ID,$A51)&gt;1),"⚠ this Unit ID already exists",IF(AND($H51&lt;&gt;"",COUNTIF(INV_Serial,$H51)&gt;1),"⚠ this serial already exists",IF(COUNTIFS(INV_Product,$B51,INV_No,$C51)&gt;1,"⚠ piece number reused",""))))</f>
        <v/>
      </c>
      <c r="P51" s="5" t="n"/>
    </row>
    <row r="52">
      <c r="A52" s="8">
        <f>IF(OR($B52="",$C52=""),"",IFERROR(INDEX(PM_Short,MATCH($B52,PM_ID,0))&amp;"-"&amp;TEXT($C52,"00"),"?? no such product"))</f>
        <v/>
      </c>
      <c r="B52" s="5" t="n"/>
      <c r="C52" s="5" t="n"/>
      <c r="D52" s="8">
        <f>IF($B52="","",IFERROR(INDEX(PM_Category,MATCH($B52,PM_ID,0)),""))</f>
        <v/>
      </c>
      <c r="E52" s="8">
        <f>IF($B52="","",IFERROR(INDEX(PM_Subcategory,MATCH($B52,PM_ID,0)),""))</f>
        <v/>
      </c>
      <c r="F52" s="8">
        <f>IF($B52="","",IFERROR(INDEX(PM_Brand,MATCH($B52,PM_ID,0)),""))</f>
        <v/>
      </c>
      <c r="G52" s="8">
        <f>IF($B52="","",IFERROR(INDEX(PM_Model,MATCH($B52,PM_ID,0)),""))</f>
        <v/>
      </c>
      <c r="H52" s="5" t="n"/>
      <c r="I52" s="10" t="n"/>
      <c r="J52" s="9" t="n"/>
      <c r="K52" s="5" t="n"/>
      <c r="L52" s="5" t="n"/>
      <c r="M52" s="5" t="n"/>
      <c r="N52" s="5" t="n"/>
      <c r="O52" s="8">
        <f>IF($B52="","",IF(AND($A52&lt;&gt;"",COUNTIF(INV_ID,$A52)&gt;1),"⚠ this Unit ID already exists",IF(AND($H52&lt;&gt;"",COUNTIF(INV_Serial,$H52)&gt;1),"⚠ this serial already exists",IF(COUNTIFS(INV_Product,$B52,INV_No,$C52)&gt;1,"⚠ piece number reused",""))))</f>
        <v/>
      </c>
      <c r="P52" s="5" t="n"/>
    </row>
    <row r="53">
      <c r="A53" s="8">
        <f>IF(OR($B53="",$C53=""),"",IFERROR(INDEX(PM_Short,MATCH($B53,PM_ID,0))&amp;"-"&amp;TEXT($C53,"00"),"?? no such product"))</f>
        <v/>
      </c>
      <c r="B53" s="5" t="n"/>
      <c r="C53" s="5" t="n"/>
      <c r="D53" s="8">
        <f>IF($B53="","",IFERROR(INDEX(PM_Category,MATCH($B53,PM_ID,0)),""))</f>
        <v/>
      </c>
      <c r="E53" s="8">
        <f>IF($B53="","",IFERROR(INDEX(PM_Subcategory,MATCH($B53,PM_ID,0)),""))</f>
        <v/>
      </c>
      <c r="F53" s="8">
        <f>IF($B53="","",IFERROR(INDEX(PM_Brand,MATCH($B53,PM_ID,0)),""))</f>
        <v/>
      </c>
      <c r="G53" s="8">
        <f>IF($B53="","",IFERROR(INDEX(PM_Model,MATCH($B53,PM_ID,0)),""))</f>
        <v/>
      </c>
      <c r="H53" s="5" t="n"/>
      <c r="I53" s="10" t="n"/>
      <c r="J53" s="9" t="n"/>
      <c r="K53" s="5" t="n"/>
      <c r="L53" s="5" t="n"/>
      <c r="M53" s="5" t="n"/>
      <c r="N53" s="5" t="n"/>
      <c r="O53" s="8">
        <f>IF($B53="","",IF(AND($A53&lt;&gt;"",COUNTIF(INV_ID,$A53)&gt;1),"⚠ this Unit ID already exists",IF(AND($H53&lt;&gt;"",COUNTIF(INV_Serial,$H53)&gt;1),"⚠ this serial already exists",IF(COUNTIFS(INV_Product,$B53,INV_No,$C53)&gt;1,"⚠ piece number reused",""))))</f>
        <v/>
      </c>
      <c r="P53" s="5" t="n"/>
    </row>
    <row r="54">
      <c r="A54" s="8">
        <f>IF(OR($B54="",$C54=""),"",IFERROR(INDEX(PM_Short,MATCH($B54,PM_ID,0))&amp;"-"&amp;TEXT($C54,"00"),"?? no such product"))</f>
        <v/>
      </c>
      <c r="B54" s="5" t="n"/>
      <c r="C54" s="5" t="n"/>
      <c r="D54" s="8">
        <f>IF($B54="","",IFERROR(INDEX(PM_Category,MATCH($B54,PM_ID,0)),""))</f>
        <v/>
      </c>
      <c r="E54" s="8">
        <f>IF($B54="","",IFERROR(INDEX(PM_Subcategory,MATCH($B54,PM_ID,0)),""))</f>
        <v/>
      </c>
      <c r="F54" s="8">
        <f>IF($B54="","",IFERROR(INDEX(PM_Brand,MATCH($B54,PM_ID,0)),""))</f>
        <v/>
      </c>
      <c r="G54" s="8">
        <f>IF($B54="","",IFERROR(INDEX(PM_Model,MATCH($B54,PM_ID,0)),""))</f>
        <v/>
      </c>
      <c r="H54" s="5" t="n"/>
      <c r="I54" s="10" t="n"/>
      <c r="J54" s="9" t="n"/>
      <c r="K54" s="5" t="n"/>
      <c r="L54" s="5" t="n"/>
      <c r="M54" s="5" t="n"/>
      <c r="N54" s="5" t="n"/>
      <c r="O54" s="8">
        <f>IF($B54="","",IF(AND($A54&lt;&gt;"",COUNTIF(INV_ID,$A54)&gt;1),"⚠ this Unit ID already exists",IF(AND($H54&lt;&gt;"",COUNTIF(INV_Serial,$H54)&gt;1),"⚠ this serial already exists",IF(COUNTIFS(INV_Product,$B54,INV_No,$C54)&gt;1,"⚠ piece number reused",""))))</f>
        <v/>
      </c>
      <c r="P54" s="5" t="n"/>
    </row>
    <row r="55">
      <c r="A55" s="8">
        <f>IF(OR($B55="",$C55=""),"",IFERROR(INDEX(PM_Short,MATCH($B55,PM_ID,0))&amp;"-"&amp;TEXT($C55,"00"),"?? no such product"))</f>
        <v/>
      </c>
      <c r="B55" s="5" t="n"/>
      <c r="C55" s="5" t="n"/>
      <c r="D55" s="8">
        <f>IF($B55="","",IFERROR(INDEX(PM_Category,MATCH($B55,PM_ID,0)),""))</f>
        <v/>
      </c>
      <c r="E55" s="8">
        <f>IF($B55="","",IFERROR(INDEX(PM_Subcategory,MATCH($B55,PM_ID,0)),""))</f>
        <v/>
      </c>
      <c r="F55" s="8">
        <f>IF($B55="","",IFERROR(INDEX(PM_Brand,MATCH($B55,PM_ID,0)),""))</f>
        <v/>
      </c>
      <c r="G55" s="8">
        <f>IF($B55="","",IFERROR(INDEX(PM_Model,MATCH($B55,PM_ID,0)),""))</f>
        <v/>
      </c>
      <c r="H55" s="5" t="n"/>
      <c r="I55" s="10" t="n"/>
      <c r="J55" s="9" t="n"/>
      <c r="K55" s="5" t="n"/>
      <c r="L55" s="5" t="n"/>
      <c r="M55" s="5" t="n"/>
      <c r="N55" s="5" t="n"/>
      <c r="O55" s="8">
        <f>IF($B55="","",IF(AND($A55&lt;&gt;"",COUNTIF(INV_ID,$A55)&gt;1),"⚠ this Unit ID already exists",IF(AND($H55&lt;&gt;"",COUNTIF(INV_Serial,$H55)&gt;1),"⚠ this serial already exists",IF(COUNTIFS(INV_Product,$B55,INV_No,$C55)&gt;1,"⚠ piece number reused",""))))</f>
        <v/>
      </c>
      <c r="P55" s="5" t="n"/>
    </row>
    <row r="56">
      <c r="A56" s="8">
        <f>IF(OR($B56="",$C56=""),"",IFERROR(INDEX(PM_Short,MATCH($B56,PM_ID,0))&amp;"-"&amp;TEXT($C56,"00"),"?? no such product"))</f>
        <v/>
      </c>
      <c r="B56" s="5" t="n"/>
      <c r="C56" s="5" t="n"/>
      <c r="D56" s="8">
        <f>IF($B56="","",IFERROR(INDEX(PM_Category,MATCH($B56,PM_ID,0)),""))</f>
        <v/>
      </c>
      <c r="E56" s="8">
        <f>IF($B56="","",IFERROR(INDEX(PM_Subcategory,MATCH($B56,PM_ID,0)),""))</f>
        <v/>
      </c>
      <c r="F56" s="8">
        <f>IF($B56="","",IFERROR(INDEX(PM_Brand,MATCH($B56,PM_ID,0)),""))</f>
        <v/>
      </c>
      <c r="G56" s="8">
        <f>IF($B56="","",IFERROR(INDEX(PM_Model,MATCH($B56,PM_ID,0)),""))</f>
        <v/>
      </c>
      <c r="H56" s="5" t="n"/>
      <c r="I56" s="10" t="n"/>
      <c r="J56" s="9" t="n"/>
      <c r="K56" s="5" t="n"/>
      <c r="L56" s="5" t="n"/>
      <c r="M56" s="5" t="n"/>
      <c r="N56" s="5" t="n"/>
      <c r="O56" s="8">
        <f>IF($B56="","",IF(AND($A56&lt;&gt;"",COUNTIF(INV_ID,$A56)&gt;1),"⚠ this Unit ID already exists",IF(AND($H56&lt;&gt;"",COUNTIF(INV_Serial,$H56)&gt;1),"⚠ this serial already exists",IF(COUNTIFS(INV_Product,$B56,INV_No,$C56)&gt;1,"⚠ piece number reused",""))))</f>
        <v/>
      </c>
      <c r="P56" s="5" t="n"/>
    </row>
    <row r="57">
      <c r="A57" s="8">
        <f>IF(OR($B57="",$C57=""),"",IFERROR(INDEX(PM_Short,MATCH($B57,PM_ID,0))&amp;"-"&amp;TEXT($C57,"00"),"?? no such product"))</f>
        <v/>
      </c>
      <c r="B57" s="5" t="n"/>
      <c r="C57" s="5" t="n"/>
      <c r="D57" s="8">
        <f>IF($B57="","",IFERROR(INDEX(PM_Category,MATCH($B57,PM_ID,0)),""))</f>
        <v/>
      </c>
      <c r="E57" s="8">
        <f>IF($B57="","",IFERROR(INDEX(PM_Subcategory,MATCH($B57,PM_ID,0)),""))</f>
        <v/>
      </c>
      <c r="F57" s="8">
        <f>IF($B57="","",IFERROR(INDEX(PM_Brand,MATCH($B57,PM_ID,0)),""))</f>
        <v/>
      </c>
      <c r="G57" s="8">
        <f>IF($B57="","",IFERROR(INDEX(PM_Model,MATCH($B57,PM_ID,0)),""))</f>
        <v/>
      </c>
      <c r="H57" s="5" t="n"/>
      <c r="I57" s="10" t="n"/>
      <c r="J57" s="9" t="n"/>
      <c r="K57" s="5" t="n"/>
      <c r="L57" s="5" t="n"/>
      <c r="M57" s="5" t="n"/>
      <c r="N57" s="5" t="n"/>
      <c r="O57" s="8">
        <f>IF($B57="","",IF(AND($A57&lt;&gt;"",COUNTIF(INV_ID,$A57)&gt;1),"⚠ this Unit ID already exists",IF(AND($H57&lt;&gt;"",COUNTIF(INV_Serial,$H57)&gt;1),"⚠ this serial already exists",IF(COUNTIFS(INV_Product,$B57,INV_No,$C57)&gt;1,"⚠ piece number reused",""))))</f>
        <v/>
      </c>
      <c r="P57" s="5" t="n"/>
    </row>
    <row r="58">
      <c r="A58" s="8">
        <f>IF(OR($B58="",$C58=""),"",IFERROR(INDEX(PM_Short,MATCH($B58,PM_ID,0))&amp;"-"&amp;TEXT($C58,"00"),"?? no such product"))</f>
        <v/>
      </c>
      <c r="B58" s="5" t="n"/>
      <c r="C58" s="5" t="n"/>
      <c r="D58" s="8">
        <f>IF($B58="","",IFERROR(INDEX(PM_Category,MATCH($B58,PM_ID,0)),""))</f>
        <v/>
      </c>
      <c r="E58" s="8">
        <f>IF($B58="","",IFERROR(INDEX(PM_Subcategory,MATCH($B58,PM_ID,0)),""))</f>
        <v/>
      </c>
      <c r="F58" s="8">
        <f>IF($B58="","",IFERROR(INDEX(PM_Brand,MATCH($B58,PM_ID,0)),""))</f>
        <v/>
      </c>
      <c r="G58" s="8">
        <f>IF($B58="","",IFERROR(INDEX(PM_Model,MATCH($B58,PM_ID,0)),""))</f>
        <v/>
      </c>
      <c r="H58" s="5" t="n"/>
      <c r="I58" s="10" t="n"/>
      <c r="J58" s="9" t="n"/>
      <c r="K58" s="5" t="n"/>
      <c r="L58" s="5" t="n"/>
      <c r="M58" s="5" t="n"/>
      <c r="N58" s="5" t="n"/>
      <c r="O58" s="8">
        <f>IF($B58="","",IF(AND($A58&lt;&gt;"",COUNTIF(INV_ID,$A58)&gt;1),"⚠ this Unit ID already exists",IF(AND($H58&lt;&gt;"",COUNTIF(INV_Serial,$H58)&gt;1),"⚠ this serial already exists",IF(COUNTIFS(INV_Product,$B58,INV_No,$C58)&gt;1,"⚠ piece number reused",""))))</f>
        <v/>
      </c>
      <c r="P58" s="5" t="n"/>
    </row>
    <row r="59">
      <c r="A59" s="8">
        <f>IF(OR($B59="",$C59=""),"",IFERROR(INDEX(PM_Short,MATCH($B59,PM_ID,0))&amp;"-"&amp;TEXT($C59,"00"),"?? no such product"))</f>
        <v/>
      </c>
      <c r="B59" s="5" t="n"/>
      <c r="C59" s="5" t="n"/>
      <c r="D59" s="8">
        <f>IF($B59="","",IFERROR(INDEX(PM_Category,MATCH($B59,PM_ID,0)),""))</f>
        <v/>
      </c>
      <c r="E59" s="8">
        <f>IF($B59="","",IFERROR(INDEX(PM_Subcategory,MATCH($B59,PM_ID,0)),""))</f>
        <v/>
      </c>
      <c r="F59" s="8">
        <f>IF($B59="","",IFERROR(INDEX(PM_Brand,MATCH($B59,PM_ID,0)),""))</f>
        <v/>
      </c>
      <c r="G59" s="8">
        <f>IF($B59="","",IFERROR(INDEX(PM_Model,MATCH($B59,PM_ID,0)),""))</f>
        <v/>
      </c>
      <c r="H59" s="5" t="n"/>
      <c r="I59" s="10" t="n"/>
      <c r="J59" s="9" t="n"/>
      <c r="K59" s="5" t="n"/>
      <c r="L59" s="5" t="n"/>
      <c r="M59" s="5" t="n"/>
      <c r="N59" s="5" t="n"/>
      <c r="O59" s="8">
        <f>IF($B59="","",IF(AND($A59&lt;&gt;"",COUNTIF(INV_ID,$A59)&gt;1),"⚠ this Unit ID already exists",IF(AND($H59&lt;&gt;"",COUNTIF(INV_Serial,$H59)&gt;1),"⚠ this serial already exists",IF(COUNTIFS(INV_Product,$B59,INV_No,$C59)&gt;1,"⚠ piece number reused",""))))</f>
        <v/>
      </c>
      <c r="P59" s="5" t="n"/>
    </row>
    <row r="60">
      <c r="A60" s="8">
        <f>IF(OR($B60="",$C60=""),"",IFERROR(INDEX(PM_Short,MATCH($B60,PM_ID,0))&amp;"-"&amp;TEXT($C60,"00"),"?? no such product"))</f>
        <v/>
      </c>
      <c r="B60" s="5" t="n"/>
      <c r="C60" s="5" t="n"/>
      <c r="D60" s="8">
        <f>IF($B60="","",IFERROR(INDEX(PM_Category,MATCH($B60,PM_ID,0)),""))</f>
        <v/>
      </c>
      <c r="E60" s="8">
        <f>IF($B60="","",IFERROR(INDEX(PM_Subcategory,MATCH($B60,PM_ID,0)),""))</f>
        <v/>
      </c>
      <c r="F60" s="8">
        <f>IF($B60="","",IFERROR(INDEX(PM_Brand,MATCH($B60,PM_ID,0)),""))</f>
        <v/>
      </c>
      <c r="G60" s="8">
        <f>IF($B60="","",IFERROR(INDEX(PM_Model,MATCH($B60,PM_ID,0)),""))</f>
        <v/>
      </c>
      <c r="H60" s="5" t="n"/>
      <c r="I60" s="10" t="n"/>
      <c r="J60" s="9" t="n"/>
      <c r="K60" s="5" t="n"/>
      <c r="L60" s="5" t="n"/>
      <c r="M60" s="5" t="n"/>
      <c r="N60" s="5" t="n"/>
      <c r="O60" s="8">
        <f>IF($B60="","",IF(AND($A60&lt;&gt;"",COUNTIF(INV_ID,$A60)&gt;1),"⚠ this Unit ID already exists",IF(AND($H60&lt;&gt;"",COUNTIF(INV_Serial,$H60)&gt;1),"⚠ this serial already exists",IF(COUNTIFS(INV_Product,$B60,INV_No,$C60)&gt;1,"⚠ piece number reused",""))))</f>
        <v/>
      </c>
      <c r="P60" s="5" t="n"/>
    </row>
    <row r="61">
      <c r="A61" s="8">
        <f>IF(OR($B61="",$C61=""),"",IFERROR(INDEX(PM_Short,MATCH($B61,PM_ID,0))&amp;"-"&amp;TEXT($C61,"00"),"?? no such product"))</f>
        <v/>
      </c>
      <c r="B61" s="5" t="n"/>
      <c r="C61" s="5" t="n"/>
      <c r="D61" s="8">
        <f>IF($B61="","",IFERROR(INDEX(PM_Category,MATCH($B61,PM_ID,0)),""))</f>
        <v/>
      </c>
      <c r="E61" s="8">
        <f>IF($B61="","",IFERROR(INDEX(PM_Subcategory,MATCH($B61,PM_ID,0)),""))</f>
        <v/>
      </c>
      <c r="F61" s="8">
        <f>IF($B61="","",IFERROR(INDEX(PM_Brand,MATCH($B61,PM_ID,0)),""))</f>
        <v/>
      </c>
      <c r="G61" s="8">
        <f>IF($B61="","",IFERROR(INDEX(PM_Model,MATCH($B61,PM_ID,0)),""))</f>
        <v/>
      </c>
      <c r="H61" s="5" t="n"/>
      <c r="I61" s="10" t="n"/>
      <c r="J61" s="9" t="n"/>
      <c r="K61" s="5" t="n"/>
      <c r="L61" s="5" t="n"/>
      <c r="M61" s="5" t="n"/>
      <c r="N61" s="5" t="n"/>
      <c r="O61" s="8">
        <f>IF($B61="","",IF(AND($A61&lt;&gt;"",COUNTIF(INV_ID,$A61)&gt;1),"⚠ this Unit ID already exists",IF(AND($H61&lt;&gt;"",COUNTIF(INV_Serial,$H61)&gt;1),"⚠ this serial already exists",IF(COUNTIFS(INV_Product,$B61,INV_No,$C61)&gt;1,"⚠ piece number reused",""))))</f>
        <v/>
      </c>
      <c r="P61" s="5" t="n"/>
    </row>
    <row r="62">
      <c r="A62" s="8">
        <f>IF(OR($B62="",$C62=""),"",IFERROR(INDEX(PM_Short,MATCH($B62,PM_ID,0))&amp;"-"&amp;TEXT($C62,"00"),"?? no such product"))</f>
        <v/>
      </c>
      <c r="B62" s="5" t="n"/>
      <c r="C62" s="5" t="n"/>
      <c r="D62" s="8">
        <f>IF($B62="","",IFERROR(INDEX(PM_Category,MATCH($B62,PM_ID,0)),""))</f>
        <v/>
      </c>
      <c r="E62" s="8">
        <f>IF($B62="","",IFERROR(INDEX(PM_Subcategory,MATCH($B62,PM_ID,0)),""))</f>
        <v/>
      </c>
      <c r="F62" s="8">
        <f>IF($B62="","",IFERROR(INDEX(PM_Brand,MATCH($B62,PM_ID,0)),""))</f>
        <v/>
      </c>
      <c r="G62" s="8">
        <f>IF($B62="","",IFERROR(INDEX(PM_Model,MATCH($B62,PM_ID,0)),""))</f>
        <v/>
      </c>
      <c r="H62" s="5" t="n"/>
      <c r="I62" s="10" t="n"/>
      <c r="J62" s="9" t="n"/>
      <c r="K62" s="5" t="n"/>
      <c r="L62" s="5" t="n"/>
      <c r="M62" s="5" t="n"/>
      <c r="N62" s="5" t="n"/>
      <c r="O62" s="8">
        <f>IF($B62="","",IF(AND($A62&lt;&gt;"",COUNTIF(INV_ID,$A62)&gt;1),"⚠ this Unit ID already exists",IF(AND($H62&lt;&gt;"",COUNTIF(INV_Serial,$H62)&gt;1),"⚠ this serial already exists",IF(COUNTIFS(INV_Product,$B62,INV_No,$C62)&gt;1,"⚠ piece number reused",""))))</f>
        <v/>
      </c>
      <c r="P62" s="5" t="n"/>
    </row>
    <row r="63">
      <c r="A63" s="8">
        <f>IF(OR($B63="",$C63=""),"",IFERROR(INDEX(PM_Short,MATCH($B63,PM_ID,0))&amp;"-"&amp;TEXT($C63,"00"),"?? no such product"))</f>
        <v/>
      </c>
      <c r="B63" s="5" t="n"/>
      <c r="C63" s="5" t="n"/>
      <c r="D63" s="8">
        <f>IF($B63="","",IFERROR(INDEX(PM_Category,MATCH($B63,PM_ID,0)),""))</f>
        <v/>
      </c>
      <c r="E63" s="8">
        <f>IF($B63="","",IFERROR(INDEX(PM_Subcategory,MATCH($B63,PM_ID,0)),""))</f>
        <v/>
      </c>
      <c r="F63" s="8">
        <f>IF($B63="","",IFERROR(INDEX(PM_Brand,MATCH($B63,PM_ID,0)),""))</f>
        <v/>
      </c>
      <c r="G63" s="8">
        <f>IF($B63="","",IFERROR(INDEX(PM_Model,MATCH($B63,PM_ID,0)),""))</f>
        <v/>
      </c>
      <c r="H63" s="5" t="n"/>
      <c r="I63" s="10" t="n"/>
      <c r="J63" s="9" t="n"/>
      <c r="K63" s="5" t="n"/>
      <c r="L63" s="5" t="n"/>
      <c r="M63" s="5" t="n"/>
      <c r="N63" s="5" t="n"/>
      <c r="O63" s="8">
        <f>IF($B63="","",IF(AND($A63&lt;&gt;"",COUNTIF(INV_ID,$A63)&gt;1),"⚠ this Unit ID already exists",IF(AND($H63&lt;&gt;"",COUNTIF(INV_Serial,$H63)&gt;1),"⚠ this serial already exists",IF(COUNTIFS(INV_Product,$B63,INV_No,$C63)&gt;1,"⚠ piece number reused",""))))</f>
        <v/>
      </c>
      <c r="P63" s="5" t="n"/>
    </row>
    <row r="64">
      <c r="A64" s="8">
        <f>IF(OR($B64="",$C64=""),"",IFERROR(INDEX(PM_Short,MATCH($B64,PM_ID,0))&amp;"-"&amp;TEXT($C64,"00"),"?? no such product"))</f>
        <v/>
      </c>
      <c r="B64" s="5" t="n"/>
      <c r="C64" s="5" t="n"/>
      <c r="D64" s="8">
        <f>IF($B64="","",IFERROR(INDEX(PM_Category,MATCH($B64,PM_ID,0)),""))</f>
        <v/>
      </c>
      <c r="E64" s="8">
        <f>IF($B64="","",IFERROR(INDEX(PM_Subcategory,MATCH($B64,PM_ID,0)),""))</f>
        <v/>
      </c>
      <c r="F64" s="8">
        <f>IF($B64="","",IFERROR(INDEX(PM_Brand,MATCH($B64,PM_ID,0)),""))</f>
        <v/>
      </c>
      <c r="G64" s="8">
        <f>IF($B64="","",IFERROR(INDEX(PM_Model,MATCH($B64,PM_ID,0)),""))</f>
        <v/>
      </c>
      <c r="H64" s="5" t="n"/>
      <c r="I64" s="10" t="n"/>
      <c r="J64" s="9" t="n"/>
      <c r="K64" s="5" t="n"/>
      <c r="L64" s="5" t="n"/>
      <c r="M64" s="5" t="n"/>
      <c r="N64" s="5" t="n"/>
      <c r="O64" s="8">
        <f>IF($B64="","",IF(AND($A64&lt;&gt;"",COUNTIF(INV_ID,$A64)&gt;1),"⚠ this Unit ID already exists",IF(AND($H64&lt;&gt;"",COUNTIF(INV_Serial,$H64)&gt;1),"⚠ this serial already exists",IF(COUNTIFS(INV_Product,$B64,INV_No,$C64)&gt;1,"⚠ piece number reused",""))))</f>
        <v/>
      </c>
      <c r="P64" s="5" t="n"/>
    </row>
    <row r="65">
      <c r="A65" s="8">
        <f>IF(OR($B65="",$C65=""),"",IFERROR(INDEX(PM_Short,MATCH($B65,PM_ID,0))&amp;"-"&amp;TEXT($C65,"00"),"?? no such product"))</f>
        <v/>
      </c>
      <c r="B65" s="5" t="n"/>
      <c r="C65" s="5" t="n"/>
      <c r="D65" s="8">
        <f>IF($B65="","",IFERROR(INDEX(PM_Category,MATCH($B65,PM_ID,0)),""))</f>
        <v/>
      </c>
      <c r="E65" s="8">
        <f>IF($B65="","",IFERROR(INDEX(PM_Subcategory,MATCH($B65,PM_ID,0)),""))</f>
        <v/>
      </c>
      <c r="F65" s="8">
        <f>IF($B65="","",IFERROR(INDEX(PM_Brand,MATCH($B65,PM_ID,0)),""))</f>
        <v/>
      </c>
      <c r="G65" s="8">
        <f>IF($B65="","",IFERROR(INDEX(PM_Model,MATCH($B65,PM_ID,0)),""))</f>
        <v/>
      </c>
      <c r="H65" s="5" t="n"/>
      <c r="I65" s="10" t="n"/>
      <c r="J65" s="9" t="n"/>
      <c r="K65" s="5" t="n"/>
      <c r="L65" s="5" t="n"/>
      <c r="M65" s="5" t="n"/>
      <c r="N65" s="5" t="n"/>
      <c r="O65" s="8">
        <f>IF($B65="","",IF(AND($A65&lt;&gt;"",COUNTIF(INV_ID,$A65)&gt;1),"⚠ this Unit ID already exists",IF(AND($H65&lt;&gt;"",COUNTIF(INV_Serial,$H65)&gt;1),"⚠ this serial already exists",IF(COUNTIFS(INV_Product,$B65,INV_No,$C65)&gt;1,"⚠ piece number reused",""))))</f>
        <v/>
      </c>
      <c r="P65" s="5" t="n"/>
    </row>
    <row r="66">
      <c r="A66" s="8">
        <f>IF(OR($B66="",$C66=""),"",IFERROR(INDEX(PM_Short,MATCH($B66,PM_ID,0))&amp;"-"&amp;TEXT($C66,"00"),"?? no such product"))</f>
        <v/>
      </c>
      <c r="B66" s="5" t="n"/>
      <c r="C66" s="5" t="n"/>
      <c r="D66" s="8">
        <f>IF($B66="","",IFERROR(INDEX(PM_Category,MATCH($B66,PM_ID,0)),""))</f>
        <v/>
      </c>
      <c r="E66" s="8">
        <f>IF($B66="","",IFERROR(INDEX(PM_Subcategory,MATCH($B66,PM_ID,0)),""))</f>
        <v/>
      </c>
      <c r="F66" s="8">
        <f>IF($B66="","",IFERROR(INDEX(PM_Brand,MATCH($B66,PM_ID,0)),""))</f>
        <v/>
      </c>
      <c r="G66" s="8">
        <f>IF($B66="","",IFERROR(INDEX(PM_Model,MATCH($B66,PM_ID,0)),""))</f>
        <v/>
      </c>
      <c r="H66" s="5" t="n"/>
      <c r="I66" s="10" t="n"/>
      <c r="J66" s="9" t="n"/>
      <c r="K66" s="5" t="n"/>
      <c r="L66" s="5" t="n"/>
      <c r="M66" s="5" t="n"/>
      <c r="N66" s="5" t="n"/>
      <c r="O66" s="8">
        <f>IF($B66="","",IF(AND($A66&lt;&gt;"",COUNTIF(INV_ID,$A66)&gt;1),"⚠ this Unit ID already exists",IF(AND($H66&lt;&gt;"",COUNTIF(INV_Serial,$H66)&gt;1),"⚠ this serial already exists",IF(COUNTIFS(INV_Product,$B66,INV_No,$C66)&gt;1,"⚠ piece number reused",""))))</f>
        <v/>
      </c>
      <c r="P66" s="5" t="n"/>
    </row>
    <row r="67">
      <c r="A67" s="8">
        <f>IF(OR($B67="",$C67=""),"",IFERROR(INDEX(PM_Short,MATCH($B67,PM_ID,0))&amp;"-"&amp;TEXT($C67,"00"),"?? no such product"))</f>
        <v/>
      </c>
      <c r="B67" s="5" t="n"/>
      <c r="C67" s="5" t="n"/>
      <c r="D67" s="8">
        <f>IF($B67="","",IFERROR(INDEX(PM_Category,MATCH($B67,PM_ID,0)),""))</f>
        <v/>
      </c>
      <c r="E67" s="8">
        <f>IF($B67="","",IFERROR(INDEX(PM_Subcategory,MATCH($B67,PM_ID,0)),""))</f>
        <v/>
      </c>
      <c r="F67" s="8">
        <f>IF($B67="","",IFERROR(INDEX(PM_Brand,MATCH($B67,PM_ID,0)),""))</f>
        <v/>
      </c>
      <c r="G67" s="8">
        <f>IF($B67="","",IFERROR(INDEX(PM_Model,MATCH($B67,PM_ID,0)),""))</f>
        <v/>
      </c>
      <c r="H67" s="5" t="n"/>
      <c r="I67" s="10" t="n"/>
      <c r="J67" s="9" t="n"/>
      <c r="K67" s="5" t="n"/>
      <c r="L67" s="5" t="n"/>
      <c r="M67" s="5" t="n"/>
      <c r="N67" s="5" t="n"/>
      <c r="O67" s="8">
        <f>IF($B67="","",IF(AND($A67&lt;&gt;"",COUNTIF(INV_ID,$A67)&gt;1),"⚠ this Unit ID already exists",IF(AND($H67&lt;&gt;"",COUNTIF(INV_Serial,$H67)&gt;1),"⚠ this serial already exists",IF(COUNTIFS(INV_Product,$B67,INV_No,$C67)&gt;1,"⚠ piece number reused",""))))</f>
        <v/>
      </c>
      <c r="P67" s="5" t="n"/>
    </row>
    <row r="68">
      <c r="A68" s="8">
        <f>IF(OR($B68="",$C68=""),"",IFERROR(INDEX(PM_Short,MATCH($B68,PM_ID,0))&amp;"-"&amp;TEXT($C68,"00"),"?? no such product"))</f>
        <v/>
      </c>
      <c r="B68" s="5" t="n"/>
      <c r="C68" s="5" t="n"/>
      <c r="D68" s="8">
        <f>IF($B68="","",IFERROR(INDEX(PM_Category,MATCH($B68,PM_ID,0)),""))</f>
        <v/>
      </c>
      <c r="E68" s="8">
        <f>IF($B68="","",IFERROR(INDEX(PM_Subcategory,MATCH($B68,PM_ID,0)),""))</f>
        <v/>
      </c>
      <c r="F68" s="8">
        <f>IF($B68="","",IFERROR(INDEX(PM_Brand,MATCH($B68,PM_ID,0)),""))</f>
        <v/>
      </c>
      <c r="G68" s="8">
        <f>IF($B68="","",IFERROR(INDEX(PM_Model,MATCH($B68,PM_ID,0)),""))</f>
        <v/>
      </c>
      <c r="H68" s="5" t="n"/>
      <c r="I68" s="10" t="n"/>
      <c r="J68" s="9" t="n"/>
      <c r="K68" s="5" t="n"/>
      <c r="L68" s="5" t="n"/>
      <c r="M68" s="5" t="n"/>
      <c r="N68" s="5" t="n"/>
      <c r="O68" s="8">
        <f>IF($B68="","",IF(AND($A68&lt;&gt;"",COUNTIF(INV_ID,$A68)&gt;1),"⚠ this Unit ID already exists",IF(AND($H68&lt;&gt;"",COUNTIF(INV_Serial,$H68)&gt;1),"⚠ this serial already exists",IF(COUNTIFS(INV_Product,$B68,INV_No,$C68)&gt;1,"⚠ piece number reused",""))))</f>
        <v/>
      </c>
      <c r="P68" s="5" t="n"/>
    </row>
    <row r="69">
      <c r="A69" s="8">
        <f>IF(OR($B69="",$C69=""),"",IFERROR(INDEX(PM_Short,MATCH($B69,PM_ID,0))&amp;"-"&amp;TEXT($C69,"00"),"?? no such product"))</f>
        <v/>
      </c>
      <c r="B69" s="5" t="n"/>
      <c r="C69" s="5" t="n"/>
      <c r="D69" s="8">
        <f>IF($B69="","",IFERROR(INDEX(PM_Category,MATCH($B69,PM_ID,0)),""))</f>
        <v/>
      </c>
      <c r="E69" s="8">
        <f>IF($B69="","",IFERROR(INDEX(PM_Subcategory,MATCH($B69,PM_ID,0)),""))</f>
        <v/>
      </c>
      <c r="F69" s="8">
        <f>IF($B69="","",IFERROR(INDEX(PM_Brand,MATCH($B69,PM_ID,0)),""))</f>
        <v/>
      </c>
      <c r="G69" s="8">
        <f>IF($B69="","",IFERROR(INDEX(PM_Model,MATCH($B69,PM_ID,0)),""))</f>
        <v/>
      </c>
      <c r="H69" s="5" t="n"/>
      <c r="I69" s="10" t="n"/>
      <c r="J69" s="9" t="n"/>
      <c r="K69" s="5" t="n"/>
      <c r="L69" s="5" t="n"/>
      <c r="M69" s="5" t="n"/>
      <c r="N69" s="5" t="n"/>
      <c r="O69" s="8">
        <f>IF($B69="","",IF(AND($A69&lt;&gt;"",COUNTIF(INV_ID,$A69)&gt;1),"⚠ this Unit ID already exists",IF(AND($H69&lt;&gt;"",COUNTIF(INV_Serial,$H69)&gt;1),"⚠ this serial already exists",IF(COUNTIFS(INV_Product,$B69,INV_No,$C69)&gt;1,"⚠ piece number reused",""))))</f>
        <v/>
      </c>
      <c r="P69" s="5" t="n"/>
    </row>
    <row r="70">
      <c r="A70" s="8">
        <f>IF(OR($B70="",$C70=""),"",IFERROR(INDEX(PM_Short,MATCH($B70,PM_ID,0))&amp;"-"&amp;TEXT($C70,"00"),"?? no such product"))</f>
        <v/>
      </c>
      <c r="B70" s="5" t="n"/>
      <c r="C70" s="5" t="n"/>
      <c r="D70" s="8">
        <f>IF($B70="","",IFERROR(INDEX(PM_Category,MATCH($B70,PM_ID,0)),""))</f>
        <v/>
      </c>
      <c r="E70" s="8">
        <f>IF($B70="","",IFERROR(INDEX(PM_Subcategory,MATCH($B70,PM_ID,0)),""))</f>
        <v/>
      </c>
      <c r="F70" s="8">
        <f>IF($B70="","",IFERROR(INDEX(PM_Brand,MATCH($B70,PM_ID,0)),""))</f>
        <v/>
      </c>
      <c r="G70" s="8">
        <f>IF($B70="","",IFERROR(INDEX(PM_Model,MATCH($B70,PM_ID,0)),""))</f>
        <v/>
      </c>
      <c r="H70" s="5" t="n"/>
      <c r="I70" s="10" t="n"/>
      <c r="J70" s="9" t="n"/>
      <c r="K70" s="5" t="n"/>
      <c r="L70" s="5" t="n"/>
      <c r="M70" s="5" t="n"/>
      <c r="N70" s="5" t="n"/>
      <c r="O70" s="8">
        <f>IF($B70="","",IF(AND($A70&lt;&gt;"",COUNTIF(INV_ID,$A70)&gt;1),"⚠ this Unit ID already exists",IF(AND($H70&lt;&gt;"",COUNTIF(INV_Serial,$H70)&gt;1),"⚠ this serial already exists",IF(COUNTIFS(INV_Product,$B70,INV_No,$C70)&gt;1,"⚠ piece number reused",""))))</f>
        <v/>
      </c>
      <c r="P70" s="5" t="n"/>
    </row>
    <row r="71">
      <c r="A71" s="8">
        <f>IF(OR($B71="",$C71=""),"",IFERROR(INDEX(PM_Short,MATCH($B71,PM_ID,0))&amp;"-"&amp;TEXT($C71,"00"),"?? no such product"))</f>
        <v/>
      </c>
      <c r="B71" s="5" t="n"/>
      <c r="C71" s="5" t="n"/>
      <c r="D71" s="8">
        <f>IF($B71="","",IFERROR(INDEX(PM_Category,MATCH($B71,PM_ID,0)),""))</f>
        <v/>
      </c>
      <c r="E71" s="8">
        <f>IF($B71="","",IFERROR(INDEX(PM_Subcategory,MATCH($B71,PM_ID,0)),""))</f>
        <v/>
      </c>
      <c r="F71" s="8">
        <f>IF($B71="","",IFERROR(INDEX(PM_Brand,MATCH($B71,PM_ID,0)),""))</f>
        <v/>
      </c>
      <c r="G71" s="8">
        <f>IF($B71="","",IFERROR(INDEX(PM_Model,MATCH($B71,PM_ID,0)),""))</f>
        <v/>
      </c>
      <c r="H71" s="5" t="n"/>
      <c r="I71" s="10" t="n"/>
      <c r="J71" s="9" t="n"/>
      <c r="K71" s="5" t="n"/>
      <c r="L71" s="5" t="n"/>
      <c r="M71" s="5" t="n"/>
      <c r="N71" s="5" t="n"/>
      <c r="O71" s="8">
        <f>IF($B71="","",IF(AND($A71&lt;&gt;"",COUNTIF(INV_ID,$A71)&gt;1),"⚠ this Unit ID already exists",IF(AND($H71&lt;&gt;"",COUNTIF(INV_Serial,$H71)&gt;1),"⚠ this serial already exists",IF(COUNTIFS(INV_Product,$B71,INV_No,$C71)&gt;1,"⚠ piece number reused",""))))</f>
        <v/>
      </c>
      <c r="P71" s="5" t="n"/>
    </row>
    <row r="72">
      <c r="A72" s="8">
        <f>IF(OR($B72="",$C72=""),"",IFERROR(INDEX(PM_Short,MATCH($B72,PM_ID,0))&amp;"-"&amp;TEXT($C72,"00"),"?? no such product"))</f>
        <v/>
      </c>
      <c r="B72" s="5" t="n"/>
      <c r="C72" s="5" t="n"/>
      <c r="D72" s="8">
        <f>IF($B72="","",IFERROR(INDEX(PM_Category,MATCH($B72,PM_ID,0)),""))</f>
        <v/>
      </c>
      <c r="E72" s="8">
        <f>IF($B72="","",IFERROR(INDEX(PM_Subcategory,MATCH($B72,PM_ID,0)),""))</f>
        <v/>
      </c>
      <c r="F72" s="8">
        <f>IF($B72="","",IFERROR(INDEX(PM_Brand,MATCH($B72,PM_ID,0)),""))</f>
        <v/>
      </c>
      <c r="G72" s="8">
        <f>IF($B72="","",IFERROR(INDEX(PM_Model,MATCH($B72,PM_ID,0)),""))</f>
        <v/>
      </c>
      <c r="H72" s="5" t="n"/>
      <c r="I72" s="10" t="n"/>
      <c r="J72" s="9" t="n"/>
      <c r="K72" s="5" t="n"/>
      <c r="L72" s="5" t="n"/>
      <c r="M72" s="5" t="n"/>
      <c r="N72" s="5" t="n"/>
      <c r="O72" s="8">
        <f>IF($B72="","",IF(AND($A72&lt;&gt;"",COUNTIF(INV_ID,$A72)&gt;1),"⚠ this Unit ID already exists",IF(AND($H72&lt;&gt;"",COUNTIF(INV_Serial,$H72)&gt;1),"⚠ this serial already exists",IF(COUNTIFS(INV_Product,$B72,INV_No,$C72)&gt;1,"⚠ piece number reused",""))))</f>
        <v/>
      </c>
      <c r="P72" s="5" t="n"/>
    </row>
    <row r="73">
      <c r="A73" s="8">
        <f>IF(OR($B73="",$C73=""),"",IFERROR(INDEX(PM_Short,MATCH($B73,PM_ID,0))&amp;"-"&amp;TEXT($C73,"00"),"?? no such product"))</f>
        <v/>
      </c>
      <c r="B73" s="5" t="n"/>
      <c r="C73" s="5" t="n"/>
      <c r="D73" s="8">
        <f>IF($B73="","",IFERROR(INDEX(PM_Category,MATCH($B73,PM_ID,0)),""))</f>
        <v/>
      </c>
      <c r="E73" s="8">
        <f>IF($B73="","",IFERROR(INDEX(PM_Subcategory,MATCH($B73,PM_ID,0)),""))</f>
        <v/>
      </c>
      <c r="F73" s="8">
        <f>IF($B73="","",IFERROR(INDEX(PM_Brand,MATCH($B73,PM_ID,0)),""))</f>
        <v/>
      </c>
      <c r="G73" s="8">
        <f>IF($B73="","",IFERROR(INDEX(PM_Model,MATCH($B73,PM_ID,0)),""))</f>
        <v/>
      </c>
      <c r="H73" s="5" t="n"/>
      <c r="I73" s="10" t="n"/>
      <c r="J73" s="9" t="n"/>
      <c r="K73" s="5" t="n"/>
      <c r="L73" s="5" t="n"/>
      <c r="M73" s="5" t="n"/>
      <c r="N73" s="5" t="n"/>
      <c r="O73" s="8">
        <f>IF($B73="","",IF(AND($A73&lt;&gt;"",COUNTIF(INV_ID,$A73)&gt;1),"⚠ this Unit ID already exists",IF(AND($H73&lt;&gt;"",COUNTIF(INV_Serial,$H73)&gt;1),"⚠ this serial already exists",IF(COUNTIFS(INV_Product,$B73,INV_No,$C73)&gt;1,"⚠ piece number reused",""))))</f>
        <v/>
      </c>
      <c r="P73" s="5" t="n"/>
    </row>
    <row r="74">
      <c r="A74" s="8">
        <f>IF(OR($B74="",$C74=""),"",IFERROR(INDEX(PM_Short,MATCH($B74,PM_ID,0))&amp;"-"&amp;TEXT($C74,"00"),"?? no such product"))</f>
        <v/>
      </c>
      <c r="B74" s="5" t="n"/>
      <c r="C74" s="5" t="n"/>
      <c r="D74" s="8">
        <f>IF($B74="","",IFERROR(INDEX(PM_Category,MATCH($B74,PM_ID,0)),""))</f>
        <v/>
      </c>
      <c r="E74" s="8">
        <f>IF($B74="","",IFERROR(INDEX(PM_Subcategory,MATCH($B74,PM_ID,0)),""))</f>
        <v/>
      </c>
      <c r="F74" s="8">
        <f>IF($B74="","",IFERROR(INDEX(PM_Brand,MATCH($B74,PM_ID,0)),""))</f>
        <v/>
      </c>
      <c r="G74" s="8">
        <f>IF($B74="","",IFERROR(INDEX(PM_Model,MATCH($B74,PM_ID,0)),""))</f>
        <v/>
      </c>
      <c r="H74" s="5" t="n"/>
      <c r="I74" s="10" t="n"/>
      <c r="J74" s="9" t="n"/>
      <c r="K74" s="5" t="n"/>
      <c r="L74" s="5" t="n"/>
      <c r="M74" s="5" t="n"/>
      <c r="N74" s="5" t="n"/>
      <c r="O74" s="8">
        <f>IF($B74="","",IF(AND($A74&lt;&gt;"",COUNTIF(INV_ID,$A74)&gt;1),"⚠ this Unit ID already exists",IF(AND($H74&lt;&gt;"",COUNTIF(INV_Serial,$H74)&gt;1),"⚠ this serial already exists",IF(COUNTIFS(INV_Product,$B74,INV_No,$C74)&gt;1,"⚠ piece number reused",""))))</f>
        <v/>
      </c>
      <c r="P74" s="5" t="n"/>
    </row>
    <row r="75">
      <c r="A75" s="8">
        <f>IF(OR($B75="",$C75=""),"",IFERROR(INDEX(PM_Short,MATCH($B75,PM_ID,0))&amp;"-"&amp;TEXT($C75,"00"),"?? no such product"))</f>
        <v/>
      </c>
      <c r="B75" s="5" t="n"/>
      <c r="C75" s="5" t="n"/>
      <c r="D75" s="8">
        <f>IF($B75="","",IFERROR(INDEX(PM_Category,MATCH($B75,PM_ID,0)),""))</f>
        <v/>
      </c>
      <c r="E75" s="8">
        <f>IF($B75="","",IFERROR(INDEX(PM_Subcategory,MATCH($B75,PM_ID,0)),""))</f>
        <v/>
      </c>
      <c r="F75" s="8">
        <f>IF($B75="","",IFERROR(INDEX(PM_Brand,MATCH($B75,PM_ID,0)),""))</f>
        <v/>
      </c>
      <c r="G75" s="8">
        <f>IF($B75="","",IFERROR(INDEX(PM_Model,MATCH($B75,PM_ID,0)),""))</f>
        <v/>
      </c>
      <c r="H75" s="5" t="n"/>
      <c r="I75" s="10" t="n"/>
      <c r="J75" s="9" t="n"/>
      <c r="K75" s="5" t="n"/>
      <c r="L75" s="5" t="n"/>
      <c r="M75" s="5" t="n"/>
      <c r="N75" s="5" t="n"/>
      <c r="O75" s="8">
        <f>IF($B75="","",IF(AND($A75&lt;&gt;"",COUNTIF(INV_ID,$A75)&gt;1),"⚠ this Unit ID already exists",IF(AND($H75&lt;&gt;"",COUNTIF(INV_Serial,$H75)&gt;1),"⚠ this serial already exists",IF(COUNTIFS(INV_Product,$B75,INV_No,$C75)&gt;1,"⚠ piece number reused",""))))</f>
        <v/>
      </c>
      <c r="P75" s="5" t="n"/>
    </row>
    <row r="76">
      <c r="A76" s="8">
        <f>IF(OR($B76="",$C76=""),"",IFERROR(INDEX(PM_Short,MATCH($B76,PM_ID,0))&amp;"-"&amp;TEXT($C76,"00"),"?? no such product"))</f>
        <v/>
      </c>
      <c r="B76" s="5" t="n"/>
      <c r="C76" s="5" t="n"/>
      <c r="D76" s="8">
        <f>IF($B76="","",IFERROR(INDEX(PM_Category,MATCH($B76,PM_ID,0)),""))</f>
        <v/>
      </c>
      <c r="E76" s="8">
        <f>IF($B76="","",IFERROR(INDEX(PM_Subcategory,MATCH($B76,PM_ID,0)),""))</f>
        <v/>
      </c>
      <c r="F76" s="8">
        <f>IF($B76="","",IFERROR(INDEX(PM_Brand,MATCH($B76,PM_ID,0)),""))</f>
        <v/>
      </c>
      <c r="G76" s="8">
        <f>IF($B76="","",IFERROR(INDEX(PM_Model,MATCH($B76,PM_ID,0)),""))</f>
        <v/>
      </c>
      <c r="H76" s="5" t="n"/>
      <c r="I76" s="10" t="n"/>
      <c r="J76" s="9" t="n"/>
      <c r="K76" s="5" t="n"/>
      <c r="L76" s="5" t="n"/>
      <c r="M76" s="5" t="n"/>
      <c r="N76" s="5" t="n"/>
      <c r="O76" s="8">
        <f>IF($B76="","",IF(AND($A76&lt;&gt;"",COUNTIF(INV_ID,$A76)&gt;1),"⚠ this Unit ID already exists",IF(AND($H76&lt;&gt;"",COUNTIF(INV_Serial,$H76)&gt;1),"⚠ this serial already exists",IF(COUNTIFS(INV_Product,$B76,INV_No,$C76)&gt;1,"⚠ piece number reused",""))))</f>
        <v/>
      </c>
      <c r="P76" s="5" t="n"/>
    </row>
    <row r="77">
      <c r="A77" s="8">
        <f>IF(OR($B77="",$C77=""),"",IFERROR(INDEX(PM_Short,MATCH($B77,PM_ID,0))&amp;"-"&amp;TEXT($C77,"00"),"?? no such product"))</f>
        <v/>
      </c>
      <c r="B77" s="5" t="n"/>
      <c r="C77" s="5" t="n"/>
      <c r="D77" s="8">
        <f>IF($B77="","",IFERROR(INDEX(PM_Category,MATCH($B77,PM_ID,0)),""))</f>
        <v/>
      </c>
      <c r="E77" s="8">
        <f>IF($B77="","",IFERROR(INDEX(PM_Subcategory,MATCH($B77,PM_ID,0)),""))</f>
        <v/>
      </c>
      <c r="F77" s="8">
        <f>IF($B77="","",IFERROR(INDEX(PM_Brand,MATCH($B77,PM_ID,0)),""))</f>
        <v/>
      </c>
      <c r="G77" s="8">
        <f>IF($B77="","",IFERROR(INDEX(PM_Model,MATCH($B77,PM_ID,0)),""))</f>
        <v/>
      </c>
      <c r="H77" s="5" t="n"/>
      <c r="I77" s="10" t="n"/>
      <c r="J77" s="9" t="n"/>
      <c r="K77" s="5" t="n"/>
      <c r="L77" s="5" t="n"/>
      <c r="M77" s="5" t="n"/>
      <c r="N77" s="5" t="n"/>
      <c r="O77" s="8">
        <f>IF($B77="","",IF(AND($A77&lt;&gt;"",COUNTIF(INV_ID,$A77)&gt;1),"⚠ this Unit ID already exists",IF(AND($H77&lt;&gt;"",COUNTIF(INV_Serial,$H77)&gt;1),"⚠ this serial already exists",IF(COUNTIFS(INV_Product,$B77,INV_No,$C77)&gt;1,"⚠ piece number reused",""))))</f>
        <v/>
      </c>
      <c r="P77" s="5" t="n"/>
    </row>
    <row r="78">
      <c r="A78" s="8">
        <f>IF(OR($B78="",$C78=""),"",IFERROR(INDEX(PM_Short,MATCH($B78,PM_ID,0))&amp;"-"&amp;TEXT($C78,"00"),"?? no such product"))</f>
        <v/>
      </c>
      <c r="B78" s="5" t="n"/>
      <c r="C78" s="5" t="n"/>
      <c r="D78" s="8">
        <f>IF($B78="","",IFERROR(INDEX(PM_Category,MATCH($B78,PM_ID,0)),""))</f>
        <v/>
      </c>
      <c r="E78" s="8">
        <f>IF($B78="","",IFERROR(INDEX(PM_Subcategory,MATCH($B78,PM_ID,0)),""))</f>
        <v/>
      </c>
      <c r="F78" s="8">
        <f>IF($B78="","",IFERROR(INDEX(PM_Brand,MATCH($B78,PM_ID,0)),""))</f>
        <v/>
      </c>
      <c r="G78" s="8">
        <f>IF($B78="","",IFERROR(INDEX(PM_Model,MATCH($B78,PM_ID,0)),""))</f>
        <v/>
      </c>
      <c r="H78" s="5" t="n"/>
      <c r="I78" s="10" t="n"/>
      <c r="J78" s="9" t="n"/>
      <c r="K78" s="5" t="n"/>
      <c r="L78" s="5" t="n"/>
      <c r="M78" s="5" t="n"/>
      <c r="N78" s="5" t="n"/>
      <c r="O78" s="8">
        <f>IF($B78="","",IF(AND($A78&lt;&gt;"",COUNTIF(INV_ID,$A78)&gt;1),"⚠ this Unit ID already exists",IF(AND($H78&lt;&gt;"",COUNTIF(INV_Serial,$H78)&gt;1),"⚠ this serial already exists",IF(COUNTIFS(INV_Product,$B78,INV_No,$C78)&gt;1,"⚠ piece number reused",""))))</f>
        <v/>
      </c>
      <c r="P78" s="5" t="n"/>
    </row>
    <row r="79">
      <c r="A79" s="8">
        <f>IF(OR($B79="",$C79=""),"",IFERROR(INDEX(PM_Short,MATCH($B79,PM_ID,0))&amp;"-"&amp;TEXT($C79,"00"),"?? no such product"))</f>
        <v/>
      </c>
      <c r="B79" s="5" t="n"/>
      <c r="C79" s="5" t="n"/>
      <c r="D79" s="8">
        <f>IF($B79="","",IFERROR(INDEX(PM_Category,MATCH($B79,PM_ID,0)),""))</f>
        <v/>
      </c>
      <c r="E79" s="8">
        <f>IF($B79="","",IFERROR(INDEX(PM_Subcategory,MATCH($B79,PM_ID,0)),""))</f>
        <v/>
      </c>
      <c r="F79" s="8">
        <f>IF($B79="","",IFERROR(INDEX(PM_Brand,MATCH($B79,PM_ID,0)),""))</f>
        <v/>
      </c>
      <c r="G79" s="8">
        <f>IF($B79="","",IFERROR(INDEX(PM_Model,MATCH($B79,PM_ID,0)),""))</f>
        <v/>
      </c>
      <c r="H79" s="5" t="n"/>
      <c r="I79" s="10" t="n"/>
      <c r="J79" s="9" t="n"/>
      <c r="K79" s="5" t="n"/>
      <c r="L79" s="5" t="n"/>
      <c r="M79" s="5" t="n"/>
      <c r="N79" s="5" t="n"/>
      <c r="O79" s="8">
        <f>IF($B79="","",IF(AND($A79&lt;&gt;"",COUNTIF(INV_ID,$A79)&gt;1),"⚠ this Unit ID already exists",IF(AND($H79&lt;&gt;"",COUNTIF(INV_Serial,$H79)&gt;1),"⚠ this serial already exists",IF(COUNTIFS(INV_Product,$B79,INV_No,$C79)&gt;1,"⚠ piece number reused",""))))</f>
        <v/>
      </c>
      <c r="P79" s="5" t="n"/>
    </row>
    <row r="80">
      <c r="A80" s="8">
        <f>IF(OR($B80="",$C80=""),"",IFERROR(INDEX(PM_Short,MATCH($B80,PM_ID,0))&amp;"-"&amp;TEXT($C80,"00"),"?? no such product"))</f>
        <v/>
      </c>
      <c r="B80" s="5" t="n"/>
      <c r="C80" s="5" t="n"/>
      <c r="D80" s="8">
        <f>IF($B80="","",IFERROR(INDEX(PM_Category,MATCH($B80,PM_ID,0)),""))</f>
        <v/>
      </c>
      <c r="E80" s="8">
        <f>IF($B80="","",IFERROR(INDEX(PM_Subcategory,MATCH($B80,PM_ID,0)),""))</f>
        <v/>
      </c>
      <c r="F80" s="8">
        <f>IF($B80="","",IFERROR(INDEX(PM_Brand,MATCH($B80,PM_ID,0)),""))</f>
        <v/>
      </c>
      <c r="G80" s="8">
        <f>IF($B80="","",IFERROR(INDEX(PM_Model,MATCH($B80,PM_ID,0)),""))</f>
        <v/>
      </c>
      <c r="H80" s="5" t="n"/>
      <c r="I80" s="10" t="n"/>
      <c r="J80" s="9" t="n"/>
      <c r="K80" s="5" t="n"/>
      <c r="L80" s="5" t="n"/>
      <c r="M80" s="5" t="n"/>
      <c r="N80" s="5" t="n"/>
      <c r="O80" s="8">
        <f>IF($B80="","",IF(AND($A80&lt;&gt;"",COUNTIF(INV_ID,$A80)&gt;1),"⚠ this Unit ID already exists",IF(AND($H80&lt;&gt;"",COUNTIF(INV_Serial,$H80)&gt;1),"⚠ this serial already exists",IF(COUNTIFS(INV_Product,$B80,INV_No,$C80)&gt;1,"⚠ piece number reused",""))))</f>
        <v/>
      </c>
      <c r="P80" s="5" t="n"/>
    </row>
    <row r="81">
      <c r="A81" s="8">
        <f>IF(OR($B81="",$C81=""),"",IFERROR(INDEX(PM_Short,MATCH($B81,PM_ID,0))&amp;"-"&amp;TEXT($C81,"00"),"?? no such product"))</f>
        <v/>
      </c>
      <c r="B81" s="5" t="n"/>
      <c r="C81" s="5" t="n"/>
      <c r="D81" s="8">
        <f>IF($B81="","",IFERROR(INDEX(PM_Category,MATCH($B81,PM_ID,0)),""))</f>
        <v/>
      </c>
      <c r="E81" s="8">
        <f>IF($B81="","",IFERROR(INDEX(PM_Subcategory,MATCH($B81,PM_ID,0)),""))</f>
        <v/>
      </c>
      <c r="F81" s="8">
        <f>IF($B81="","",IFERROR(INDEX(PM_Brand,MATCH($B81,PM_ID,0)),""))</f>
        <v/>
      </c>
      <c r="G81" s="8">
        <f>IF($B81="","",IFERROR(INDEX(PM_Model,MATCH($B81,PM_ID,0)),""))</f>
        <v/>
      </c>
      <c r="H81" s="5" t="n"/>
      <c r="I81" s="10" t="n"/>
      <c r="J81" s="9" t="n"/>
      <c r="K81" s="5" t="n"/>
      <c r="L81" s="5" t="n"/>
      <c r="M81" s="5" t="n"/>
      <c r="N81" s="5" t="n"/>
      <c r="O81" s="8">
        <f>IF($B81="","",IF(AND($A81&lt;&gt;"",COUNTIF(INV_ID,$A81)&gt;1),"⚠ this Unit ID already exists",IF(AND($H81&lt;&gt;"",COUNTIF(INV_Serial,$H81)&gt;1),"⚠ this serial already exists",IF(COUNTIFS(INV_Product,$B81,INV_No,$C81)&gt;1,"⚠ piece number reused",""))))</f>
        <v/>
      </c>
      <c r="P81" s="5" t="n"/>
    </row>
    <row r="82">
      <c r="A82" s="8">
        <f>IF(OR($B82="",$C82=""),"",IFERROR(INDEX(PM_Short,MATCH($B82,PM_ID,0))&amp;"-"&amp;TEXT($C82,"00"),"?? no such product"))</f>
        <v/>
      </c>
      <c r="B82" s="5" t="n"/>
      <c r="C82" s="5" t="n"/>
      <c r="D82" s="8">
        <f>IF($B82="","",IFERROR(INDEX(PM_Category,MATCH($B82,PM_ID,0)),""))</f>
        <v/>
      </c>
      <c r="E82" s="8">
        <f>IF($B82="","",IFERROR(INDEX(PM_Subcategory,MATCH($B82,PM_ID,0)),""))</f>
        <v/>
      </c>
      <c r="F82" s="8">
        <f>IF($B82="","",IFERROR(INDEX(PM_Brand,MATCH($B82,PM_ID,0)),""))</f>
        <v/>
      </c>
      <c r="G82" s="8">
        <f>IF($B82="","",IFERROR(INDEX(PM_Model,MATCH($B82,PM_ID,0)),""))</f>
        <v/>
      </c>
      <c r="H82" s="5" t="n"/>
      <c r="I82" s="10" t="n"/>
      <c r="J82" s="9" t="n"/>
      <c r="K82" s="5" t="n"/>
      <c r="L82" s="5" t="n"/>
      <c r="M82" s="5" t="n"/>
      <c r="N82" s="5" t="n"/>
      <c r="O82" s="8">
        <f>IF($B82="","",IF(AND($A82&lt;&gt;"",COUNTIF(INV_ID,$A82)&gt;1),"⚠ this Unit ID already exists",IF(AND($H82&lt;&gt;"",COUNTIF(INV_Serial,$H82)&gt;1),"⚠ this serial already exists",IF(COUNTIFS(INV_Product,$B82,INV_No,$C82)&gt;1,"⚠ piece number reused",""))))</f>
        <v/>
      </c>
      <c r="P82" s="5" t="n"/>
    </row>
    <row r="83">
      <c r="A83" s="8">
        <f>IF(OR($B83="",$C83=""),"",IFERROR(INDEX(PM_Short,MATCH($B83,PM_ID,0))&amp;"-"&amp;TEXT($C83,"00"),"?? no such product"))</f>
        <v/>
      </c>
      <c r="B83" s="5" t="n"/>
      <c r="C83" s="5" t="n"/>
      <c r="D83" s="8">
        <f>IF($B83="","",IFERROR(INDEX(PM_Category,MATCH($B83,PM_ID,0)),""))</f>
        <v/>
      </c>
      <c r="E83" s="8">
        <f>IF($B83="","",IFERROR(INDEX(PM_Subcategory,MATCH($B83,PM_ID,0)),""))</f>
        <v/>
      </c>
      <c r="F83" s="8">
        <f>IF($B83="","",IFERROR(INDEX(PM_Brand,MATCH($B83,PM_ID,0)),""))</f>
        <v/>
      </c>
      <c r="G83" s="8">
        <f>IF($B83="","",IFERROR(INDEX(PM_Model,MATCH($B83,PM_ID,0)),""))</f>
        <v/>
      </c>
      <c r="H83" s="5" t="n"/>
      <c r="I83" s="10" t="n"/>
      <c r="J83" s="9" t="n"/>
      <c r="K83" s="5" t="n"/>
      <c r="L83" s="5" t="n"/>
      <c r="M83" s="5" t="n"/>
      <c r="N83" s="5" t="n"/>
      <c r="O83" s="8">
        <f>IF($B83="","",IF(AND($A83&lt;&gt;"",COUNTIF(INV_ID,$A83)&gt;1),"⚠ this Unit ID already exists",IF(AND($H83&lt;&gt;"",COUNTIF(INV_Serial,$H83)&gt;1),"⚠ this serial already exists",IF(COUNTIFS(INV_Product,$B83,INV_No,$C83)&gt;1,"⚠ piece number reused",""))))</f>
        <v/>
      </c>
      <c r="P83" s="5" t="n"/>
    </row>
    <row r="84">
      <c r="A84" s="8">
        <f>IF(OR($B84="",$C84=""),"",IFERROR(INDEX(PM_Short,MATCH($B84,PM_ID,0))&amp;"-"&amp;TEXT($C84,"00"),"?? no such product"))</f>
        <v/>
      </c>
      <c r="B84" s="5" t="n"/>
      <c r="C84" s="5" t="n"/>
      <c r="D84" s="8">
        <f>IF($B84="","",IFERROR(INDEX(PM_Category,MATCH($B84,PM_ID,0)),""))</f>
        <v/>
      </c>
      <c r="E84" s="8">
        <f>IF($B84="","",IFERROR(INDEX(PM_Subcategory,MATCH($B84,PM_ID,0)),""))</f>
        <v/>
      </c>
      <c r="F84" s="8">
        <f>IF($B84="","",IFERROR(INDEX(PM_Brand,MATCH($B84,PM_ID,0)),""))</f>
        <v/>
      </c>
      <c r="G84" s="8">
        <f>IF($B84="","",IFERROR(INDEX(PM_Model,MATCH($B84,PM_ID,0)),""))</f>
        <v/>
      </c>
      <c r="H84" s="5" t="n"/>
      <c r="I84" s="10" t="n"/>
      <c r="J84" s="9" t="n"/>
      <c r="K84" s="5" t="n"/>
      <c r="L84" s="5" t="n"/>
      <c r="M84" s="5" t="n"/>
      <c r="N84" s="5" t="n"/>
      <c r="O84" s="8">
        <f>IF($B84="","",IF(AND($A84&lt;&gt;"",COUNTIF(INV_ID,$A84)&gt;1),"⚠ this Unit ID already exists",IF(AND($H84&lt;&gt;"",COUNTIF(INV_Serial,$H84)&gt;1),"⚠ this serial already exists",IF(COUNTIFS(INV_Product,$B84,INV_No,$C84)&gt;1,"⚠ piece number reused",""))))</f>
        <v/>
      </c>
      <c r="P84" s="5" t="n"/>
    </row>
    <row r="85">
      <c r="A85" s="8">
        <f>IF(OR($B85="",$C85=""),"",IFERROR(INDEX(PM_Short,MATCH($B85,PM_ID,0))&amp;"-"&amp;TEXT($C85,"00"),"?? no such product"))</f>
        <v/>
      </c>
      <c r="B85" s="5" t="n"/>
      <c r="C85" s="5" t="n"/>
      <c r="D85" s="8">
        <f>IF($B85="","",IFERROR(INDEX(PM_Category,MATCH($B85,PM_ID,0)),""))</f>
        <v/>
      </c>
      <c r="E85" s="8">
        <f>IF($B85="","",IFERROR(INDEX(PM_Subcategory,MATCH($B85,PM_ID,0)),""))</f>
        <v/>
      </c>
      <c r="F85" s="8">
        <f>IF($B85="","",IFERROR(INDEX(PM_Brand,MATCH($B85,PM_ID,0)),""))</f>
        <v/>
      </c>
      <c r="G85" s="8">
        <f>IF($B85="","",IFERROR(INDEX(PM_Model,MATCH($B85,PM_ID,0)),""))</f>
        <v/>
      </c>
      <c r="H85" s="5" t="n"/>
      <c r="I85" s="10" t="n"/>
      <c r="J85" s="9" t="n"/>
      <c r="K85" s="5" t="n"/>
      <c r="L85" s="5" t="n"/>
      <c r="M85" s="5" t="n"/>
      <c r="N85" s="5" t="n"/>
      <c r="O85" s="8">
        <f>IF($B85="","",IF(AND($A85&lt;&gt;"",COUNTIF(INV_ID,$A85)&gt;1),"⚠ this Unit ID already exists",IF(AND($H85&lt;&gt;"",COUNTIF(INV_Serial,$H85)&gt;1),"⚠ this serial already exists",IF(COUNTIFS(INV_Product,$B85,INV_No,$C85)&gt;1,"⚠ piece number reused",""))))</f>
        <v/>
      </c>
      <c r="P85" s="5" t="n"/>
    </row>
    <row r="86">
      <c r="A86" s="8">
        <f>IF(OR($B86="",$C86=""),"",IFERROR(INDEX(PM_Short,MATCH($B86,PM_ID,0))&amp;"-"&amp;TEXT($C86,"00"),"?? no such product"))</f>
        <v/>
      </c>
      <c r="B86" s="5" t="n"/>
      <c r="C86" s="5" t="n"/>
      <c r="D86" s="8">
        <f>IF($B86="","",IFERROR(INDEX(PM_Category,MATCH($B86,PM_ID,0)),""))</f>
        <v/>
      </c>
      <c r="E86" s="8">
        <f>IF($B86="","",IFERROR(INDEX(PM_Subcategory,MATCH($B86,PM_ID,0)),""))</f>
        <v/>
      </c>
      <c r="F86" s="8">
        <f>IF($B86="","",IFERROR(INDEX(PM_Brand,MATCH($B86,PM_ID,0)),""))</f>
        <v/>
      </c>
      <c r="G86" s="8">
        <f>IF($B86="","",IFERROR(INDEX(PM_Model,MATCH($B86,PM_ID,0)),""))</f>
        <v/>
      </c>
      <c r="H86" s="5" t="n"/>
      <c r="I86" s="10" t="n"/>
      <c r="J86" s="9" t="n"/>
      <c r="K86" s="5" t="n"/>
      <c r="L86" s="5" t="n"/>
      <c r="M86" s="5" t="n"/>
      <c r="N86" s="5" t="n"/>
      <c r="O86" s="8">
        <f>IF($B86="","",IF(AND($A86&lt;&gt;"",COUNTIF(INV_ID,$A86)&gt;1),"⚠ this Unit ID already exists",IF(AND($H86&lt;&gt;"",COUNTIF(INV_Serial,$H86)&gt;1),"⚠ this serial already exists",IF(COUNTIFS(INV_Product,$B86,INV_No,$C86)&gt;1,"⚠ piece number reused",""))))</f>
        <v/>
      </c>
      <c r="P86" s="5" t="n"/>
    </row>
    <row r="87">
      <c r="A87" s="8">
        <f>IF(OR($B87="",$C87=""),"",IFERROR(INDEX(PM_Short,MATCH($B87,PM_ID,0))&amp;"-"&amp;TEXT($C87,"00"),"?? no such product"))</f>
        <v/>
      </c>
      <c r="B87" s="5" t="n"/>
      <c r="C87" s="5" t="n"/>
      <c r="D87" s="8">
        <f>IF($B87="","",IFERROR(INDEX(PM_Category,MATCH($B87,PM_ID,0)),""))</f>
        <v/>
      </c>
      <c r="E87" s="8">
        <f>IF($B87="","",IFERROR(INDEX(PM_Subcategory,MATCH($B87,PM_ID,0)),""))</f>
        <v/>
      </c>
      <c r="F87" s="8">
        <f>IF($B87="","",IFERROR(INDEX(PM_Brand,MATCH($B87,PM_ID,0)),""))</f>
        <v/>
      </c>
      <c r="G87" s="8">
        <f>IF($B87="","",IFERROR(INDEX(PM_Model,MATCH($B87,PM_ID,0)),""))</f>
        <v/>
      </c>
      <c r="H87" s="5" t="n"/>
      <c r="I87" s="10" t="n"/>
      <c r="J87" s="9" t="n"/>
      <c r="K87" s="5" t="n"/>
      <c r="L87" s="5" t="n"/>
      <c r="M87" s="5" t="n"/>
      <c r="N87" s="5" t="n"/>
      <c r="O87" s="8">
        <f>IF($B87="","",IF(AND($A87&lt;&gt;"",COUNTIF(INV_ID,$A87)&gt;1),"⚠ this Unit ID already exists",IF(AND($H87&lt;&gt;"",COUNTIF(INV_Serial,$H87)&gt;1),"⚠ this serial already exists",IF(COUNTIFS(INV_Product,$B87,INV_No,$C87)&gt;1,"⚠ piece number reused",""))))</f>
        <v/>
      </c>
      <c r="P87" s="5" t="n"/>
    </row>
    <row r="88">
      <c r="A88" s="8">
        <f>IF(OR($B88="",$C88=""),"",IFERROR(INDEX(PM_Short,MATCH($B88,PM_ID,0))&amp;"-"&amp;TEXT($C88,"00"),"?? no such product"))</f>
        <v/>
      </c>
      <c r="B88" s="5" t="n"/>
      <c r="C88" s="5" t="n"/>
      <c r="D88" s="8">
        <f>IF($B88="","",IFERROR(INDEX(PM_Category,MATCH($B88,PM_ID,0)),""))</f>
        <v/>
      </c>
      <c r="E88" s="8">
        <f>IF($B88="","",IFERROR(INDEX(PM_Subcategory,MATCH($B88,PM_ID,0)),""))</f>
        <v/>
      </c>
      <c r="F88" s="8">
        <f>IF($B88="","",IFERROR(INDEX(PM_Brand,MATCH($B88,PM_ID,0)),""))</f>
        <v/>
      </c>
      <c r="G88" s="8">
        <f>IF($B88="","",IFERROR(INDEX(PM_Model,MATCH($B88,PM_ID,0)),""))</f>
        <v/>
      </c>
      <c r="H88" s="5" t="n"/>
      <c r="I88" s="10" t="n"/>
      <c r="J88" s="9" t="n"/>
      <c r="K88" s="5" t="n"/>
      <c r="L88" s="5" t="n"/>
      <c r="M88" s="5" t="n"/>
      <c r="N88" s="5" t="n"/>
      <c r="O88" s="8">
        <f>IF($B88="","",IF(AND($A88&lt;&gt;"",COUNTIF(INV_ID,$A88)&gt;1),"⚠ this Unit ID already exists",IF(AND($H88&lt;&gt;"",COUNTIF(INV_Serial,$H88)&gt;1),"⚠ this serial already exists",IF(COUNTIFS(INV_Product,$B88,INV_No,$C88)&gt;1,"⚠ piece number reused",""))))</f>
        <v/>
      </c>
      <c r="P88" s="5" t="n"/>
    </row>
    <row r="89">
      <c r="A89" s="8">
        <f>IF(OR($B89="",$C89=""),"",IFERROR(INDEX(PM_Short,MATCH($B89,PM_ID,0))&amp;"-"&amp;TEXT($C89,"00"),"?? no such product"))</f>
        <v/>
      </c>
      <c r="B89" s="5" t="n"/>
      <c r="C89" s="5" t="n"/>
      <c r="D89" s="8">
        <f>IF($B89="","",IFERROR(INDEX(PM_Category,MATCH($B89,PM_ID,0)),""))</f>
        <v/>
      </c>
      <c r="E89" s="8">
        <f>IF($B89="","",IFERROR(INDEX(PM_Subcategory,MATCH($B89,PM_ID,0)),""))</f>
        <v/>
      </c>
      <c r="F89" s="8">
        <f>IF($B89="","",IFERROR(INDEX(PM_Brand,MATCH($B89,PM_ID,0)),""))</f>
        <v/>
      </c>
      <c r="G89" s="8">
        <f>IF($B89="","",IFERROR(INDEX(PM_Model,MATCH($B89,PM_ID,0)),""))</f>
        <v/>
      </c>
      <c r="H89" s="5" t="n"/>
      <c r="I89" s="10" t="n"/>
      <c r="J89" s="9" t="n"/>
      <c r="K89" s="5" t="n"/>
      <c r="L89" s="5" t="n"/>
      <c r="M89" s="5" t="n"/>
      <c r="N89" s="5" t="n"/>
      <c r="O89" s="8">
        <f>IF($B89="","",IF(AND($A89&lt;&gt;"",COUNTIF(INV_ID,$A89)&gt;1),"⚠ this Unit ID already exists",IF(AND($H89&lt;&gt;"",COUNTIF(INV_Serial,$H89)&gt;1),"⚠ this serial already exists",IF(COUNTIFS(INV_Product,$B89,INV_No,$C89)&gt;1,"⚠ piece number reused",""))))</f>
        <v/>
      </c>
      <c r="P89" s="5" t="n"/>
    </row>
    <row r="90">
      <c r="A90" s="8">
        <f>IF(OR($B90="",$C90=""),"",IFERROR(INDEX(PM_Short,MATCH($B90,PM_ID,0))&amp;"-"&amp;TEXT($C90,"00"),"?? no such product"))</f>
        <v/>
      </c>
      <c r="B90" s="5" t="n"/>
      <c r="C90" s="5" t="n"/>
      <c r="D90" s="8">
        <f>IF($B90="","",IFERROR(INDEX(PM_Category,MATCH($B90,PM_ID,0)),""))</f>
        <v/>
      </c>
      <c r="E90" s="8">
        <f>IF($B90="","",IFERROR(INDEX(PM_Subcategory,MATCH($B90,PM_ID,0)),""))</f>
        <v/>
      </c>
      <c r="F90" s="8">
        <f>IF($B90="","",IFERROR(INDEX(PM_Brand,MATCH($B90,PM_ID,0)),""))</f>
        <v/>
      </c>
      <c r="G90" s="8">
        <f>IF($B90="","",IFERROR(INDEX(PM_Model,MATCH($B90,PM_ID,0)),""))</f>
        <v/>
      </c>
      <c r="H90" s="5" t="n"/>
      <c r="I90" s="10" t="n"/>
      <c r="J90" s="9" t="n"/>
      <c r="K90" s="5" t="n"/>
      <c r="L90" s="5" t="n"/>
      <c r="M90" s="5" t="n"/>
      <c r="N90" s="5" t="n"/>
      <c r="O90" s="8">
        <f>IF($B90="","",IF(AND($A90&lt;&gt;"",COUNTIF(INV_ID,$A90)&gt;1),"⚠ this Unit ID already exists",IF(AND($H90&lt;&gt;"",COUNTIF(INV_Serial,$H90)&gt;1),"⚠ this serial already exists",IF(COUNTIFS(INV_Product,$B90,INV_No,$C90)&gt;1,"⚠ piece number reused",""))))</f>
        <v/>
      </c>
      <c r="P90" s="5" t="n"/>
    </row>
    <row r="91">
      <c r="A91" s="8">
        <f>IF(OR($B91="",$C91=""),"",IFERROR(INDEX(PM_Short,MATCH($B91,PM_ID,0))&amp;"-"&amp;TEXT($C91,"00"),"?? no such product"))</f>
        <v/>
      </c>
      <c r="B91" s="5" t="n"/>
      <c r="C91" s="5" t="n"/>
      <c r="D91" s="8">
        <f>IF($B91="","",IFERROR(INDEX(PM_Category,MATCH($B91,PM_ID,0)),""))</f>
        <v/>
      </c>
      <c r="E91" s="8">
        <f>IF($B91="","",IFERROR(INDEX(PM_Subcategory,MATCH($B91,PM_ID,0)),""))</f>
        <v/>
      </c>
      <c r="F91" s="8">
        <f>IF($B91="","",IFERROR(INDEX(PM_Brand,MATCH($B91,PM_ID,0)),""))</f>
        <v/>
      </c>
      <c r="G91" s="8">
        <f>IF($B91="","",IFERROR(INDEX(PM_Model,MATCH($B91,PM_ID,0)),""))</f>
        <v/>
      </c>
      <c r="H91" s="5" t="n"/>
      <c r="I91" s="10" t="n"/>
      <c r="J91" s="9" t="n"/>
      <c r="K91" s="5" t="n"/>
      <c r="L91" s="5" t="n"/>
      <c r="M91" s="5" t="n"/>
      <c r="N91" s="5" t="n"/>
      <c r="O91" s="8">
        <f>IF($B91="","",IF(AND($A91&lt;&gt;"",COUNTIF(INV_ID,$A91)&gt;1),"⚠ this Unit ID already exists",IF(AND($H91&lt;&gt;"",COUNTIF(INV_Serial,$H91)&gt;1),"⚠ this serial already exists",IF(COUNTIFS(INV_Product,$B91,INV_No,$C91)&gt;1,"⚠ piece number reused",""))))</f>
        <v/>
      </c>
      <c r="P91" s="5" t="n"/>
    </row>
    <row r="92">
      <c r="A92" s="8">
        <f>IF(OR($B92="",$C92=""),"",IFERROR(INDEX(PM_Short,MATCH($B92,PM_ID,0))&amp;"-"&amp;TEXT($C92,"00"),"?? no such product"))</f>
        <v/>
      </c>
      <c r="B92" s="5" t="n"/>
      <c r="C92" s="5" t="n"/>
      <c r="D92" s="8">
        <f>IF($B92="","",IFERROR(INDEX(PM_Category,MATCH($B92,PM_ID,0)),""))</f>
        <v/>
      </c>
      <c r="E92" s="8">
        <f>IF($B92="","",IFERROR(INDEX(PM_Subcategory,MATCH($B92,PM_ID,0)),""))</f>
        <v/>
      </c>
      <c r="F92" s="8">
        <f>IF($B92="","",IFERROR(INDEX(PM_Brand,MATCH($B92,PM_ID,0)),""))</f>
        <v/>
      </c>
      <c r="G92" s="8">
        <f>IF($B92="","",IFERROR(INDEX(PM_Model,MATCH($B92,PM_ID,0)),""))</f>
        <v/>
      </c>
      <c r="H92" s="5" t="n"/>
      <c r="I92" s="10" t="n"/>
      <c r="J92" s="9" t="n"/>
      <c r="K92" s="5" t="n"/>
      <c r="L92" s="5" t="n"/>
      <c r="M92" s="5" t="n"/>
      <c r="N92" s="5" t="n"/>
      <c r="O92" s="8">
        <f>IF($B92="","",IF(AND($A92&lt;&gt;"",COUNTIF(INV_ID,$A92)&gt;1),"⚠ this Unit ID already exists",IF(AND($H92&lt;&gt;"",COUNTIF(INV_Serial,$H92)&gt;1),"⚠ this serial already exists",IF(COUNTIFS(INV_Product,$B92,INV_No,$C92)&gt;1,"⚠ piece number reused",""))))</f>
        <v/>
      </c>
      <c r="P92" s="5" t="n"/>
    </row>
    <row r="93">
      <c r="A93" s="8">
        <f>IF(OR($B93="",$C93=""),"",IFERROR(INDEX(PM_Short,MATCH($B93,PM_ID,0))&amp;"-"&amp;TEXT($C93,"00"),"?? no such product"))</f>
        <v/>
      </c>
      <c r="B93" s="5" t="n"/>
      <c r="C93" s="5" t="n"/>
      <c r="D93" s="8">
        <f>IF($B93="","",IFERROR(INDEX(PM_Category,MATCH($B93,PM_ID,0)),""))</f>
        <v/>
      </c>
      <c r="E93" s="8">
        <f>IF($B93="","",IFERROR(INDEX(PM_Subcategory,MATCH($B93,PM_ID,0)),""))</f>
        <v/>
      </c>
      <c r="F93" s="8">
        <f>IF($B93="","",IFERROR(INDEX(PM_Brand,MATCH($B93,PM_ID,0)),""))</f>
        <v/>
      </c>
      <c r="G93" s="8">
        <f>IF($B93="","",IFERROR(INDEX(PM_Model,MATCH($B93,PM_ID,0)),""))</f>
        <v/>
      </c>
      <c r="H93" s="5" t="n"/>
      <c r="I93" s="10" t="n"/>
      <c r="J93" s="9" t="n"/>
      <c r="K93" s="5" t="n"/>
      <c r="L93" s="5" t="n"/>
      <c r="M93" s="5" t="n"/>
      <c r="N93" s="5" t="n"/>
      <c r="O93" s="8">
        <f>IF($B93="","",IF(AND($A93&lt;&gt;"",COUNTIF(INV_ID,$A93)&gt;1),"⚠ this Unit ID already exists",IF(AND($H93&lt;&gt;"",COUNTIF(INV_Serial,$H93)&gt;1),"⚠ this serial already exists",IF(COUNTIFS(INV_Product,$B93,INV_No,$C93)&gt;1,"⚠ piece number reused",""))))</f>
        <v/>
      </c>
      <c r="P93" s="5" t="n"/>
    </row>
    <row r="94">
      <c r="A94" s="8">
        <f>IF(OR($B94="",$C94=""),"",IFERROR(INDEX(PM_Short,MATCH($B94,PM_ID,0))&amp;"-"&amp;TEXT($C94,"00"),"?? no such product"))</f>
        <v/>
      </c>
      <c r="B94" s="5" t="n"/>
      <c r="C94" s="5" t="n"/>
      <c r="D94" s="8">
        <f>IF($B94="","",IFERROR(INDEX(PM_Category,MATCH($B94,PM_ID,0)),""))</f>
        <v/>
      </c>
      <c r="E94" s="8">
        <f>IF($B94="","",IFERROR(INDEX(PM_Subcategory,MATCH($B94,PM_ID,0)),""))</f>
        <v/>
      </c>
      <c r="F94" s="8">
        <f>IF($B94="","",IFERROR(INDEX(PM_Brand,MATCH($B94,PM_ID,0)),""))</f>
        <v/>
      </c>
      <c r="G94" s="8">
        <f>IF($B94="","",IFERROR(INDEX(PM_Model,MATCH($B94,PM_ID,0)),""))</f>
        <v/>
      </c>
      <c r="H94" s="5" t="n"/>
      <c r="I94" s="10" t="n"/>
      <c r="J94" s="9" t="n"/>
      <c r="K94" s="5" t="n"/>
      <c r="L94" s="5" t="n"/>
      <c r="M94" s="5" t="n"/>
      <c r="N94" s="5" t="n"/>
      <c r="O94" s="8">
        <f>IF($B94="","",IF(AND($A94&lt;&gt;"",COUNTIF(INV_ID,$A94)&gt;1),"⚠ this Unit ID already exists",IF(AND($H94&lt;&gt;"",COUNTIF(INV_Serial,$H94)&gt;1),"⚠ this serial already exists",IF(COUNTIFS(INV_Product,$B94,INV_No,$C94)&gt;1,"⚠ piece number reused",""))))</f>
        <v/>
      </c>
      <c r="P94" s="5" t="n"/>
    </row>
    <row r="95">
      <c r="A95" s="8">
        <f>IF(OR($B95="",$C95=""),"",IFERROR(INDEX(PM_Short,MATCH($B95,PM_ID,0))&amp;"-"&amp;TEXT($C95,"00"),"?? no such product"))</f>
        <v/>
      </c>
      <c r="B95" s="5" t="n"/>
      <c r="C95" s="5" t="n"/>
      <c r="D95" s="8">
        <f>IF($B95="","",IFERROR(INDEX(PM_Category,MATCH($B95,PM_ID,0)),""))</f>
        <v/>
      </c>
      <c r="E95" s="8">
        <f>IF($B95="","",IFERROR(INDEX(PM_Subcategory,MATCH($B95,PM_ID,0)),""))</f>
        <v/>
      </c>
      <c r="F95" s="8">
        <f>IF($B95="","",IFERROR(INDEX(PM_Brand,MATCH($B95,PM_ID,0)),""))</f>
        <v/>
      </c>
      <c r="G95" s="8">
        <f>IF($B95="","",IFERROR(INDEX(PM_Model,MATCH($B95,PM_ID,0)),""))</f>
        <v/>
      </c>
      <c r="H95" s="5" t="n"/>
      <c r="I95" s="10" t="n"/>
      <c r="J95" s="9" t="n"/>
      <c r="K95" s="5" t="n"/>
      <c r="L95" s="5" t="n"/>
      <c r="M95" s="5" t="n"/>
      <c r="N95" s="5" t="n"/>
      <c r="O95" s="8">
        <f>IF($B95="","",IF(AND($A95&lt;&gt;"",COUNTIF(INV_ID,$A95)&gt;1),"⚠ this Unit ID already exists",IF(AND($H95&lt;&gt;"",COUNTIF(INV_Serial,$H95)&gt;1),"⚠ this serial already exists",IF(COUNTIFS(INV_Product,$B95,INV_No,$C95)&gt;1,"⚠ piece number reused",""))))</f>
        <v/>
      </c>
      <c r="P95" s="5" t="n"/>
    </row>
    <row r="96">
      <c r="A96" s="8">
        <f>IF(OR($B96="",$C96=""),"",IFERROR(INDEX(PM_Short,MATCH($B96,PM_ID,0))&amp;"-"&amp;TEXT($C96,"00"),"?? no such product"))</f>
        <v/>
      </c>
      <c r="B96" s="5" t="n"/>
      <c r="C96" s="5" t="n"/>
      <c r="D96" s="8">
        <f>IF($B96="","",IFERROR(INDEX(PM_Category,MATCH($B96,PM_ID,0)),""))</f>
        <v/>
      </c>
      <c r="E96" s="8">
        <f>IF($B96="","",IFERROR(INDEX(PM_Subcategory,MATCH($B96,PM_ID,0)),""))</f>
        <v/>
      </c>
      <c r="F96" s="8">
        <f>IF($B96="","",IFERROR(INDEX(PM_Brand,MATCH($B96,PM_ID,0)),""))</f>
        <v/>
      </c>
      <c r="G96" s="8">
        <f>IF($B96="","",IFERROR(INDEX(PM_Model,MATCH($B96,PM_ID,0)),""))</f>
        <v/>
      </c>
      <c r="H96" s="5" t="n"/>
      <c r="I96" s="10" t="n"/>
      <c r="J96" s="9" t="n"/>
      <c r="K96" s="5" t="n"/>
      <c r="L96" s="5" t="n"/>
      <c r="M96" s="5" t="n"/>
      <c r="N96" s="5" t="n"/>
      <c r="O96" s="8">
        <f>IF($B96="","",IF(AND($A96&lt;&gt;"",COUNTIF(INV_ID,$A96)&gt;1),"⚠ this Unit ID already exists",IF(AND($H96&lt;&gt;"",COUNTIF(INV_Serial,$H96)&gt;1),"⚠ this serial already exists",IF(COUNTIFS(INV_Product,$B96,INV_No,$C96)&gt;1,"⚠ piece number reused",""))))</f>
        <v/>
      </c>
      <c r="P96" s="5" t="n"/>
    </row>
    <row r="97">
      <c r="A97" s="8">
        <f>IF(OR($B97="",$C97=""),"",IFERROR(INDEX(PM_Short,MATCH($B97,PM_ID,0))&amp;"-"&amp;TEXT($C97,"00"),"?? no such product"))</f>
        <v/>
      </c>
      <c r="B97" s="5" t="n"/>
      <c r="C97" s="5" t="n"/>
      <c r="D97" s="8">
        <f>IF($B97="","",IFERROR(INDEX(PM_Category,MATCH($B97,PM_ID,0)),""))</f>
        <v/>
      </c>
      <c r="E97" s="8">
        <f>IF($B97="","",IFERROR(INDEX(PM_Subcategory,MATCH($B97,PM_ID,0)),""))</f>
        <v/>
      </c>
      <c r="F97" s="8">
        <f>IF($B97="","",IFERROR(INDEX(PM_Brand,MATCH($B97,PM_ID,0)),""))</f>
        <v/>
      </c>
      <c r="G97" s="8">
        <f>IF($B97="","",IFERROR(INDEX(PM_Model,MATCH($B97,PM_ID,0)),""))</f>
        <v/>
      </c>
      <c r="H97" s="5" t="n"/>
      <c r="I97" s="10" t="n"/>
      <c r="J97" s="9" t="n"/>
      <c r="K97" s="5" t="n"/>
      <c r="L97" s="5" t="n"/>
      <c r="M97" s="5" t="n"/>
      <c r="N97" s="5" t="n"/>
      <c r="O97" s="8">
        <f>IF($B97="","",IF(AND($A97&lt;&gt;"",COUNTIF(INV_ID,$A97)&gt;1),"⚠ this Unit ID already exists",IF(AND($H97&lt;&gt;"",COUNTIF(INV_Serial,$H97)&gt;1),"⚠ this serial already exists",IF(COUNTIFS(INV_Product,$B97,INV_No,$C97)&gt;1,"⚠ piece number reused",""))))</f>
        <v/>
      </c>
      <c r="P97" s="5" t="n"/>
    </row>
    <row r="98">
      <c r="A98" s="8">
        <f>IF(OR($B98="",$C98=""),"",IFERROR(INDEX(PM_Short,MATCH($B98,PM_ID,0))&amp;"-"&amp;TEXT($C98,"00"),"?? no such product"))</f>
        <v/>
      </c>
      <c r="B98" s="5" t="n"/>
      <c r="C98" s="5" t="n"/>
      <c r="D98" s="8">
        <f>IF($B98="","",IFERROR(INDEX(PM_Category,MATCH($B98,PM_ID,0)),""))</f>
        <v/>
      </c>
      <c r="E98" s="8">
        <f>IF($B98="","",IFERROR(INDEX(PM_Subcategory,MATCH($B98,PM_ID,0)),""))</f>
        <v/>
      </c>
      <c r="F98" s="8">
        <f>IF($B98="","",IFERROR(INDEX(PM_Brand,MATCH($B98,PM_ID,0)),""))</f>
        <v/>
      </c>
      <c r="G98" s="8">
        <f>IF($B98="","",IFERROR(INDEX(PM_Model,MATCH($B98,PM_ID,0)),""))</f>
        <v/>
      </c>
      <c r="H98" s="5" t="n"/>
      <c r="I98" s="10" t="n"/>
      <c r="J98" s="9" t="n"/>
      <c r="K98" s="5" t="n"/>
      <c r="L98" s="5" t="n"/>
      <c r="M98" s="5" t="n"/>
      <c r="N98" s="5" t="n"/>
      <c r="O98" s="8">
        <f>IF($B98="","",IF(AND($A98&lt;&gt;"",COUNTIF(INV_ID,$A98)&gt;1),"⚠ this Unit ID already exists",IF(AND($H98&lt;&gt;"",COUNTIF(INV_Serial,$H98)&gt;1),"⚠ this serial already exists",IF(COUNTIFS(INV_Product,$B98,INV_No,$C98)&gt;1,"⚠ piece number reused",""))))</f>
        <v/>
      </c>
      <c r="P98" s="5" t="n"/>
    </row>
    <row r="99">
      <c r="A99" s="8">
        <f>IF(OR($B99="",$C99=""),"",IFERROR(INDEX(PM_Short,MATCH($B99,PM_ID,0))&amp;"-"&amp;TEXT($C99,"00"),"?? no such product"))</f>
        <v/>
      </c>
      <c r="B99" s="5" t="n"/>
      <c r="C99" s="5" t="n"/>
      <c r="D99" s="8">
        <f>IF($B99="","",IFERROR(INDEX(PM_Category,MATCH($B99,PM_ID,0)),""))</f>
        <v/>
      </c>
      <c r="E99" s="8">
        <f>IF($B99="","",IFERROR(INDEX(PM_Subcategory,MATCH($B99,PM_ID,0)),""))</f>
        <v/>
      </c>
      <c r="F99" s="8">
        <f>IF($B99="","",IFERROR(INDEX(PM_Brand,MATCH($B99,PM_ID,0)),""))</f>
        <v/>
      </c>
      <c r="G99" s="8">
        <f>IF($B99="","",IFERROR(INDEX(PM_Model,MATCH($B99,PM_ID,0)),""))</f>
        <v/>
      </c>
      <c r="H99" s="5" t="n"/>
      <c r="I99" s="10" t="n"/>
      <c r="J99" s="9" t="n"/>
      <c r="K99" s="5" t="n"/>
      <c r="L99" s="5" t="n"/>
      <c r="M99" s="5" t="n"/>
      <c r="N99" s="5" t="n"/>
      <c r="O99" s="8">
        <f>IF($B99="","",IF(AND($A99&lt;&gt;"",COUNTIF(INV_ID,$A99)&gt;1),"⚠ this Unit ID already exists",IF(AND($H99&lt;&gt;"",COUNTIF(INV_Serial,$H99)&gt;1),"⚠ this serial already exists",IF(COUNTIFS(INV_Product,$B99,INV_No,$C99)&gt;1,"⚠ piece number reused",""))))</f>
        <v/>
      </c>
      <c r="P99" s="5" t="n"/>
    </row>
    <row r="100">
      <c r="A100" s="8">
        <f>IF(OR($B100="",$C100=""),"",IFERROR(INDEX(PM_Short,MATCH($B100,PM_ID,0))&amp;"-"&amp;TEXT($C100,"00"),"?? no such product"))</f>
        <v/>
      </c>
      <c r="B100" s="5" t="n"/>
      <c r="C100" s="5" t="n"/>
      <c r="D100" s="8">
        <f>IF($B100="","",IFERROR(INDEX(PM_Category,MATCH($B100,PM_ID,0)),""))</f>
        <v/>
      </c>
      <c r="E100" s="8">
        <f>IF($B100="","",IFERROR(INDEX(PM_Subcategory,MATCH($B100,PM_ID,0)),""))</f>
        <v/>
      </c>
      <c r="F100" s="8">
        <f>IF($B100="","",IFERROR(INDEX(PM_Brand,MATCH($B100,PM_ID,0)),""))</f>
        <v/>
      </c>
      <c r="G100" s="8">
        <f>IF($B100="","",IFERROR(INDEX(PM_Model,MATCH($B100,PM_ID,0)),""))</f>
        <v/>
      </c>
      <c r="H100" s="5" t="n"/>
      <c r="I100" s="10" t="n"/>
      <c r="J100" s="9" t="n"/>
      <c r="K100" s="5" t="n"/>
      <c r="L100" s="5" t="n"/>
      <c r="M100" s="5" t="n"/>
      <c r="N100" s="5" t="n"/>
      <c r="O100" s="8">
        <f>IF($B100="","",IF(AND($A100&lt;&gt;"",COUNTIF(INV_ID,$A100)&gt;1),"⚠ this Unit ID already exists",IF(AND($H100&lt;&gt;"",COUNTIF(INV_Serial,$H100)&gt;1),"⚠ this serial already exists",IF(COUNTIFS(INV_Product,$B100,INV_No,$C100)&gt;1,"⚠ piece number reused",""))))</f>
        <v/>
      </c>
      <c r="P100" s="5" t="n"/>
    </row>
    <row r="101">
      <c r="A101" s="8">
        <f>IF(OR($B101="",$C101=""),"",IFERROR(INDEX(PM_Short,MATCH($B101,PM_ID,0))&amp;"-"&amp;TEXT($C101,"00"),"?? no such product"))</f>
        <v/>
      </c>
      <c r="B101" s="5" t="n"/>
      <c r="C101" s="5" t="n"/>
      <c r="D101" s="8">
        <f>IF($B101="","",IFERROR(INDEX(PM_Category,MATCH($B101,PM_ID,0)),""))</f>
        <v/>
      </c>
      <c r="E101" s="8">
        <f>IF($B101="","",IFERROR(INDEX(PM_Subcategory,MATCH($B101,PM_ID,0)),""))</f>
        <v/>
      </c>
      <c r="F101" s="8">
        <f>IF($B101="","",IFERROR(INDEX(PM_Brand,MATCH($B101,PM_ID,0)),""))</f>
        <v/>
      </c>
      <c r="G101" s="8">
        <f>IF($B101="","",IFERROR(INDEX(PM_Model,MATCH($B101,PM_ID,0)),""))</f>
        <v/>
      </c>
      <c r="H101" s="5" t="n"/>
      <c r="I101" s="10" t="n"/>
      <c r="J101" s="9" t="n"/>
      <c r="K101" s="5" t="n"/>
      <c r="L101" s="5" t="n"/>
      <c r="M101" s="5" t="n"/>
      <c r="N101" s="5" t="n"/>
      <c r="O101" s="8">
        <f>IF($B101="","",IF(AND($A101&lt;&gt;"",COUNTIF(INV_ID,$A101)&gt;1),"⚠ this Unit ID already exists",IF(AND($H101&lt;&gt;"",COUNTIF(INV_Serial,$H101)&gt;1),"⚠ this serial already exists",IF(COUNTIFS(INV_Product,$B101,INV_No,$C101)&gt;1,"⚠ piece number reused",""))))</f>
        <v/>
      </c>
      <c r="P101" s="5" t="n"/>
    </row>
    <row r="102">
      <c r="A102" s="8">
        <f>IF(OR($B102="",$C102=""),"",IFERROR(INDEX(PM_Short,MATCH($B102,PM_ID,0))&amp;"-"&amp;TEXT($C102,"00"),"?? no such product"))</f>
        <v/>
      </c>
      <c r="B102" s="5" t="n"/>
      <c r="C102" s="5" t="n"/>
      <c r="D102" s="8">
        <f>IF($B102="","",IFERROR(INDEX(PM_Category,MATCH($B102,PM_ID,0)),""))</f>
        <v/>
      </c>
      <c r="E102" s="8">
        <f>IF($B102="","",IFERROR(INDEX(PM_Subcategory,MATCH($B102,PM_ID,0)),""))</f>
        <v/>
      </c>
      <c r="F102" s="8">
        <f>IF($B102="","",IFERROR(INDEX(PM_Brand,MATCH($B102,PM_ID,0)),""))</f>
        <v/>
      </c>
      <c r="G102" s="8">
        <f>IF($B102="","",IFERROR(INDEX(PM_Model,MATCH($B102,PM_ID,0)),""))</f>
        <v/>
      </c>
      <c r="H102" s="5" t="n"/>
      <c r="I102" s="10" t="n"/>
      <c r="J102" s="9" t="n"/>
      <c r="K102" s="5" t="n"/>
      <c r="L102" s="5" t="n"/>
      <c r="M102" s="5" t="n"/>
      <c r="N102" s="5" t="n"/>
      <c r="O102" s="8">
        <f>IF($B102="","",IF(AND($A102&lt;&gt;"",COUNTIF(INV_ID,$A102)&gt;1),"⚠ this Unit ID already exists",IF(AND($H102&lt;&gt;"",COUNTIF(INV_Serial,$H102)&gt;1),"⚠ this serial already exists",IF(COUNTIFS(INV_Product,$B102,INV_No,$C102)&gt;1,"⚠ piece number reused",""))))</f>
        <v/>
      </c>
      <c r="P102" s="5" t="n"/>
    </row>
    <row r="103">
      <c r="A103" s="8">
        <f>IF(OR($B103="",$C103=""),"",IFERROR(INDEX(PM_Short,MATCH($B103,PM_ID,0))&amp;"-"&amp;TEXT($C103,"00"),"?? no such product"))</f>
        <v/>
      </c>
      <c r="B103" s="5" t="n"/>
      <c r="C103" s="5" t="n"/>
      <c r="D103" s="8">
        <f>IF($B103="","",IFERROR(INDEX(PM_Category,MATCH($B103,PM_ID,0)),""))</f>
        <v/>
      </c>
      <c r="E103" s="8">
        <f>IF($B103="","",IFERROR(INDEX(PM_Subcategory,MATCH($B103,PM_ID,0)),""))</f>
        <v/>
      </c>
      <c r="F103" s="8">
        <f>IF($B103="","",IFERROR(INDEX(PM_Brand,MATCH($B103,PM_ID,0)),""))</f>
        <v/>
      </c>
      <c r="G103" s="8">
        <f>IF($B103="","",IFERROR(INDEX(PM_Model,MATCH($B103,PM_ID,0)),""))</f>
        <v/>
      </c>
      <c r="H103" s="5" t="n"/>
      <c r="I103" s="10" t="n"/>
      <c r="J103" s="9" t="n"/>
      <c r="K103" s="5" t="n"/>
      <c r="L103" s="5" t="n"/>
      <c r="M103" s="5" t="n"/>
      <c r="N103" s="5" t="n"/>
      <c r="O103" s="8">
        <f>IF($B103="","",IF(AND($A103&lt;&gt;"",COUNTIF(INV_ID,$A103)&gt;1),"⚠ this Unit ID already exists",IF(AND($H103&lt;&gt;"",COUNTIF(INV_Serial,$H103)&gt;1),"⚠ this serial already exists",IF(COUNTIFS(INV_Product,$B103,INV_No,$C103)&gt;1,"⚠ piece number reused",""))))</f>
        <v/>
      </c>
      <c r="P103" s="5" t="n"/>
    </row>
    <row r="104">
      <c r="A104" s="8">
        <f>IF(OR($B104="",$C104=""),"",IFERROR(INDEX(PM_Short,MATCH($B104,PM_ID,0))&amp;"-"&amp;TEXT($C104,"00"),"?? no such product"))</f>
        <v/>
      </c>
      <c r="B104" s="5" t="n"/>
      <c r="C104" s="5" t="n"/>
      <c r="D104" s="8">
        <f>IF($B104="","",IFERROR(INDEX(PM_Category,MATCH($B104,PM_ID,0)),""))</f>
        <v/>
      </c>
      <c r="E104" s="8">
        <f>IF($B104="","",IFERROR(INDEX(PM_Subcategory,MATCH($B104,PM_ID,0)),""))</f>
        <v/>
      </c>
      <c r="F104" s="8">
        <f>IF($B104="","",IFERROR(INDEX(PM_Brand,MATCH($B104,PM_ID,0)),""))</f>
        <v/>
      </c>
      <c r="G104" s="8">
        <f>IF($B104="","",IFERROR(INDEX(PM_Model,MATCH($B104,PM_ID,0)),""))</f>
        <v/>
      </c>
      <c r="H104" s="5" t="n"/>
      <c r="I104" s="10" t="n"/>
      <c r="J104" s="9" t="n"/>
      <c r="K104" s="5" t="n"/>
      <c r="L104" s="5" t="n"/>
      <c r="M104" s="5" t="n"/>
      <c r="N104" s="5" t="n"/>
      <c r="O104" s="8">
        <f>IF($B104="","",IF(AND($A104&lt;&gt;"",COUNTIF(INV_ID,$A104)&gt;1),"⚠ this Unit ID already exists",IF(AND($H104&lt;&gt;"",COUNTIF(INV_Serial,$H104)&gt;1),"⚠ this serial already exists",IF(COUNTIFS(INV_Product,$B104,INV_No,$C104)&gt;1,"⚠ piece number reused",""))))</f>
        <v/>
      </c>
      <c r="P104" s="5" t="n"/>
    </row>
    <row r="105">
      <c r="A105" s="8">
        <f>IF(OR($B105="",$C105=""),"",IFERROR(INDEX(PM_Short,MATCH($B105,PM_ID,0))&amp;"-"&amp;TEXT($C105,"00"),"?? no such product"))</f>
        <v/>
      </c>
      <c r="B105" s="5" t="n"/>
      <c r="C105" s="5" t="n"/>
      <c r="D105" s="8">
        <f>IF($B105="","",IFERROR(INDEX(PM_Category,MATCH($B105,PM_ID,0)),""))</f>
        <v/>
      </c>
      <c r="E105" s="8">
        <f>IF($B105="","",IFERROR(INDEX(PM_Subcategory,MATCH($B105,PM_ID,0)),""))</f>
        <v/>
      </c>
      <c r="F105" s="8">
        <f>IF($B105="","",IFERROR(INDEX(PM_Brand,MATCH($B105,PM_ID,0)),""))</f>
        <v/>
      </c>
      <c r="G105" s="8">
        <f>IF($B105="","",IFERROR(INDEX(PM_Model,MATCH($B105,PM_ID,0)),""))</f>
        <v/>
      </c>
      <c r="H105" s="5" t="n"/>
      <c r="I105" s="10" t="n"/>
      <c r="J105" s="9" t="n"/>
      <c r="K105" s="5" t="n"/>
      <c r="L105" s="5" t="n"/>
      <c r="M105" s="5" t="n"/>
      <c r="N105" s="5" t="n"/>
      <c r="O105" s="8">
        <f>IF($B105="","",IF(AND($A105&lt;&gt;"",COUNTIF(INV_ID,$A105)&gt;1),"⚠ this Unit ID already exists",IF(AND($H105&lt;&gt;"",COUNTIF(INV_Serial,$H105)&gt;1),"⚠ this serial already exists",IF(COUNTIFS(INV_Product,$B105,INV_No,$C105)&gt;1,"⚠ piece number reused",""))))</f>
        <v/>
      </c>
      <c r="P105" s="5" t="n"/>
    </row>
    <row r="106">
      <c r="A106" s="8">
        <f>IF(OR($B106="",$C106=""),"",IFERROR(INDEX(PM_Short,MATCH($B106,PM_ID,0))&amp;"-"&amp;TEXT($C106,"00"),"?? no such product"))</f>
        <v/>
      </c>
      <c r="B106" s="5" t="n"/>
      <c r="C106" s="5" t="n"/>
      <c r="D106" s="8">
        <f>IF($B106="","",IFERROR(INDEX(PM_Category,MATCH($B106,PM_ID,0)),""))</f>
        <v/>
      </c>
      <c r="E106" s="8">
        <f>IF($B106="","",IFERROR(INDEX(PM_Subcategory,MATCH($B106,PM_ID,0)),""))</f>
        <v/>
      </c>
      <c r="F106" s="8">
        <f>IF($B106="","",IFERROR(INDEX(PM_Brand,MATCH($B106,PM_ID,0)),""))</f>
        <v/>
      </c>
      <c r="G106" s="8">
        <f>IF($B106="","",IFERROR(INDEX(PM_Model,MATCH($B106,PM_ID,0)),""))</f>
        <v/>
      </c>
      <c r="H106" s="5" t="n"/>
      <c r="I106" s="10" t="n"/>
      <c r="J106" s="9" t="n"/>
      <c r="K106" s="5" t="n"/>
      <c r="L106" s="5" t="n"/>
      <c r="M106" s="5" t="n"/>
      <c r="N106" s="5" t="n"/>
      <c r="O106" s="8">
        <f>IF($B106="","",IF(AND($A106&lt;&gt;"",COUNTIF(INV_ID,$A106)&gt;1),"⚠ this Unit ID already exists",IF(AND($H106&lt;&gt;"",COUNTIF(INV_Serial,$H106)&gt;1),"⚠ this serial already exists",IF(COUNTIFS(INV_Product,$B106,INV_No,$C106)&gt;1,"⚠ piece number reused",""))))</f>
        <v/>
      </c>
      <c r="P106" s="5" t="n"/>
    </row>
    <row r="107">
      <c r="A107" s="8">
        <f>IF(OR($B107="",$C107=""),"",IFERROR(INDEX(PM_Short,MATCH($B107,PM_ID,0))&amp;"-"&amp;TEXT($C107,"00"),"?? no such product"))</f>
        <v/>
      </c>
      <c r="B107" s="5" t="n"/>
      <c r="C107" s="5" t="n"/>
      <c r="D107" s="8">
        <f>IF($B107="","",IFERROR(INDEX(PM_Category,MATCH($B107,PM_ID,0)),""))</f>
        <v/>
      </c>
      <c r="E107" s="8">
        <f>IF($B107="","",IFERROR(INDEX(PM_Subcategory,MATCH($B107,PM_ID,0)),""))</f>
        <v/>
      </c>
      <c r="F107" s="8">
        <f>IF($B107="","",IFERROR(INDEX(PM_Brand,MATCH($B107,PM_ID,0)),""))</f>
        <v/>
      </c>
      <c r="G107" s="8">
        <f>IF($B107="","",IFERROR(INDEX(PM_Model,MATCH($B107,PM_ID,0)),""))</f>
        <v/>
      </c>
      <c r="H107" s="5" t="n"/>
      <c r="I107" s="10" t="n"/>
      <c r="J107" s="9" t="n"/>
      <c r="K107" s="5" t="n"/>
      <c r="L107" s="5" t="n"/>
      <c r="M107" s="5" t="n"/>
      <c r="N107" s="5" t="n"/>
      <c r="O107" s="8">
        <f>IF($B107="","",IF(AND($A107&lt;&gt;"",COUNTIF(INV_ID,$A107)&gt;1),"⚠ this Unit ID already exists",IF(AND($H107&lt;&gt;"",COUNTIF(INV_Serial,$H107)&gt;1),"⚠ this serial already exists",IF(COUNTIFS(INV_Product,$B107,INV_No,$C107)&gt;1,"⚠ piece number reused",""))))</f>
        <v/>
      </c>
      <c r="P107" s="5" t="n"/>
    </row>
    <row r="108">
      <c r="A108" s="8">
        <f>IF(OR($B108="",$C108=""),"",IFERROR(INDEX(PM_Short,MATCH($B108,PM_ID,0))&amp;"-"&amp;TEXT($C108,"00"),"?? no such product"))</f>
        <v/>
      </c>
      <c r="B108" s="5" t="n"/>
      <c r="C108" s="5" t="n"/>
      <c r="D108" s="8">
        <f>IF($B108="","",IFERROR(INDEX(PM_Category,MATCH($B108,PM_ID,0)),""))</f>
        <v/>
      </c>
      <c r="E108" s="8">
        <f>IF($B108="","",IFERROR(INDEX(PM_Subcategory,MATCH($B108,PM_ID,0)),""))</f>
        <v/>
      </c>
      <c r="F108" s="8">
        <f>IF($B108="","",IFERROR(INDEX(PM_Brand,MATCH($B108,PM_ID,0)),""))</f>
        <v/>
      </c>
      <c r="G108" s="8">
        <f>IF($B108="","",IFERROR(INDEX(PM_Model,MATCH($B108,PM_ID,0)),""))</f>
        <v/>
      </c>
      <c r="H108" s="5" t="n"/>
      <c r="I108" s="10" t="n"/>
      <c r="J108" s="9" t="n"/>
      <c r="K108" s="5" t="n"/>
      <c r="L108" s="5" t="n"/>
      <c r="M108" s="5" t="n"/>
      <c r="N108" s="5" t="n"/>
      <c r="O108" s="8">
        <f>IF($B108="","",IF(AND($A108&lt;&gt;"",COUNTIF(INV_ID,$A108)&gt;1),"⚠ this Unit ID already exists",IF(AND($H108&lt;&gt;"",COUNTIF(INV_Serial,$H108)&gt;1),"⚠ this serial already exists",IF(COUNTIFS(INV_Product,$B108,INV_No,$C108)&gt;1,"⚠ piece number reused",""))))</f>
        <v/>
      </c>
      <c r="P108" s="5" t="n"/>
    </row>
    <row r="109">
      <c r="A109" s="8">
        <f>IF(OR($B109="",$C109=""),"",IFERROR(INDEX(PM_Short,MATCH($B109,PM_ID,0))&amp;"-"&amp;TEXT($C109,"00"),"?? no such product"))</f>
        <v/>
      </c>
      <c r="B109" s="5" t="n"/>
      <c r="C109" s="5" t="n"/>
      <c r="D109" s="8">
        <f>IF($B109="","",IFERROR(INDEX(PM_Category,MATCH($B109,PM_ID,0)),""))</f>
        <v/>
      </c>
      <c r="E109" s="8">
        <f>IF($B109="","",IFERROR(INDEX(PM_Subcategory,MATCH($B109,PM_ID,0)),""))</f>
        <v/>
      </c>
      <c r="F109" s="8">
        <f>IF($B109="","",IFERROR(INDEX(PM_Brand,MATCH($B109,PM_ID,0)),""))</f>
        <v/>
      </c>
      <c r="G109" s="8">
        <f>IF($B109="","",IFERROR(INDEX(PM_Model,MATCH($B109,PM_ID,0)),""))</f>
        <v/>
      </c>
      <c r="H109" s="5" t="n"/>
      <c r="I109" s="10" t="n"/>
      <c r="J109" s="9" t="n"/>
      <c r="K109" s="5" t="n"/>
      <c r="L109" s="5" t="n"/>
      <c r="M109" s="5" t="n"/>
      <c r="N109" s="5" t="n"/>
      <c r="O109" s="8">
        <f>IF($B109="","",IF(AND($A109&lt;&gt;"",COUNTIF(INV_ID,$A109)&gt;1),"⚠ this Unit ID already exists",IF(AND($H109&lt;&gt;"",COUNTIF(INV_Serial,$H109)&gt;1),"⚠ this serial already exists",IF(COUNTIFS(INV_Product,$B109,INV_No,$C109)&gt;1,"⚠ piece number reused",""))))</f>
        <v/>
      </c>
      <c r="P109" s="5" t="n"/>
    </row>
    <row r="110">
      <c r="A110" s="8">
        <f>IF(OR($B110="",$C110=""),"",IFERROR(INDEX(PM_Short,MATCH($B110,PM_ID,0))&amp;"-"&amp;TEXT($C110,"00"),"?? no such product"))</f>
        <v/>
      </c>
      <c r="B110" s="5" t="n"/>
      <c r="C110" s="5" t="n"/>
      <c r="D110" s="8">
        <f>IF($B110="","",IFERROR(INDEX(PM_Category,MATCH($B110,PM_ID,0)),""))</f>
        <v/>
      </c>
      <c r="E110" s="8">
        <f>IF($B110="","",IFERROR(INDEX(PM_Subcategory,MATCH($B110,PM_ID,0)),""))</f>
        <v/>
      </c>
      <c r="F110" s="8">
        <f>IF($B110="","",IFERROR(INDEX(PM_Brand,MATCH($B110,PM_ID,0)),""))</f>
        <v/>
      </c>
      <c r="G110" s="8">
        <f>IF($B110="","",IFERROR(INDEX(PM_Model,MATCH($B110,PM_ID,0)),""))</f>
        <v/>
      </c>
      <c r="H110" s="5" t="n"/>
      <c r="I110" s="10" t="n"/>
      <c r="J110" s="9" t="n"/>
      <c r="K110" s="5" t="n"/>
      <c r="L110" s="5" t="n"/>
      <c r="M110" s="5" t="n"/>
      <c r="N110" s="5" t="n"/>
      <c r="O110" s="8">
        <f>IF($B110="","",IF(AND($A110&lt;&gt;"",COUNTIF(INV_ID,$A110)&gt;1),"⚠ this Unit ID already exists",IF(AND($H110&lt;&gt;"",COUNTIF(INV_Serial,$H110)&gt;1),"⚠ this serial already exists",IF(COUNTIFS(INV_Product,$B110,INV_No,$C110)&gt;1,"⚠ piece number reused",""))))</f>
        <v/>
      </c>
      <c r="P110" s="5" t="n"/>
    </row>
    <row r="111">
      <c r="A111" s="8">
        <f>IF(OR($B111="",$C111=""),"",IFERROR(INDEX(PM_Short,MATCH($B111,PM_ID,0))&amp;"-"&amp;TEXT($C111,"00"),"?? no such product"))</f>
        <v/>
      </c>
      <c r="B111" s="5" t="n"/>
      <c r="C111" s="5" t="n"/>
      <c r="D111" s="8">
        <f>IF($B111="","",IFERROR(INDEX(PM_Category,MATCH($B111,PM_ID,0)),""))</f>
        <v/>
      </c>
      <c r="E111" s="8">
        <f>IF($B111="","",IFERROR(INDEX(PM_Subcategory,MATCH($B111,PM_ID,0)),""))</f>
        <v/>
      </c>
      <c r="F111" s="8">
        <f>IF($B111="","",IFERROR(INDEX(PM_Brand,MATCH($B111,PM_ID,0)),""))</f>
        <v/>
      </c>
      <c r="G111" s="8">
        <f>IF($B111="","",IFERROR(INDEX(PM_Model,MATCH($B111,PM_ID,0)),""))</f>
        <v/>
      </c>
      <c r="H111" s="5" t="n"/>
      <c r="I111" s="10" t="n"/>
      <c r="J111" s="9" t="n"/>
      <c r="K111" s="5" t="n"/>
      <c r="L111" s="5" t="n"/>
      <c r="M111" s="5" t="n"/>
      <c r="N111" s="5" t="n"/>
      <c r="O111" s="8">
        <f>IF($B111="","",IF(AND($A111&lt;&gt;"",COUNTIF(INV_ID,$A111)&gt;1),"⚠ this Unit ID already exists",IF(AND($H111&lt;&gt;"",COUNTIF(INV_Serial,$H111)&gt;1),"⚠ this serial already exists",IF(COUNTIFS(INV_Product,$B111,INV_No,$C111)&gt;1,"⚠ piece number reused",""))))</f>
        <v/>
      </c>
      <c r="P111" s="5" t="n"/>
    </row>
    <row r="112">
      <c r="A112" s="8">
        <f>IF(OR($B112="",$C112=""),"",IFERROR(INDEX(PM_Short,MATCH($B112,PM_ID,0))&amp;"-"&amp;TEXT($C112,"00"),"?? no such product"))</f>
        <v/>
      </c>
      <c r="B112" s="5" t="n"/>
      <c r="C112" s="5" t="n"/>
      <c r="D112" s="8">
        <f>IF($B112="","",IFERROR(INDEX(PM_Category,MATCH($B112,PM_ID,0)),""))</f>
        <v/>
      </c>
      <c r="E112" s="8">
        <f>IF($B112="","",IFERROR(INDEX(PM_Subcategory,MATCH($B112,PM_ID,0)),""))</f>
        <v/>
      </c>
      <c r="F112" s="8">
        <f>IF($B112="","",IFERROR(INDEX(PM_Brand,MATCH($B112,PM_ID,0)),""))</f>
        <v/>
      </c>
      <c r="G112" s="8">
        <f>IF($B112="","",IFERROR(INDEX(PM_Model,MATCH($B112,PM_ID,0)),""))</f>
        <v/>
      </c>
      <c r="H112" s="5" t="n"/>
      <c r="I112" s="10" t="n"/>
      <c r="J112" s="9" t="n"/>
      <c r="K112" s="5" t="n"/>
      <c r="L112" s="5" t="n"/>
      <c r="M112" s="5" t="n"/>
      <c r="N112" s="5" t="n"/>
      <c r="O112" s="8">
        <f>IF($B112="","",IF(AND($A112&lt;&gt;"",COUNTIF(INV_ID,$A112)&gt;1),"⚠ this Unit ID already exists",IF(AND($H112&lt;&gt;"",COUNTIF(INV_Serial,$H112)&gt;1),"⚠ this serial already exists",IF(COUNTIFS(INV_Product,$B112,INV_No,$C112)&gt;1,"⚠ piece number reused",""))))</f>
        <v/>
      </c>
      <c r="P112" s="5" t="n"/>
    </row>
    <row r="113">
      <c r="A113" s="8">
        <f>IF(OR($B113="",$C113=""),"",IFERROR(INDEX(PM_Short,MATCH($B113,PM_ID,0))&amp;"-"&amp;TEXT($C113,"00"),"?? no such product"))</f>
        <v/>
      </c>
      <c r="B113" s="5" t="n"/>
      <c r="C113" s="5" t="n"/>
      <c r="D113" s="8">
        <f>IF($B113="","",IFERROR(INDEX(PM_Category,MATCH($B113,PM_ID,0)),""))</f>
        <v/>
      </c>
      <c r="E113" s="8">
        <f>IF($B113="","",IFERROR(INDEX(PM_Subcategory,MATCH($B113,PM_ID,0)),""))</f>
        <v/>
      </c>
      <c r="F113" s="8">
        <f>IF($B113="","",IFERROR(INDEX(PM_Brand,MATCH($B113,PM_ID,0)),""))</f>
        <v/>
      </c>
      <c r="G113" s="8">
        <f>IF($B113="","",IFERROR(INDEX(PM_Model,MATCH($B113,PM_ID,0)),""))</f>
        <v/>
      </c>
      <c r="H113" s="5" t="n"/>
      <c r="I113" s="10" t="n"/>
      <c r="J113" s="9" t="n"/>
      <c r="K113" s="5" t="n"/>
      <c r="L113" s="5" t="n"/>
      <c r="M113" s="5" t="n"/>
      <c r="N113" s="5" t="n"/>
      <c r="O113" s="8">
        <f>IF($B113="","",IF(AND($A113&lt;&gt;"",COUNTIF(INV_ID,$A113)&gt;1),"⚠ this Unit ID already exists",IF(AND($H113&lt;&gt;"",COUNTIF(INV_Serial,$H113)&gt;1),"⚠ this serial already exists",IF(COUNTIFS(INV_Product,$B113,INV_No,$C113)&gt;1,"⚠ piece number reused",""))))</f>
        <v/>
      </c>
      <c r="P113" s="5" t="n"/>
    </row>
    <row r="114">
      <c r="A114" s="8">
        <f>IF(OR($B114="",$C114=""),"",IFERROR(INDEX(PM_Short,MATCH($B114,PM_ID,0))&amp;"-"&amp;TEXT($C114,"00"),"?? no such product"))</f>
        <v/>
      </c>
      <c r="B114" s="5" t="n"/>
      <c r="C114" s="5" t="n"/>
      <c r="D114" s="8">
        <f>IF($B114="","",IFERROR(INDEX(PM_Category,MATCH($B114,PM_ID,0)),""))</f>
        <v/>
      </c>
      <c r="E114" s="8">
        <f>IF($B114="","",IFERROR(INDEX(PM_Subcategory,MATCH($B114,PM_ID,0)),""))</f>
        <v/>
      </c>
      <c r="F114" s="8">
        <f>IF($B114="","",IFERROR(INDEX(PM_Brand,MATCH($B114,PM_ID,0)),""))</f>
        <v/>
      </c>
      <c r="G114" s="8">
        <f>IF($B114="","",IFERROR(INDEX(PM_Model,MATCH($B114,PM_ID,0)),""))</f>
        <v/>
      </c>
      <c r="H114" s="5" t="n"/>
      <c r="I114" s="10" t="n"/>
      <c r="J114" s="9" t="n"/>
      <c r="K114" s="5" t="n"/>
      <c r="L114" s="5" t="n"/>
      <c r="M114" s="5" t="n"/>
      <c r="N114" s="5" t="n"/>
      <c r="O114" s="8">
        <f>IF($B114="","",IF(AND($A114&lt;&gt;"",COUNTIF(INV_ID,$A114)&gt;1),"⚠ this Unit ID already exists",IF(AND($H114&lt;&gt;"",COUNTIF(INV_Serial,$H114)&gt;1),"⚠ this serial already exists",IF(COUNTIFS(INV_Product,$B114,INV_No,$C114)&gt;1,"⚠ piece number reused",""))))</f>
        <v/>
      </c>
      <c r="P114" s="5" t="n"/>
    </row>
    <row r="115">
      <c r="A115" s="8">
        <f>IF(OR($B115="",$C115=""),"",IFERROR(INDEX(PM_Short,MATCH($B115,PM_ID,0))&amp;"-"&amp;TEXT($C115,"00"),"?? no such product"))</f>
        <v/>
      </c>
      <c r="B115" s="5" t="n"/>
      <c r="C115" s="5" t="n"/>
      <c r="D115" s="8">
        <f>IF($B115="","",IFERROR(INDEX(PM_Category,MATCH($B115,PM_ID,0)),""))</f>
        <v/>
      </c>
      <c r="E115" s="8">
        <f>IF($B115="","",IFERROR(INDEX(PM_Subcategory,MATCH($B115,PM_ID,0)),""))</f>
        <v/>
      </c>
      <c r="F115" s="8">
        <f>IF($B115="","",IFERROR(INDEX(PM_Brand,MATCH($B115,PM_ID,0)),""))</f>
        <v/>
      </c>
      <c r="G115" s="8">
        <f>IF($B115="","",IFERROR(INDEX(PM_Model,MATCH($B115,PM_ID,0)),""))</f>
        <v/>
      </c>
      <c r="H115" s="5" t="n"/>
      <c r="I115" s="10" t="n"/>
      <c r="J115" s="9" t="n"/>
      <c r="K115" s="5" t="n"/>
      <c r="L115" s="5" t="n"/>
      <c r="M115" s="5" t="n"/>
      <c r="N115" s="5" t="n"/>
      <c r="O115" s="8">
        <f>IF($B115="","",IF(AND($A115&lt;&gt;"",COUNTIF(INV_ID,$A115)&gt;1),"⚠ this Unit ID already exists",IF(AND($H115&lt;&gt;"",COUNTIF(INV_Serial,$H115)&gt;1),"⚠ this serial already exists",IF(COUNTIFS(INV_Product,$B115,INV_No,$C115)&gt;1,"⚠ piece number reused",""))))</f>
        <v/>
      </c>
      <c r="P115" s="5" t="n"/>
    </row>
    <row r="116">
      <c r="A116" s="8">
        <f>IF(OR($B116="",$C116=""),"",IFERROR(INDEX(PM_Short,MATCH($B116,PM_ID,0))&amp;"-"&amp;TEXT($C116,"00"),"?? no such product"))</f>
        <v/>
      </c>
      <c r="B116" s="5" t="n"/>
      <c r="C116" s="5" t="n"/>
      <c r="D116" s="8">
        <f>IF($B116="","",IFERROR(INDEX(PM_Category,MATCH($B116,PM_ID,0)),""))</f>
        <v/>
      </c>
      <c r="E116" s="8">
        <f>IF($B116="","",IFERROR(INDEX(PM_Subcategory,MATCH($B116,PM_ID,0)),""))</f>
        <v/>
      </c>
      <c r="F116" s="8">
        <f>IF($B116="","",IFERROR(INDEX(PM_Brand,MATCH($B116,PM_ID,0)),""))</f>
        <v/>
      </c>
      <c r="G116" s="8">
        <f>IF($B116="","",IFERROR(INDEX(PM_Model,MATCH($B116,PM_ID,0)),""))</f>
        <v/>
      </c>
      <c r="H116" s="5" t="n"/>
      <c r="I116" s="10" t="n"/>
      <c r="J116" s="9" t="n"/>
      <c r="K116" s="5" t="n"/>
      <c r="L116" s="5" t="n"/>
      <c r="M116" s="5" t="n"/>
      <c r="N116" s="5" t="n"/>
      <c r="O116" s="8">
        <f>IF($B116="","",IF(AND($A116&lt;&gt;"",COUNTIF(INV_ID,$A116)&gt;1),"⚠ this Unit ID already exists",IF(AND($H116&lt;&gt;"",COUNTIF(INV_Serial,$H116)&gt;1),"⚠ this serial already exists",IF(COUNTIFS(INV_Product,$B116,INV_No,$C116)&gt;1,"⚠ piece number reused",""))))</f>
        <v/>
      </c>
      <c r="P116" s="5" t="n"/>
    </row>
    <row r="117">
      <c r="A117" s="8">
        <f>IF(OR($B117="",$C117=""),"",IFERROR(INDEX(PM_Short,MATCH($B117,PM_ID,0))&amp;"-"&amp;TEXT($C117,"00"),"?? no such product"))</f>
        <v/>
      </c>
      <c r="B117" s="5" t="n"/>
      <c r="C117" s="5" t="n"/>
      <c r="D117" s="8">
        <f>IF($B117="","",IFERROR(INDEX(PM_Category,MATCH($B117,PM_ID,0)),""))</f>
        <v/>
      </c>
      <c r="E117" s="8">
        <f>IF($B117="","",IFERROR(INDEX(PM_Subcategory,MATCH($B117,PM_ID,0)),""))</f>
        <v/>
      </c>
      <c r="F117" s="8">
        <f>IF($B117="","",IFERROR(INDEX(PM_Brand,MATCH($B117,PM_ID,0)),""))</f>
        <v/>
      </c>
      <c r="G117" s="8">
        <f>IF($B117="","",IFERROR(INDEX(PM_Model,MATCH($B117,PM_ID,0)),""))</f>
        <v/>
      </c>
      <c r="H117" s="5" t="n"/>
      <c r="I117" s="10" t="n"/>
      <c r="J117" s="9" t="n"/>
      <c r="K117" s="5" t="n"/>
      <c r="L117" s="5" t="n"/>
      <c r="M117" s="5" t="n"/>
      <c r="N117" s="5" t="n"/>
      <c r="O117" s="8">
        <f>IF($B117="","",IF(AND($A117&lt;&gt;"",COUNTIF(INV_ID,$A117)&gt;1),"⚠ this Unit ID already exists",IF(AND($H117&lt;&gt;"",COUNTIF(INV_Serial,$H117)&gt;1),"⚠ this serial already exists",IF(COUNTIFS(INV_Product,$B117,INV_No,$C117)&gt;1,"⚠ piece number reused",""))))</f>
        <v/>
      </c>
      <c r="P117" s="5" t="n"/>
    </row>
    <row r="118">
      <c r="A118" s="8">
        <f>IF(OR($B118="",$C118=""),"",IFERROR(INDEX(PM_Short,MATCH($B118,PM_ID,0))&amp;"-"&amp;TEXT($C118,"00"),"?? no such product"))</f>
        <v/>
      </c>
      <c r="B118" s="5" t="n"/>
      <c r="C118" s="5" t="n"/>
      <c r="D118" s="8">
        <f>IF($B118="","",IFERROR(INDEX(PM_Category,MATCH($B118,PM_ID,0)),""))</f>
        <v/>
      </c>
      <c r="E118" s="8">
        <f>IF($B118="","",IFERROR(INDEX(PM_Subcategory,MATCH($B118,PM_ID,0)),""))</f>
        <v/>
      </c>
      <c r="F118" s="8">
        <f>IF($B118="","",IFERROR(INDEX(PM_Brand,MATCH($B118,PM_ID,0)),""))</f>
        <v/>
      </c>
      <c r="G118" s="8">
        <f>IF($B118="","",IFERROR(INDEX(PM_Model,MATCH($B118,PM_ID,0)),""))</f>
        <v/>
      </c>
      <c r="H118" s="5" t="n"/>
      <c r="I118" s="10" t="n"/>
      <c r="J118" s="9" t="n"/>
      <c r="K118" s="5" t="n"/>
      <c r="L118" s="5" t="n"/>
      <c r="M118" s="5" t="n"/>
      <c r="N118" s="5" t="n"/>
      <c r="O118" s="8">
        <f>IF($B118="","",IF(AND($A118&lt;&gt;"",COUNTIF(INV_ID,$A118)&gt;1),"⚠ this Unit ID already exists",IF(AND($H118&lt;&gt;"",COUNTIF(INV_Serial,$H118)&gt;1),"⚠ this serial already exists",IF(COUNTIFS(INV_Product,$B118,INV_No,$C118)&gt;1,"⚠ piece number reused",""))))</f>
        <v/>
      </c>
      <c r="P118" s="5" t="n"/>
    </row>
    <row r="119">
      <c r="A119" s="8">
        <f>IF(OR($B119="",$C119=""),"",IFERROR(INDEX(PM_Short,MATCH($B119,PM_ID,0))&amp;"-"&amp;TEXT($C119,"00"),"?? no such product"))</f>
        <v/>
      </c>
      <c r="B119" s="5" t="n"/>
      <c r="C119" s="5" t="n"/>
      <c r="D119" s="8">
        <f>IF($B119="","",IFERROR(INDEX(PM_Category,MATCH($B119,PM_ID,0)),""))</f>
        <v/>
      </c>
      <c r="E119" s="8">
        <f>IF($B119="","",IFERROR(INDEX(PM_Subcategory,MATCH($B119,PM_ID,0)),""))</f>
        <v/>
      </c>
      <c r="F119" s="8">
        <f>IF($B119="","",IFERROR(INDEX(PM_Brand,MATCH($B119,PM_ID,0)),""))</f>
        <v/>
      </c>
      <c r="G119" s="8">
        <f>IF($B119="","",IFERROR(INDEX(PM_Model,MATCH($B119,PM_ID,0)),""))</f>
        <v/>
      </c>
      <c r="H119" s="5" t="n"/>
      <c r="I119" s="10" t="n"/>
      <c r="J119" s="9" t="n"/>
      <c r="K119" s="5" t="n"/>
      <c r="L119" s="5" t="n"/>
      <c r="M119" s="5" t="n"/>
      <c r="N119" s="5" t="n"/>
      <c r="O119" s="8">
        <f>IF($B119="","",IF(AND($A119&lt;&gt;"",COUNTIF(INV_ID,$A119)&gt;1),"⚠ this Unit ID already exists",IF(AND($H119&lt;&gt;"",COUNTIF(INV_Serial,$H119)&gt;1),"⚠ this serial already exists",IF(COUNTIFS(INV_Product,$B119,INV_No,$C119)&gt;1,"⚠ piece number reused",""))))</f>
        <v/>
      </c>
      <c r="P119" s="5" t="n"/>
    </row>
    <row r="120">
      <c r="A120" s="8">
        <f>IF(OR($B120="",$C120=""),"",IFERROR(INDEX(PM_Short,MATCH($B120,PM_ID,0))&amp;"-"&amp;TEXT($C120,"00"),"?? no such product"))</f>
        <v/>
      </c>
      <c r="B120" s="5" t="n"/>
      <c r="C120" s="5" t="n"/>
      <c r="D120" s="8">
        <f>IF($B120="","",IFERROR(INDEX(PM_Category,MATCH($B120,PM_ID,0)),""))</f>
        <v/>
      </c>
      <c r="E120" s="8">
        <f>IF($B120="","",IFERROR(INDEX(PM_Subcategory,MATCH($B120,PM_ID,0)),""))</f>
        <v/>
      </c>
      <c r="F120" s="8">
        <f>IF($B120="","",IFERROR(INDEX(PM_Brand,MATCH($B120,PM_ID,0)),""))</f>
        <v/>
      </c>
      <c r="G120" s="8">
        <f>IF($B120="","",IFERROR(INDEX(PM_Model,MATCH($B120,PM_ID,0)),""))</f>
        <v/>
      </c>
      <c r="H120" s="5" t="n"/>
      <c r="I120" s="10" t="n"/>
      <c r="J120" s="9" t="n"/>
      <c r="K120" s="5" t="n"/>
      <c r="L120" s="5" t="n"/>
      <c r="M120" s="5" t="n"/>
      <c r="N120" s="5" t="n"/>
      <c r="O120" s="8">
        <f>IF($B120="","",IF(AND($A120&lt;&gt;"",COUNTIF(INV_ID,$A120)&gt;1),"⚠ this Unit ID already exists",IF(AND($H120&lt;&gt;"",COUNTIF(INV_Serial,$H120)&gt;1),"⚠ this serial already exists",IF(COUNTIFS(INV_Product,$B120,INV_No,$C120)&gt;1,"⚠ piece number reused",""))))</f>
        <v/>
      </c>
      <c r="P120" s="5" t="n"/>
    </row>
    <row r="121">
      <c r="A121" s="8">
        <f>IF(OR($B121="",$C121=""),"",IFERROR(INDEX(PM_Short,MATCH($B121,PM_ID,0))&amp;"-"&amp;TEXT($C121,"00"),"?? no such product"))</f>
        <v/>
      </c>
      <c r="B121" s="5" t="n"/>
      <c r="C121" s="5" t="n"/>
      <c r="D121" s="8">
        <f>IF($B121="","",IFERROR(INDEX(PM_Category,MATCH($B121,PM_ID,0)),""))</f>
        <v/>
      </c>
      <c r="E121" s="8">
        <f>IF($B121="","",IFERROR(INDEX(PM_Subcategory,MATCH($B121,PM_ID,0)),""))</f>
        <v/>
      </c>
      <c r="F121" s="8">
        <f>IF($B121="","",IFERROR(INDEX(PM_Brand,MATCH($B121,PM_ID,0)),""))</f>
        <v/>
      </c>
      <c r="G121" s="8">
        <f>IF($B121="","",IFERROR(INDEX(PM_Model,MATCH($B121,PM_ID,0)),""))</f>
        <v/>
      </c>
      <c r="H121" s="5" t="n"/>
      <c r="I121" s="10" t="n"/>
      <c r="J121" s="9" t="n"/>
      <c r="K121" s="5" t="n"/>
      <c r="L121" s="5" t="n"/>
      <c r="M121" s="5" t="n"/>
      <c r="N121" s="5" t="n"/>
      <c r="O121" s="8">
        <f>IF($B121="","",IF(AND($A121&lt;&gt;"",COUNTIF(INV_ID,$A121)&gt;1),"⚠ this Unit ID already exists",IF(AND($H121&lt;&gt;"",COUNTIF(INV_Serial,$H121)&gt;1),"⚠ this serial already exists",IF(COUNTIFS(INV_Product,$B121,INV_No,$C121)&gt;1,"⚠ piece number reused",""))))</f>
        <v/>
      </c>
      <c r="P121" s="5" t="n"/>
    </row>
    <row r="122">
      <c r="A122" s="8">
        <f>IF(OR($B122="",$C122=""),"",IFERROR(INDEX(PM_Short,MATCH($B122,PM_ID,0))&amp;"-"&amp;TEXT($C122,"00"),"?? no such product"))</f>
        <v/>
      </c>
      <c r="B122" s="5" t="n"/>
      <c r="C122" s="5" t="n"/>
      <c r="D122" s="8">
        <f>IF($B122="","",IFERROR(INDEX(PM_Category,MATCH($B122,PM_ID,0)),""))</f>
        <v/>
      </c>
      <c r="E122" s="8">
        <f>IF($B122="","",IFERROR(INDEX(PM_Subcategory,MATCH($B122,PM_ID,0)),""))</f>
        <v/>
      </c>
      <c r="F122" s="8">
        <f>IF($B122="","",IFERROR(INDEX(PM_Brand,MATCH($B122,PM_ID,0)),""))</f>
        <v/>
      </c>
      <c r="G122" s="8">
        <f>IF($B122="","",IFERROR(INDEX(PM_Model,MATCH($B122,PM_ID,0)),""))</f>
        <v/>
      </c>
      <c r="H122" s="5" t="n"/>
      <c r="I122" s="10" t="n"/>
      <c r="J122" s="9" t="n"/>
      <c r="K122" s="5" t="n"/>
      <c r="L122" s="5" t="n"/>
      <c r="M122" s="5" t="n"/>
      <c r="N122" s="5" t="n"/>
      <c r="O122" s="8">
        <f>IF($B122="","",IF(AND($A122&lt;&gt;"",COUNTIF(INV_ID,$A122)&gt;1),"⚠ this Unit ID already exists",IF(AND($H122&lt;&gt;"",COUNTIF(INV_Serial,$H122)&gt;1),"⚠ this serial already exists",IF(COUNTIFS(INV_Product,$B122,INV_No,$C122)&gt;1,"⚠ piece number reused",""))))</f>
        <v/>
      </c>
      <c r="P122" s="5" t="n"/>
    </row>
    <row r="123">
      <c r="A123" s="8">
        <f>IF(OR($B123="",$C123=""),"",IFERROR(INDEX(PM_Short,MATCH($B123,PM_ID,0))&amp;"-"&amp;TEXT($C123,"00"),"?? no such product"))</f>
        <v/>
      </c>
      <c r="B123" s="5" t="n"/>
      <c r="C123" s="5" t="n"/>
      <c r="D123" s="8">
        <f>IF($B123="","",IFERROR(INDEX(PM_Category,MATCH($B123,PM_ID,0)),""))</f>
        <v/>
      </c>
      <c r="E123" s="8">
        <f>IF($B123="","",IFERROR(INDEX(PM_Subcategory,MATCH($B123,PM_ID,0)),""))</f>
        <v/>
      </c>
      <c r="F123" s="8">
        <f>IF($B123="","",IFERROR(INDEX(PM_Brand,MATCH($B123,PM_ID,0)),""))</f>
        <v/>
      </c>
      <c r="G123" s="8">
        <f>IF($B123="","",IFERROR(INDEX(PM_Model,MATCH($B123,PM_ID,0)),""))</f>
        <v/>
      </c>
      <c r="H123" s="5" t="n"/>
      <c r="I123" s="10" t="n"/>
      <c r="J123" s="9" t="n"/>
      <c r="K123" s="5" t="n"/>
      <c r="L123" s="5" t="n"/>
      <c r="M123" s="5" t="n"/>
      <c r="N123" s="5" t="n"/>
      <c r="O123" s="8">
        <f>IF($B123="","",IF(AND($A123&lt;&gt;"",COUNTIF(INV_ID,$A123)&gt;1),"⚠ this Unit ID already exists",IF(AND($H123&lt;&gt;"",COUNTIF(INV_Serial,$H123)&gt;1),"⚠ this serial already exists",IF(COUNTIFS(INV_Product,$B123,INV_No,$C123)&gt;1,"⚠ piece number reused",""))))</f>
        <v/>
      </c>
      <c r="P123" s="5" t="n"/>
    </row>
    <row r="124">
      <c r="A124" s="8">
        <f>IF(OR($B124="",$C124=""),"",IFERROR(INDEX(PM_Short,MATCH($B124,PM_ID,0))&amp;"-"&amp;TEXT($C124,"00"),"?? no such product"))</f>
        <v/>
      </c>
      <c r="B124" s="5" t="n"/>
      <c r="C124" s="5" t="n"/>
      <c r="D124" s="8">
        <f>IF($B124="","",IFERROR(INDEX(PM_Category,MATCH($B124,PM_ID,0)),""))</f>
        <v/>
      </c>
      <c r="E124" s="8">
        <f>IF($B124="","",IFERROR(INDEX(PM_Subcategory,MATCH($B124,PM_ID,0)),""))</f>
        <v/>
      </c>
      <c r="F124" s="8">
        <f>IF($B124="","",IFERROR(INDEX(PM_Brand,MATCH($B124,PM_ID,0)),""))</f>
        <v/>
      </c>
      <c r="G124" s="8">
        <f>IF($B124="","",IFERROR(INDEX(PM_Model,MATCH($B124,PM_ID,0)),""))</f>
        <v/>
      </c>
      <c r="H124" s="5" t="n"/>
      <c r="I124" s="10" t="n"/>
      <c r="J124" s="9" t="n"/>
      <c r="K124" s="5" t="n"/>
      <c r="L124" s="5" t="n"/>
      <c r="M124" s="5" t="n"/>
      <c r="N124" s="5" t="n"/>
      <c r="O124" s="8">
        <f>IF($B124="","",IF(AND($A124&lt;&gt;"",COUNTIF(INV_ID,$A124)&gt;1),"⚠ this Unit ID already exists",IF(AND($H124&lt;&gt;"",COUNTIF(INV_Serial,$H124)&gt;1),"⚠ this serial already exists",IF(COUNTIFS(INV_Product,$B124,INV_No,$C124)&gt;1,"⚠ piece number reused",""))))</f>
        <v/>
      </c>
      <c r="P124" s="5" t="n"/>
    </row>
    <row r="125">
      <c r="A125" s="8">
        <f>IF(OR($B125="",$C125=""),"",IFERROR(INDEX(PM_Short,MATCH($B125,PM_ID,0))&amp;"-"&amp;TEXT($C125,"00"),"?? no such product"))</f>
        <v/>
      </c>
      <c r="B125" s="5" t="n"/>
      <c r="C125" s="5" t="n"/>
      <c r="D125" s="8">
        <f>IF($B125="","",IFERROR(INDEX(PM_Category,MATCH($B125,PM_ID,0)),""))</f>
        <v/>
      </c>
      <c r="E125" s="8">
        <f>IF($B125="","",IFERROR(INDEX(PM_Subcategory,MATCH($B125,PM_ID,0)),""))</f>
        <v/>
      </c>
      <c r="F125" s="8">
        <f>IF($B125="","",IFERROR(INDEX(PM_Brand,MATCH($B125,PM_ID,0)),""))</f>
        <v/>
      </c>
      <c r="G125" s="8">
        <f>IF($B125="","",IFERROR(INDEX(PM_Model,MATCH($B125,PM_ID,0)),""))</f>
        <v/>
      </c>
      <c r="H125" s="5" t="n"/>
      <c r="I125" s="10" t="n"/>
      <c r="J125" s="9" t="n"/>
      <c r="K125" s="5" t="n"/>
      <c r="L125" s="5" t="n"/>
      <c r="M125" s="5" t="n"/>
      <c r="N125" s="5" t="n"/>
      <c r="O125" s="8">
        <f>IF($B125="","",IF(AND($A125&lt;&gt;"",COUNTIF(INV_ID,$A125)&gt;1),"⚠ this Unit ID already exists",IF(AND($H125&lt;&gt;"",COUNTIF(INV_Serial,$H125)&gt;1),"⚠ this serial already exists",IF(COUNTIFS(INV_Product,$B125,INV_No,$C125)&gt;1,"⚠ piece number reused",""))))</f>
        <v/>
      </c>
      <c r="P125" s="5" t="n"/>
    </row>
    <row r="126">
      <c r="A126" s="8">
        <f>IF(OR($B126="",$C126=""),"",IFERROR(INDEX(PM_Short,MATCH($B126,PM_ID,0))&amp;"-"&amp;TEXT($C126,"00"),"?? no such product"))</f>
        <v/>
      </c>
      <c r="B126" s="5" t="n"/>
      <c r="C126" s="5" t="n"/>
      <c r="D126" s="8">
        <f>IF($B126="","",IFERROR(INDEX(PM_Category,MATCH($B126,PM_ID,0)),""))</f>
        <v/>
      </c>
      <c r="E126" s="8">
        <f>IF($B126="","",IFERROR(INDEX(PM_Subcategory,MATCH($B126,PM_ID,0)),""))</f>
        <v/>
      </c>
      <c r="F126" s="8">
        <f>IF($B126="","",IFERROR(INDEX(PM_Brand,MATCH($B126,PM_ID,0)),""))</f>
        <v/>
      </c>
      <c r="G126" s="8">
        <f>IF($B126="","",IFERROR(INDEX(PM_Model,MATCH($B126,PM_ID,0)),""))</f>
        <v/>
      </c>
      <c r="H126" s="5" t="n"/>
      <c r="I126" s="10" t="n"/>
      <c r="J126" s="9" t="n"/>
      <c r="K126" s="5" t="n"/>
      <c r="L126" s="5" t="n"/>
      <c r="M126" s="5" t="n"/>
      <c r="N126" s="5" t="n"/>
      <c r="O126" s="8">
        <f>IF($B126="","",IF(AND($A126&lt;&gt;"",COUNTIF(INV_ID,$A126)&gt;1),"⚠ this Unit ID already exists",IF(AND($H126&lt;&gt;"",COUNTIF(INV_Serial,$H126)&gt;1),"⚠ this serial already exists",IF(COUNTIFS(INV_Product,$B126,INV_No,$C126)&gt;1,"⚠ piece number reused",""))))</f>
        <v/>
      </c>
      <c r="P126" s="5" t="n"/>
    </row>
    <row r="127">
      <c r="A127" s="8">
        <f>IF(OR($B127="",$C127=""),"",IFERROR(INDEX(PM_Short,MATCH($B127,PM_ID,0))&amp;"-"&amp;TEXT($C127,"00"),"?? no such product"))</f>
        <v/>
      </c>
      <c r="B127" s="5" t="n"/>
      <c r="C127" s="5" t="n"/>
      <c r="D127" s="8">
        <f>IF($B127="","",IFERROR(INDEX(PM_Category,MATCH($B127,PM_ID,0)),""))</f>
        <v/>
      </c>
      <c r="E127" s="8">
        <f>IF($B127="","",IFERROR(INDEX(PM_Subcategory,MATCH($B127,PM_ID,0)),""))</f>
        <v/>
      </c>
      <c r="F127" s="8">
        <f>IF($B127="","",IFERROR(INDEX(PM_Brand,MATCH($B127,PM_ID,0)),""))</f>
        <v/>
      </c>
      <c r="G127" s="8">
        <f>IF($B127="","",IFERROR(INDEX(PM_Model,MATCH($B127,PM_ID,0)),""))</f>
        <v/>
      </c>
      <c r="H127" s="5" t="n"/>
      <c r="I127" s="10" t="n"/>
      <c r="J127" s="9" t="n"/>
      <c r="K127" s="5" t="n"/>
      <c r="L127" s="5" t="n"/>
      <c r="M127" s="5" t="n"/>
      <c r="N127" s="5" t="n"/>
      <c r="O127" s="8">
        <f>IF($B127="","",IF(AND($A127&lt;&gt;"",COUNTIF(INV_ID,$A127)&gt;1),"⚠ this Unit ID already exists",IF(AND($H127&lt;&gt;"",COUNTIF(INV_Serial,$H127)&gt;1),"⚠ this serial already exists",IF(COUNTIFS(INV_Product,$B127,INV_No,$C127)&gt;1,"⚠ piece number reused",""))))</f>
        <v/>
      </c>
      <c r="P127" s="5" t="n"/>
    </row>
    <row r="128">
      <c r="A128" s="8">
        <f>IF(OR($B128="",$C128=""),"",IFERROR(INDEX(PM_Short,MATCH($B128,PM_ID,0))&amp;"-"&amp;TEXT($C128,"00"),"?? no such product"))</f>
        <v/>
      </c>
      <c r="B128" s="5" t="n"/>
      <c r="C128" s="5" t="n"/>
      <c r="D128" s="8">
        <f>IF($B128="","",IFERROR(INDEX(PM_Category,MATCH($B128,PM_ID,0)),""))</f>
        <v/>
      </c>
      <c r="E128" s="8">
        <f>IF($B128="","",IFERROR(INDEX(PM_Subcategory,MATCH($B128,PM_ID,0)),""))</f>
        <v/>
      </c>
      <c r="F128" s="8">
        <f>IF($B128="","",IFERROR(INDEX(PM_Brand,MATCH($B128,PM_ID,0)),""))</f>
        <v/>
      </c>
      <c r="G128" s="8">
        <f>IF($B128="","",IFERROR(INDEX(PM_Model,MATCH($B128,PM_ID,0)),""))</f>
        <v/>
      </c>
      <c r="H128" s="5" t="n"/>
      <c r="I128" s="10" t="n"/>
      <c r="J128" s="9" t="n"/>
      <c r="K128" s="5" t="n"/>
      <c r="L128" s="5" t="n"/>
      <c r="M128" s="5" t="n"/>
      <c r="N128" s="5" t="n"/>
      <c r="O128" s="8">
        <f>IF($B128="","",IF(AND($A128&lt;&gt;"",COUNTIF(INV_ID,$A128)&gt;1),"⚠ this Unit ID already exists",IF(AND($H128&lt;&gt;"",COUNTIF(INV_Serial,$H128)&gt;1),"⚠ this serial already exists",IF(COUNTIFS(INV_Product,$B128,INV_No,$C128)&gt;1,"⚠ piece number reused",""))))</f>
        <v/>
      </c>
      <c r="P128" s="5" t="n"/>
    </row>
    <row r="129">
      <c r="A129" s="8">
        <f>IF(OR($B129="",$C129=""),"",IFERROR(INDEX(PM_Short,MATCH($B129,PM_ID,0))&amp;"-"&amp;TEXT($C129,"00"),"?? no such product"))</f>
        <v/>
      </c>
      <c r="B129" s="5" t="n"/>
      <c r="C129" s="5" t="n"/>
      <c r="D129" s="8">
        <f>IF($B129="","",IFERROR(INDEX(PM_Category,MATCH($B129,PM_ID,0)),""))</f>
        <v/>
      </c>
      <c r="E129" s="8">
        <f>IF($B129="","",IFERROR(INDEX(PM_Subcategory,MATCH($B129,PM_ID,0)),""))</f>
        <v/>
      </c>
      <c r="F129" s="8">
        <f>IF($B129="","",IFERROR(INDEX(PM_Brand,MATCH($B129,PM_ID,0)),""))</f>
        <v/>
      </c>
      <c r="G129" s="8">
        <f>IF($B129="","",IFERROR(INDEX(PM_Model,MATCH($B129,PM_ID,0)),""))</f>
        <v/>
      </c>
      <c r="H129" s="5" t="n"/>
      <c r="I129" s="10" t="n"/>
      <c r="J129" s="9" t="n"/>
      <c r="K129" s="5" t="n"/>
      <c r="L129" s="5" t="n"/>
      <c r="M129" s="5" t="n"/>
      <c r="N129" s="5" t="n"/>
      <c r="O129" s="8">
        <f>IF($B129="","",IF(AND($A129&lt;&gt;"",COUNTIF(INV_ID,$A129)&gt;1),"⚠ this Unit ID already exists",IF(AND($H129&lt;&gt;"",COUNTIF(INV_Serial,$H129)&gt;1),"⚠ this serial already exists",IF(COUNTIFS(INV_Product,$B129,INV_No,$C129)&gt;1,"⚠ piece number reused",""))))</f>
        <v/>
      </c>
      <c r="P129" s="5" t="n"/>
    </row>
    <row r="130">
      <c r="A130" s="8">
        <f>IF(OR($B130="",$C130=""),"",IFERROR(INDEX(PM_Short,MATCH($B130,PM_ID,0))&amp;"-"&amp;TEXT($C130,"00"),"?? no such product"))</f>
        <v/>
      </c>
      <c r="B130" s="5" t="n"/>
      <c r="C130" s="5" t="n"/>
      <c r="D130" s="8">
        <f>IF($B130="","",IFERROR(INDEX(PM_Category,MATCH($B130,PM_ID,0)),""))</f>
        <v/>
      </c>
      <c r="E130" s="8">
        <f>IF($B130="","",IFERROR(INDEX(PM_Subcategory,MATCH($B130,PM_ID,0)),""))</f>
        <v/>
      </c>
      <c r="F130" s="8">
        <f>IF($B130="","",IFERROR(INDEX(PM_Brand,MATCH($B130,PM_ID,0)),""))</f>
        <v/>
      </c>
      <c r="G130" s="8">
        <f>IF($B130="","",IFERROR(INDEX(PM_Model,MATCH($B130,PM_ID,0)),""))</f>
        <v/>
      </c>
      <c r="H130" s="5" t="n"/>
      <c r="I130" s="10" t="n"/>
      <c r="J130" s="9" t="n"/>
      <c r="K130" s="5" t="n"/>
      <c r="L130" s="5" t="n"/>
      <c r="M130" s="5" t="n"/>
      <c r="N130" s="5" t="n"/>
      <c r="O130" s="8">
        <f>IF($B130="","",IF(AND($A130&lt;&gt;"",COUNTIF(INV_ID,$A130)&gt;1),"⚠ this Unit ID already exists",IF(AND($H130&lt;&gt;"",COUNTIF(INV_Serial,$H130)&gt;1),"⚠ this serial already exists",IF(COUNTIFS(INV_Product,$B130,INV_No,$C130)&gt;1,"⚠ piece number reused",""))))</f>
        <v/>
      </c>
      <c r="P130" s="5" t="n"/>
    </row>
    <row r="131">
      <c r="A131" s="8">
        <f>IF(OR($B131="",$C131=""),"",IFERROR(INDEX(PM_Short,MATCH($B131,PM_ID,0))&amp;"-"&amp;TEXT($C131,"00"),"?? no such product"))</f>
        <v/>
      </c>
      <c r="B131" s="5" t="n"/>
      <c r="C131" s="5" t="n"/>
      <c r="D131" s="8">
        <f>IF($B131="","",IFERROR(INDEX(PM_Category,MATCH($B131,PM_ID,0)),""))</f>
        <v/>
      </c>
      <c r="E131" s="8">
        <f>IF($B131="","",IFERROR(INDEX(PM_Subcategory,MATCH($B131,PM_ID,0)),""))</f>
        <v/>
      </c>
      <c r="F131" s="8">
        <f>IF($B131="","",IFERROR(INDEX(PM_Brand,MATCH($B131,PM_ID,0)),""))</f>
        <v/>
      </c>
      <c r="G131" s="8">
        <f>IF($B131="","",IFERROR(INDEX(PM_Model,MATCH($B131,PM_ID,0)),""))</f>
        <v/>
      </c>
      <c r="H131" s="5" t="n"/>
      <c r="I131" s="10" t="n"/>
      <c r="J131" s="9" t="n"/>
      <c r="K131" s="5" t="n"/>
      <c r="L131" s="5" t="n"/>
      <c r="M131" s="5" t="n"/>
      <c r="N131" s="5" t="n"/>
      <c r="O131" s="8">
        <f>IF($B131="","",IF(AND($A131&lt;&gt;"",COUNTIF(INV_ID,$A131)&gt;1),"⚠ this Unit ID already exists",IF(AND($H131&lt;&gt;"",COUNTIF(INV_Serial,$H131)&gt;1),"⚠ this serial already exists",IF(COUNTIFS(INV_Product,$B131,INV_No,$C131)&gt;1,"⚠ piece number reused",""))))</f>
        <v/>
      </c>
      <c r="P131" s="5" t="n"/>
    </row>
    <row r="132">
      <c r="A132" s="8">
        <f>IF(OR($B132="",$C132=""),"",IFERROR(INDEX(PM_Short,MATCH($B132,PM_ID,0))&amp;"-"&amp;TEXT($C132,"00"),"?? no such product"))</f>
        <v/>
      </c>
      <c r="B132" s="5" t="n"/>
      <c r="C132" s="5" t="n"/>
      <c r="D132" s="8">
        <f>IF($B132="","",IFERROR(INDEX(PM_Category,MATCH($B132,PM_ID,0)),""))</f>
        <v/>
      </c>
      <c r="E132" s="8">
        <f>IF($B132="","",IFERROR(INDEX(PM_Subcategory,MATCH($B132,PM_ID,0)),""))</f>
        <v/>
      </c>
      <c r="F132" s="8">
        <f>IF($B132="","",IFERROR(INDEX(PM_Brand,MATCH($B132,PM_ID,0)),""))</f>
        <v/>
      </c>
      <c r="G132" s="8">
        <f>IF($B132="","",IFERROR(INDEX(PM_Model,MATCH($B132,PM_ID,0)),""))</f>
        <v/>
      </c>
      <c r="H132" s="5" t="n"/>
      <c r="I132" s="10" t="n"/>
      <c r="J132" s="9" t="n"/>
      <c r="K132" s="5" t="n"/>
      <c r="L132" s="5" t="n"/>
      <c r="M132" s="5" t="n"/>
      <c r="N132" s="5" t="n"/>
      <c r="O132" s="8">
        <f>IF($B132="","",IF(AND($A132&lt;&gt;"",COUNTIF(INV_ID,$A132)&gt;1),"⚠ this Unit ID already exists",IF(AND($H132&lt;&gt;"",COUNTIF(INV_Serial,$H132)&gt;1),"⚠ this serial already exists",IF(COUNTIFS(INV_Product,$B132,INV_No,$C132)&gt;1,"⚠ piece number reused",""))))</f>
        <v/>
      </c>
      <c r="P132" s="5" t="n"/>
    </row>
    <row r="133">
      <c r="A133" s="8">
        <f>IF(OR($B133="",$C133=""),"",IFERROR(INDEX(PM_Short,MATCH($B133,PM_ID,0))&amp;"-"&amp;TEXT($C133,"00"),"?? no such product"))</f>
        <v/>
      </c>
      <c r="B133" s="5" t="n"/>
      <c r="C133" s="5" t="n"/>
      <c r="D133" s="8">
        <f>IF($B133="","",IFERROR(INDEX(PM_Category,MATCH($B133,PM_ID,0)),""))</f>
        <v/>
      </c>
      <c r="E133" s="8">
        <f>IF($B133="","",IFERROR(INDEX(PM_Subcategory,MATCH($B133,PM_ID,0)),""))</f>
        <v/>
      </c>
      <c r="F133" s="8">
        <f>IF($B133="","",IFERROR(INDEX(PM_Brand,MATCH($B133,PM_ID,0)),""))</f>
        <v/>
      </c>
      <c r="G133" s="8">
        <f>IF($B133="","",IFERROR(INDEX(PM_Model,MATCH($B133,PM_ID,0)),""))</f>
        <v/>
      </c>
      <c r="H133" s="5" t="n"/>
      <c r="I133" s="10" t="n"/>
      <c r="J133" s="9" t="n"/>
      <c r="K133" s="5" t="n"/>
      <c r="L133" s="5" t="n"/>
      <c r="M133" s="5" t="n"/>
      <c r="N133" s="5" t="n"/>
      <c r="O133" s="8">
        <f>IF($B133="","",IF(AND($A133&lt;&gt;"",COUNTIF(INV_ID,$A133)&gt;1),"⚠ this Unit ID already exists",IF(AND($H133&lt;&gt;"",COUNTIF(INV_Serial,$H133)&gt;1),"⚠ this serial already exists",IF(COUNTIFS(INV_Product,$B133,INV_No,$C133)&gt;1,"⚠ piece number reused",""))))</f>
        <v/>
      </c>
      <c r="P133" s="5" t="n"/>
    </row>
    <row r="134">
      <c r="A134" s="8">
        <f>IF(OR($B134="",$C134=""),"",IFERROR(INDEX(PM_Short,MATCH($B134,PM_ID,0))&amp;"-"&amp;TEXT($C134,"00"),"?? no such product"))</f>
        <v/>
      </c>
      <c r="B134" s="5" t="n"/>
      <c r="C134" s="5" t="n"/>
      <c r="D134" s="8">
        <f>IF($B134="","",IFERROR(INDEX(PM_Category,MATCH($B134,PM_ID,0)),""))</f>
        <v/>
      </c>
      <c r="E134" s="8">
        <f>IF($B134="","",IFERROR(INDEX(PM_Subcategory,MATCH($B134,PM_ID,0)),""))</f>
        <v/>
      </c>
      <c r="F134" s="8">
        <f>IF($B134="","",IFERROR(INDEX(PM_Brand,MATCH($B134,PM_ID,0)),""))</f>
        <v/>
      </c>
      <c r="G134" s="8">
        <f>IF($B134="","",IFERROR(INDEX(PM_Model,MATCH($B134,PM_ID,0)),""))</f>
        <v/>
      </c>
      <c r="H134" s="5" t="n"/>
      <c r="I134" s="10" t="n"/>
      <c r="J134" s="9" t="n"/>
      <c r="K134" s="5" t="n"/>
      <c r="L134" s="5" t="n"/>
      <c r="M134" s="5" t="n"/>
      <c r="N134" s="5" t="n"/>
      <c r="O134" s="8">
        <f>IF($B134="","",IF(AND($A134&lt;&gt;"",COUNTIF(INV_ID,$A134)&gt;1),"⚠ this Unit ID already exists",IF(AND($H134&lt;&gt;"",COUNTIF(INV_Serial,$H134)&gt;1),"⚠ this serial already exists",IF(COUNTIFS(INV_Product,$B134,INV_No,$C134)&gt;1,"⚠ piece number reused",""))))</f>
        <v/>
      </c>
      <c r="P134" s="5" t="n"/>
    </row>
    <row r="135">
      <c r="A135" s="8">
        <f>IF(OR($B135="",$C135=""),"",IFERROR(INDEX(PM_Short,MATCH($B135,PM_ID,0))&amp;"-"&amp;TEXT($C135,"00"),"?? no such product"))</f>
        <v/>
      </c>
      <c r="B135" s="5" t="n"/>
      <c r="C135" s="5" t="n"/>
      <c r="D135" s="8">
        <f>IF($B135="","",IFERROR(INDEX(PM_Category,MATCH($B135,PM_ID,0)),""))</f>
        <v/>
      </c>
      <c r="E135" s="8">
        <f>IF($B135="","",IFERROR(INDEX(PM_Subcategory,MATCH($B135,PM_ID,0)),""))</f>
        <v/>
      </c>
      <c r="F135" s="8">
        <f>IF($B135="","",IFERROR(INDEX(PM_Brand,MATCH($B135,PM_ID,0)),""))</f>
        <v/>
      </c>
      <c r="G135" s="8">
        <f>IF($B135="","",IFERROR(INDEX(PM_Model,MATCH($B135,PM_ID,0)),""))</f>
        <v/>
      </c>
      <c r="H135" s="5" t="n"/>
      <c r="I135" s="10" t="n"/>
      <c r="J135" s="9" t="n"/>
      <c r="K135" s="5" t="n"/>
      <c r="L135" s="5" t="n"/>
      <c r="M135" s="5" t="n"/>
      <c r="N135" s="5" t="n"/>
      <c r="O135" s="8">
        <f>IF($B135="","",IF(AND($A135&lt;&gt;"",COUNTIF(INV_ID,$A135)&gt;1),"⚠ this Unit ID already exists",IF(AND($H135&lt;&gt;"",COUNTIF(INV_Serial,$H135)&gt;1),"⚠ this serial already exists",IF(COUNTIFS(INV_Product,$B135,INV_No,$C135)&gt;1,"⚠ piece number reused",""))))</f>
        <v/>
      </c>
      <c r="P135" s="5" t="n"/>
    </row>
    <row r="136">
      <c r="A136" s="8">
        <f>IF(OR($B136="",$C136=""),"",IFERROR(INDEX(PM_Short,MATCH($B136,PM_ID,0))&amp;"-"&amp;TEXT($C136,"00"),"?? no such product"))</f>
        <v/>
      </c>
      <c r="B136" s="5" t="n"/>
      <c r="C136" s="5" t="n"/>
      <c r="D136" s="8">
        <f>IF($B136="","",IFERROR(INDEX(PM_Category,MATCH($B136,PM_ID,0)),""))</f>
        <v/>
      </c>
      <c r="E136" s="8">
        <f>IF($B136="","",IFERROR(INDEX(PM_Subcategory,MATCH($B136,PM_ID,0)),""))</f>
        <v/>
      </c>
      <c r="F136" s="8">
        <f>IF($B136="","",IFERROR(INDEX(PM_Brand,MATCH($B136,PM_ID,0)),""))</f>
        <v/>
      </c>
      <c r="G136" s="8">
        <f>IF($B136="","",IFERROR(INDEX(PM_Model,MATCH($B136,PM_ID,0)),""))</f>
        <v/>
      </c>
      <c r="H136" s="5" t="n"/>
      <c r="I136" s="10" t="n"/>
      <c r="J136" s="9" t="n"/>
      <c r="K136" s="5" t="n"/>
      <c r="L136" s="5" t="n"/>
      <c r="M136" s="5" t="n"/>
      <c r="N136" s="5" t="n"/>
      <c r="O136" s="8">
        <f>IF($B136="","",IF(AND($A136&lt;&gt;"",COUNTIF(INV_ID,$A136)&gt;1),"⚠ this Unit ID already exists",IF(AND($H136&lt;&gt;"",COUNTIF(INV_Serial,$H136)&gt;1),"⚠ this serial already exists",IF(COUNTIFS(INV_Product,$B136,INV_No,$C136)&gt;1,"⚠ piece number reused",""))))</f>
        <v/>
      </c>
      <c r="P136" s="5" t="n"/>
    </row>
    <row r="137">
      <c r="A137" s="8">
        <f>IF(OR($B137="",$C137=""),"",IFERROR(INDEX(PM_Short,MATCH($B137,PM_ID,0))&amp;"-"&amp;TEXT($C137,"00"),"?? no such product"))</f>
        <v/>
      </c>
      <c r="B137" s="5" t="n"/>
      <c r="C137" s="5" t="n"/>
      <c r="D137" s="8">
        <f>IF($B137="","",IFERROR(INDEX(PM_Category,MATCH($B137,PM_ID,0)),""))</f>
        <v/>
      </c>
      <c r="E137" s="8">
        <f>IF($B137="","",IFERROR(INDEX(PM_Subcategory,MATCH($B137,PM_ID,0)),""))</f>
        <v/>
      </c>
      <c r="F137" s="8">
        <f>IF($B137="","",IFERROR(INDEX(PM_Brand,MATCH($B137,PM_ID,0)),""))</f>
        <v/>
      </c>
      <c r="G137" s="8">
        <f>IF($B137="","",IFERROR(INDEX(PM_Model,MATCH($B137,PM_ID,0)),""))</f>
        <v/>
      </c>
      <c r="H137" s="5" t="n"/>
      <c r="I137" s="10" t="n"/>
      <c r="J137" s="9" t="n"/>
      <c r="K137" s="5" t="n"/>
      <c r="L137" s="5" t="n"/>
      <c r="M137" s="5" t="n"/>
      <c r="N137" s="5" t="n"/>
      <c r="O137" s="8">
        <f>IF($B137="","",IF(AND($A137&lt;&gt;"",COUNTIF(INV_ID,$A137)&gt;1),"⚠ this Unit ID already exists",IF(AND($H137&lt;&gt;"",COUNTIF(INV_Serial,$H137)&gt;1),"⚠ this serial already exists",IF(COUNTIFS(INV_Product,$B137,INV_No,$C137)&gt;1,"⚠ piece number reused",""))))</f>
        <v/>
      </c>
      <c r="P137" s="5" t="n"/>
    </row>
    <row r="138">
      <c r="A138" s="8">
        <f>IF(OR($B138="",$C138=""),"",IFERROR(INDEX(PM_Short,MATCH($B138,PM_ID,0))&amp;"-"&amp;TEXT($C138,"00"),"?? no such product"))</f>
        <v/>
      </c>
      <c r="B138" s="5" t="n"/>
      <c r="C138" s="5" t="n"/>
      <c r="D138" s="8">
        <f>IF($B138="","",IFERROR(INDEX(PM_Category,MATCH($B138,PM_ID,0)),""))</f>
        <v/>
      </c>
      <c r="E138" s="8">
        <f>IF($B138="","",IFERROR(INDEX(PM_Subcategory,MATCH($B138,PM_ID,0)),""))</f>
        <v/>
      </c>
      <c r="F138" s="8">
        <f>IF($B138="","",IFERROR(INDEX(PM_Brand,MATCH($B138,PM_ID,0)),""))</f>
        <v/>
      </c>
      <c r="G138" s="8">
        <f>IF($B138="","",IFERROR(INDEX(PM_Model,MATCH($B138,PM_ID,0)),""))</f>
        <v/>
      </c>
      <c r="H138" s="5" t="n"/>
      <c r="I138" s="10" t="n"/>
      <c r="J138" s="9" t="n"/>
      <c r="K138" s="5" t="n"/>
      <c r="L138" s="5" t="n"/>
      <c r="M138" s="5" t="n"/>
      <c r="N138" s="5" t="n"/>
      <c r="O138" s="8">
        <f>IF($B138="","",IF(AND($A138&lt;&gt;"",COUNTIF(INV_ID,$A138)&gt;1),"⚠ this Unit ID already exists",IF(AND($H138&lt;&gt;"",COUNTIF(INV_Serial,$H138)&gt;1),"⚠ this serial already exists",IF(COUNTIFS(INV_Product,$B138,INV_No,$C138)&gt;1,"⚠ piece number reused",""))))</f>
        <v/>
      </c>
      <c r="P138" s="5" t="n"/>
    </row>
    <row r="139">
      <c r="A139" s="8">
        <f>IF(OR($B139="",$C139=""),"",IFERROR(INDEX(PM_Short,MATCH($B139,PM_ID,0))&amp;"-"&amp;TEXT($C139,"00"),"?? no such product"))</f>
        <v/>
      </c>
      <c r="B139" s="5" t="n"/>
      <c r="C139" s="5" t="n"/>
      <c r="D139" s="8">
        <f>IF($B139="","",IFERROR(INDEX(PM_Category,MATCH($B139,PM_ID,0)),""))</f>
        <v/>
      </c>
      <c r="E139" s="8">
        <f>IF($B139="","",IFERROR(INDEX(PM_Subcategory,MATCH($B139,PM_ID,0)),""))</f>
        <v/>
      </c>
      <c r="F139" s="8">
        <f>IF($B139="","",IFERROR(INDEX(PM_Brand,MATCH($B139,PM_ID,0)),""))</f>
        <v/>
      </c>
      <c r="G139" s="8">
        <f>IF($B139="","",IFERROR(INDEX(PM_Model,MATCH($B139,PM_ID,0)),""))</f>
        <v/>
      </c>
      <c r="H139" s="5" t="n"/>
      <c r="I139" s="10" t="n"/>
      <c r="J139" s="9" t="n"/>
      <c r="K139" s="5" t="n"/>
      <c r="L139" s="5" t="n"/>
      <c r="M139" s="5" t="n"/>
      <c r="N139" s="5" t="n"/>
      <c r="O139" s="8">
        <f>IF($B139="","",IF(AND($A139&lt;&gt;"",COUNTIF(INV_ID,$A139)&gt;1),"⚠ this Unit ID already exists",IF(AND($H139&lt;&gt;"",COUNTIF(INV_Serial,$H139)&gt;1),"⚠ this serial already exists",IF(COUNTIFS(INV_Product,$B139,INV_No,$C139)&gt;1,"⚠ piece number reused",""))))</f>
        <v/>
      </c>
      <c r="P139" s="5" t="n"/>
    </row>
    <row r="140">
      <c r="A140" s="8">
        <f>IF(OR($B140="",$C140=""),"",IFERROR(INDEX(PM_Short,MATCH($B140,PM_ID,0))&amp;"-"&amp;TEXT($C140,"00"),"?? no such product"))</f>
        <v/>
      </c>
      <c r="B140" s="5" t="n"/>
      <c r="C140" s="5" t="n"/>
      <c r="D140" s="8">
        <f>IF($B140="","",IFERROR(INDEX(PM_Category,MATCH($B140,PM_ID,0)),""))</f>
        <v/>
      </c>
      <c r="E140" s="8">
        <f>IF($B140="","",IFERROR(INDEX(PM_Subcategory,MATCH($B140,PM_ID,0)),""))</f>
        <v/>
      </c>
      <c r="F140" s="8">
        <f>IF($B140="","",IFERROR(INDEX(PM_Brand,MATCH($B140,PM_ID,0)),""))</f>
        <v/>
      </c>
      <c r="G140" s="8">
        <f>IF($B140="","",IFERROR(INDEX(PM_Model,MATCH($B140,PM_ID,0)),""))</f>
        <v/>
      </c>
      <c r="H140" s="5" t="n"/>
      <c r="I140" s="10" t="n"/>
      <c r="J140" s="9" t="n"/>
      <c r="K140" s="5" t="n"/>
      <c r="L140" s="5" t="n"/>
      <c r="M140" s="5" t="n"/>
      <c r="N140" s="5" t="n"/>
      <c r="O140" s="8">
        <f>IF($B140="","",IF(AND($A140&lt;&gt;"",COUNTIF(INV_ID,$A140)&gt;1),"⚠ this Unit ID already exists",IF(AND($H140&lt;&gt;"",COUNTIF(INV_Serial,$H140)&gt;1),"⚠ this serial already exists",IF(COUNTIFS(INV_Product,$B140,INV_No,$C140)&gt;1,"⚠ piece number reused",""))))</f>
        <v/>
      </c>
      <c r="P140" s="5" t="n"/>
    </row>
    <row r="141">
      <c r="A141" s="8">
        <f>IF(OR($B141="",$C141=""),"",IFERROR(INDEX(PM_Short,MATCH($B141,PM_ID,0))&amp;"-"&amp;TEXT($C141,"00"),"?? no such product"))</f>
        <v/>
      </c>
      <c r="B141" s="5" t="n"/>
      <c r="C141" s="5" t="n"/>
      <c r="D141" s="8">
        <f>IF($B141="","",IFERROR(INDEX(PM_Category,MATCH($B141,PM_ID,0)),""))</f>
        <v/>
      </c>
      <c r="E141" s="8">
        <f>IF($B141="","",IFERROR(INDEX(PM_Subcategory,MATCH($B141,PM_ID,0)),""))</f>
        <v/>
      </c>
      <c r="F141" s="8">
        <f>IF($B141="","",IFERROR(INDEX(PM_Brand,MATCH($B141,PM_ID,0)),""))</f>
        <v/>
      </c>
      <c r="G141" s="8">
        <f>IF($B141="","",IFERROR(INDEX(PM_Model,MATCH($B141,PM_ID,0)),""))</f>
        <v/>
      </c>
      <c r="H141" s="5" t="n"/>
      <c r="I141" s="10" t="n"/>
      <c r="J141" s="9" t="n"/>
      <c r="K141" s="5" t="n"/>
      <c r="L141" s="5" t="n"/>
      <c r="M141" s="5" t="n"/>
      <c r="N141" s="5" t="n"/>
      <c r="O141" s="8">
        <f>IF($B141="","",IF(AND($A141&lt;&gt;"",COUNTIF(INV_ID,$A141)&gt;1),"⚠ this Unit ID already exists",IF(AND($H141&lt;&gt;"",COUNTIF(INV_Serial,$H141)&gt;1),"⚠ this serial already exists",IF(COUNTIFS(INV_Product,$B141,INV_No,$C141)&gt;1,"⚠ piece number reused",""))))</f>
        <v/>
      </c>
      <c r="P141" s="5" t="n"/>
    </row>
    <row r="142">
      <c r="A142" s="8">
        <f>IF(OR($B142="",$C142=""),"",IFERROR(INDEX(PM_Short,MATCH($B142,PM_ID,0))&amp;"-"&amp;TEXT($C142,"00"),"?? no such product"))</f>
        <v/>
      </c>
      <c r="B142" s="5" t="n"/>
      <c r="C142" s="5" t="n"/>
      <c r="D142" s="8">
        <f>IF($B142="","",IFERROR(INDEX(PM_Category,MATCH($B142,PM_ID,0)),""))</f>
        <v/>
      </c>
      <c r="E142" s="8">
        <f>IF($B142="","",IFERROR(INDEX(PM_Subcategory,MATCH($B142,PM_ID,0)),""))</f>
        <v/>
      </c>
      <c r="F142" s="8">
        <f>IF($B142="","",IFERROR(INDEX(PM_Brand,MATCH($B142,PM_ID,0)),""))</f>
        <v/>
      </c>
      <c r="G142" s="8">
        <f>IF($B142="","",IFERROR(INDEX(PM_Model,MATCH($B142,PM_ID,0)),""))</f>
        <v/>
      </c>
      <c r="H142" s="5" t="n"/>
      <c r="I142" s="10" t="n"/>
      <c r="J142" s="9" t="n"/>
      <c r="K142" s="5" t="n"/>
      <c r="L142" s="5" t="n"/>
      <c r="M142" s="5" t="n"/>
      <c r="N142" s="5" t="n"/>
      <c r="O142" s="8">
        <f>IF($B142="","",IF(AND($A142&lt;&gt;"",COUNTIF(INV_ID,$A142)&gt;1),"⚠ this Unit ID already exists",IF(AND($H142&lt;&gt;"",COUNTIF(INV_Serial,$H142)&gt;1),"⚠ this serial already exists",IF(COUNTIFS(INV_Product,$B142,INV_No,$C142)&gt;1,"⚠ piece number reused",""))))</f>
        <v/>
      </c>
      <c r="P142" s="5" t="n"/>
    </row>
    <row r="143">
      <c r="A143" s="8">
        <f>IF(OR($B143="",$C143=""),"",IFERROR(INDEX(PM_Short,MATCH($B143,PM_ID,0))&amp;"-"&amp;TEXT($C143,"00"),"?? no such product"))</f>
        <v/>
      </c>
      <c r="B143" s="5" t="n"/>
      <c r="C143" s="5" t="n"/>
      <c r="D143" s="8">
        <f>IF($B143="","",IFERROR(INDEX(PM_Category,MATCH($B143,PM_ID,0)),""))</f>
        <v/>
      </c>
      <c r="E143" s="8">
        <f>IF($B143="","",IFERROR(INDEX(PM_Subcategory,MATCH($B143,PM_ID,0)),""))</f>
        <v/>
      </c>
      <c r="F143" s="8">
        <f>IF($B143="","",IFERROR(INDEX(PM_Brand,MATCH($B143,PM_ID,0)),""))</f>
        <v/>
      </c>
      <c r="G143" s="8">
        <f>IF($B143="","",IFERROR(INDEX(PM_Model,MATCH($B143,PM_ID,0)),""))</f>
        <v/>
      </c>
      <c r="H143" s="5" t="n"/>
      <c r="I143" s="10" t="n"/>
      <c r="J143" s="9" t="n"/>
      <c r="K143" s="5" t="n"/>
      <c r="L143" s="5" t="n"/>
      <c r="M143" s="5" t="n"/>
      <c r="N143" s="5" t="n"/>
      <c r="O143" s="8">
        <f>IF($B143="","",IF(AND($A143&lt;&gt;"",COUNTIF(INV_ID,$A143)&gt;1),"⚠ this Unit ID already exists",IF(AND($H143&lt;&gt;"",COUNTIF(INV_Serial,$H143)&gt;1),"⚠ this serial already exists",IF(COUNTIFS(INV_Product,$B143,INV_No,$C143)&gt;1,"⚠ piece number reused",""))))</f>
        <v/>
      </c>
      <c r="P143" s="5" t="n"/>
    </row>
    <row r="144">
      <c r="A144" s="8">
        <f>IF(OR($B144="",$C144=""),"",IFERROR(INDEX(PM_Short,MATCH($B144,PM_ID,0))&amp;"-"&amp;TEXT($C144,"00"),"?? no such product"))</f>
        <v/>
      </c>
      <c r="B144" s="5" t="n"/>
      <c r="C144" s="5" t="n"/>
      <c r="D144" s="8">
        <f>IF($B144="","",IFERROR(INDEX(PM_Category,MATCH($B144,PM_ID,0)),""))</f>
        <v/>
      </c>
      <c r="E144" s="8">
        <f>IF($B144="","",IFERROR(INDEX(PM_Subcategory,MATCH($B144,PM_ID,0)),""))</f>
        <v/>
      </c>
      <c r="F144" s="8">
        <f>IF($B144="","",IFERROR(INDEX(PM_Brand,MATCH($B144,PM_ID,0)),""))</f>
        <v/>
      </c>
      <c r="G144" s="8">
        <f>IF($B144="","",IFERROR(INDEX(PM_Model,MATCH($B144,PM_ID,0)),""))</f>
        <v/>
      </c>
      <c r="H144" s="5" t="n"/>
      <c r="I144" s="10" t="n"/>
      <c r="J144" s="9" t="n"/>
      <c r="K144" s="5" t="n"/>
      <c r="L144" s="5" t="n"/>
      <c r="M144" s="5" t="n"/>
      <c r="N144" s="5" t="n"/>
      <c r="O144" s="8">
        <f>IF($B144="","",IF(AND($A144&lt;&gt;"",COUNTIF(INV_ID,$A144)&gt;1),"⚠ this Unit ID already exists",IF(AND($H144&lt;&gt;"",COUNTIF(INV_Serial,$H144)&gt;1),"⚠ this serial already exists",IF(COUNTIFS(INV_Product,$B144,INV_No,$C144)&gt;1,"⚠ piece number reused",""))))</f>
        <v/>
      </c>
      <c r="P144" s="5" t="n"/>
    </row>
    <row r="145">
      <c r="A145" s="8">
        <f>IF(OR($B145="",$C145=""),"",IFERROR(INDEX(PM_Short,MATCH($B145,PM_ID,0))&amp;"-"&amp;TEXT($C145,"00"),"?? no such product"))</f>
        <v/>
      </c>
      <c r="B145" s="5" t="n"/>
      <c r="C145" s="5" t="n"/>
      <c r="D145" s="8">
        <f>IF($B145="","",IFERROR(INDEX(PM_Category,MATCH($B145,PM_ID,0)),""))</f>
        <v/>
      </c>
      <c r="E145" s="8">
        <f>IF($B145="","",IFERROR(INDEX(PM_Subcategory,MATCH($B145,PM_ID,0)),""))</f>
        <v/>
      </c>
      <c r="F145" s="8">
        <f>IF($B145="","",IFERROR(INDEX(PM_Brand,MATCH($B145,PM_ID,0)),""))</f>
        <v/>
      </c>
      <c r="G145" s="8">
        <f>IF($B145="","",IFERROR(INDEX(PM_Model,MATCH($B145,PM_ID,0)),""))</f>
        <v/>
      </c>
      <c r="H145" s="5" t="n"/>
      <c r="I145" s="10" t="n"/>
      <c r="J145" s="9" t="n"/>
      <c r="K145" s="5" t="n"/>
      <c r="L145" s="5" t="n"/>
      <c r="M145" s="5" t="n"/>
      <c r="N145" s="5" t="n"/>
      <c r="O145" s="8">
        <f>IF($B145="","",IF(AND($A145&lt;&gt;"",COUNTIF(INV_ID,$A145)&gt;1),"⚠ this Unit ID already exists",IF(AND($H145&lt;&gt;"",COUNTIF(INV_Serial,$H145)&gt;1),"⚠ this serial already exists",IF(COUNTIFS(INV_Product,$B145,INV_No,$C145)&gt;1,"⚠ piece number reused",""))))</f>
        <v/>
      </c>
      <c r="P145" s="5" t="n"/>
    </row>
    <row r="146">
      <c r="A146" s="8">
        <f>IF(OR($B146="",$C146=""),"",IFERROR(INDEX(PM_Short,MATCH($B146,PM_ID,0))&amp;"-"&amp;TEXT($C146,"00"),"?? no such product"))</f>
        <v/>
      </c>
      <c r="B146" s="5" t="n"/>
      <c r="C146" s="5" t="n"/>
      <c r="D146" s="8">
        <f>IF($B146="","",IFERROR(INDEX(PM_Category,MATCH($B146,PM_ID,0)),""))</f>
        <v/>
      </c>
      <c r="E146" s="8">
        <f>IF($B146="","",IFERROR(INDEX(PM_Subcategory,MATCH($B146,PM_ID,0)),""))</f>
        <v/>
      </c>
      <c r="F146" s="8">
        <f>IF($B146="","",IFERROR(INDEX(PM_Brand,MATCH($B146,PM_ID,0)),""))</f>
        <v/>
      </c>
      <c r="G146" s="8">
        <f>IF($B146="","",IFERROR(INDEX(PM_Model,MATCH($B146,PM_ID,0)),""))</f>
        <v/>
      </c>
      <c r="H146" s="5" t="n"/>
      <c r="I146" s="10" t="n"/>
      <c r="J146" s="9" t="n"/>
      <c r="K146" s="5" t="n"/>
      <c r="L146" s="5" t="n"/>
      <c r="M146" s="5" t="n"/>
      <c r="N146" s="5" t="n"/>
      <c r="O146" s="8">
        <f>IF($B146="","",IF(AND($A146&lt;&gt;"",COUNTIF(INV_ID,$A146)&gt;1),"⚠ this Unit ID already exists",IF(AND($H146&lt;&gt;"",COUNTIF(INV_Serial,$H146)&gt;1),"⚠ this serial already exists",IF(COUNTIFS(INV_Product,$B146,INV_No,$C146)&gt;1,"⚠ piece number reused",""))))</f>
        <v/>
      </c>
      <c r="P146" s="5" t="n"/>
    </row>
    <row r="147">
      <c r="A147" s="8">
        <f>IF(OR($B147="",$C147=""),"",IFERROR(INDEX(PM_Short,MATCH($B147,PM_ID,0))&amp;"-"&amp;TEXT($C147,"00"),"?? no such product"))</f>
        <v/>
      </c>
      <c r="B147" s="5" t="n"/>
      <c r="C147" s="5" t="n"/>
      <c r="D147" s="8">
        <f>IF($B147="","",IFERROR(INDEX(PM_Category,MATCH($B147,PM_ID,0)),""))</f>
        <v/>
      </c>
      <c r="E147" s="8">
        <f>IF($B147="","",IFERROR(INDEX(PM_Subcategory,MATCH($B147,PM_ID,0)),""))</f>
        <v/>
      </c>
      <c r="F147" s="8">
        <f>IF($B147="","",IFERROR(INDEX(PM_Brand,MATCH($B147,PM_ID,0)),""))</f>
        <v/>
      </c>
      <c r="G147" s="8">
        <f>IF($B147="","",IFERROR(INDEX(PM_Model,MATCH($B147,PM_ID,0)),""))</f>
        <v/>
      </c>
      <c r="H147" s="5" t="n"/>
      <c r="I147" s="10" t="n"/>
      <c r="J147" s="9" t="n"/>
      <c r="K147" s="5" t="n"/>
      <c r="L147" s="5" t="n"/>
      <c r="M147" s="5" t="n"/>
      <c r="N147" s="5" t="n"/>
      <c r="O147" s="8">
        <f>IF($B147="","",IF(AND($A147&lt;&gt;"",COUNTIF(INV_ID,$A147)&gt;1),"⚠ this Unit ID already exists",IF(AND($H147&lt;&gt;"",COUNTIF(INV_Serial,$H147)&gt;1),"⚠ this serial already exists",IF(COUNTIFS(INV_Product,$B147,INV_No,$C147)&gt;1,"⚠ piece number reused",""))))</f>
        <v/>
      </c>
      <c r="P147" s="5" t="n"/>
    </row>
    <row r="148">
      <c r="A148" s="8">
        <f>IF(OR($B148="",$C148=""),"",IFERROR(INDEX(PM_Short,MATCH($B148,PM_ID,0))&amp;"-"&amp;TEXT($C148,"00"),"?? no such product"))</f>
        <v/>
      </c>
      <c r="B148" s="5" t="n"/>
      <c r="C148" s="5" t="n"/>
      <c r="D148" s="8">
        <f>IF($B148="","",IFERROR(INDEX(PM_Category,MATCH($B148,PM_ID,0)),""))</f>
        <v/>
      </c>
      <c r="E148" s="8">
        <f>IF($B148="","",IFERROR(INDEX(PM_Subcategory,MATCH($B148,PM_ID,0)),""))</f>
        <v/>
      </c>
      <c r="F148" s="8">
        <f>IF($B148="","",IFERROR(INDEX(PM_Brand,MATCH($B148,PM_ID,0)),""))</f>
        <v/>
      </c>
      <c r="G148" s="8">
        <f>IF($B148="","",IFERROR(INDEX(PM_Model,MATCH($B148,PM_ID,0)),""))</f>
        <v/>
      </c>
      <c r="H148" s="5" t="n"/>
      <c r="I148" s="10" t="n"/>
      <c r="J148" s="9" t="n"/>
      <c r="K148" s="5" t="n"/>
      <c r="L148" s="5" t="n"/>
      <c r="M148" s="5" t="n"/>
      <c r="N148" s="5" t="n"/>
      <c r="O148" s="8">
        <f>IF($B148="","",IF(AND($A148&lt;&gt;"",COUNTIF(INV_ID,$A148)&gt;1),"⚠ this Unit ID already exists",IF(AND($H148&lt;&gt;"",COUNTIF(INV_Serial,$H148)&gt;1),"⚠ this serial already exists",IF(COUNTIFS(INV_Product,$B148,INV_No,$C148)&gt;1,"⚠ piece number reused",""))))</f>
        <v/>
      </c>
      <c r="P148" s="5" t="n"/>
    </row>
    <row r="149">
      <c r="A149" s="8">
        <f>IF(OR($B149="",$C149=""),"",IFERROR(INDEX(PM_Short,MATCH($B149,PM_ID,0))&amp;"-"&amp;TEXT($C149,"00"),"?? no such product"))</f>
        <v/>
      </c>
      <c r="B149" s="5" t="n"/>
      <c r="C149" s="5" t="n"/>
      <c r="D149" s="8">
        <f>IF($B149="","",IFERROR(INDEX(PM_Category,MATCH($B149,PM_ID,0)),""))</f>
        <v/>
      </c>
      <c r="E149" s="8">
        <f>IF($B149="","",IFERROR(INDEX(PM_Subcategory,MATCH($B149,PM_ID,0)),""))</f>
        <v/>
      </c>
      <c r="F149" s="8">
        <f>IF($B149="","",IFERROR(INDEX(PM_Brand,MATCH($B149,PM_ID,0)),""))</f>
        <v/>
      </c>
      <c r="G149" s="8">
        <f>IF($B149="","",IFERROR(INDEX(PM_Model,MATCH($B149,PM_ID,0)),""))</f>
        <v/>
      </c>
      <c r="H149" s="5" t="n"/>
      <c r="I149" s="10" t="n"/>
      <c r="J149" s="9" t="n"/>
      <c r="K149" s="5" t="n"/>
      <c r="L149" s="5" t="n"/>
      <c r="M149" s="5" t="n"/>
      <c r="N149" s="5" t="n"/>
      <c r="O149" s="8">
        <f>IF($B149="","",IF(AND($A149&lt;&gt;"",COUNTIF(INV_ID,$A149)&gt;1),"⚠ this Unit ID already exists",IF(AND($H149&lt;&gt;"",COUNTIF(INV_Serial,$H149)&gt;1),"⚠ this serial already exists",IF(COUNTIFS(INV_Product,$B149,INV_No,$C149)&gt;1,"⚠ piece number reused",""))))</f>
        <v/>
      </c>
      <c r="P149" s="5" t="n"/>
    </row>
    <row r="150">
      <c r="A150" s="8">
        <f>IF(OR($B150="",$C150=""),"",IFERROR(INDEX(PM_Short,MATCH($B150,PM_ID,0))&amp;"-"&amp;TEXT($C150,"00"),"?? no such product"))</f>
        <v/>
      </c>
      <c r="B150" s="5" t="n"/>
      <c r="C150" s="5" t="n"/>
      <c r="D150" s="8">
        <f>IF($B150="","",IFERROR(INDEX(PM_Category,MATCH($B150,PM_ID,0)),""))</f>
        <v/>
      </c>
      <c r="E150" s="8">
        <f>IF($B150="","",IFERROR(INDEX(PM_Subcategory,MATCH($B150,PM_ID,0)),""))</f>
        <v/>
      </c>
      <c r="F150" s="8">
        <f>IF($B150="","",IFERROR(INDEX(PM_Brand,MATCH($B150,PM_ID,0)),""))</f>
        <v/>
      </c>
      <c r="G150" s="8">
        <f>IF($B150="","",IFERROR(INDEX(PM_Model,MATCH($B150,PM_ID,0)),""))</f>
        <v/>
      </c>
      <c r="H150" s="5" t="n"/>
      <c r="I150" s="10" t="n"/>
      <c r="J150" s="9" t="n"/>
      <c r="K150" s="5" t="n"/>
      <c r="L150" s="5" t="n"/>
      <c r="M150" s="5" t="n"/>
      <c r="N150" s="5" t="n"/>
      <c r="O150" s="8">
        <f>IF($B150="","",IF(AND($A150&lt;&gt;"",COUNTIF(INV_ID,$A150)&gt;1),"⚠ this Unit ID already exists",IF(AND($H150&lt;&gt;"",COUNTIF(INV_Serial,$H150)&gt;1),"⚠ this serial already exists",IF(COUNTIFS(INV_Product,$B150,INV_No,$C150)&gt;1,"⚠ piece number reused",""))))</f>
        <v/>
      </c>
      <c r="P150" s="5" t="n"/>
    </row>
    <row r="151">
      <c r="A151" s="8">
        <f>IF(OR($B151="",$C151=""),"",IFERROR(INDEX(PM_Short,MATCH($B151,PM_ID,0))&amp;"-"&amp;TEXT($C151,"00"),"?? no such product"))</f>
        <v/>
      </c>
      <c r="B151" s="5" t="n"/>
      <c r="C151" s="5" t="n"/>
      <c r="D151" s="8">
        <f>IF($B151="","",IFERROR(INDEX(PM_Category,MATCH($B151,PM_ID,0)),""))</f>
        <v/>
      </c>
      <c r="E151" s="8">
        <f>IF($B151="","",IFERROR(INDEX(PM_Subcategory,MATCH($B151,PM_ID,0)),""))</f>
        <v/>
      </c>
      <c r="F151" s="8">
        <f>IF($B151="","",IFERROR(INDEX(PM_Brand,MATCH($B151,PM_ID,0)),""))</f>
        <v/>
      </c>
      <c r="G151" s="8">
        <f>IF($B151="","",IFERROR(INDEX(PM_Model,MATCH($B151,PM_ID,0)),""))</f>
        <v/>
      </c>
      <c r="H151" s="5" t="n"/>
      <c r="I151" s="10" t="n"/>
      <c r="J151" s="9" t="n"/>
      <c r="K151" s="5" t="n"/>
      <c r="L151" s="5" t="n"/>
      <c r="M151" s="5" t="n"/>
      <c r="N151" s="5" t="n"/>
      <c r="O151" s="8">
        <f>IF($B151="","",IF(AND($A151&lt;&gt;"",COUNTIF(INV_ID,$A151)&gt;1),"⚠ this Unit ID already exists",IF(AND($H151&lt;&gt;"",COUNTIF(INV_Serial,$H151)&gt;1),"⚠ this serial already exists",IF(COUNTIFS(INV_Product,$B151,INV_No,$C151)&gt;1,"⚠ piece number reused",""))))</f>
        <v/>
      </c>
      <c r="P151" s="5" t="n"/>
    </row>
    <row r="152">
      <c r="A152" s="8">
        <f>IF(OR($B152="",$C152=""),"",IFERROR(INDEX(PM_Short,MATCH($B152,PM_ID,0))&amp;"-"&amp;TEXT($C152,"00"),"?? no such product"))</f>
        <v/>
      </c>
      <c r="B152" s="5" t="n"/>
      <c r="C152" s="5" t="n"/>
      <c r="D152" s="8">
        <f>IF($B152="","",IFERROR(INDEX(PM_Category,MATCH($B152,PM_ID,0)),""))</f>
        <v/>
      </c>
      <c r="E152" s="8">
        <f>IF($B152="","",IFERROR(INDEX(PM_Subcategory,MATCH($B152,PM_ID,0)),""))</f>
        <v/>
      </c>
      <c r="F152" s="8">
        <f>IF($B152="","",IFERROR(INDEX(PM_Brand,MATCH($B152,PM_ID,0)),""))</f>
        <v/>
      </c>
      <c r="G152" s="8">
        <f>IF($B152="","",IFERROR(INDEX(PM_Model,MATCH($B152,PM_ID,0)),""))</f>
        <v/>
      </c>
      <c r="H152" s="5" t="n"/>
      <c r="I152" s="10" t="n"/>
      <c r="J152" s="9" t="n"/>
      <c r="K152" s="5" t="n"/>
      <c r="L152" s="5" t="n"/>
      <c r="M152" s="5" t="n"/>
      <c r="N152" s="5" t="n"/>
      <c r="O152" s="8">
        <f>IF($B152="","",IF(AND($A152&lt;&gt;"",COUNTIF(INV_ID,$A152)&gt;1),"⚠ this Unit ID already exists",IF(AND($H152&lt;&gt;"",COUNTIF(INV_Serial,$H152)&gt;1),"⚠ this serial already exists",IF(COUNTIFS(INV_Product,$B152,INV_No,$C152)&gt;1,"⚠ piece number reused",""))))</f>
        <v/>
      </c>
      <c r="P152" s="5" t="n"/>
    </row>
    <row r="153">
      <c r="A153" s="8">
        <f>IF(OR($B153="",$C153=""),"",IFERROR(INDEX(PM_Short,MATCH($B153,PM_ID,0))&amp;"-"&amp;TEXT($C153,"00"),"?? no such product"))</f>
        <v/>
      </c>
      <c r="B153" s="5" t="n"/>
      <c r="C153" s="5" t="n"/>
      <c r="D153" s="8">
        <f>IF($B153="","",IFERROR(INDEX(PM_Category,MATCH($B153,PM_ID,0)),""))</f>
        <v/>
      </c>
      <c r="E153" s="8">
        <f>IF($B153="","",IFERROR(INDEX(PM_Subcategory,MATCH($B153,PM_ID,0)),""))</f>
        <v/>
      </c>
      <c r="F153" s="8">
        <f>IF($B153="","",IFERROR(INDEX(PM_Brand,MATCH($B153,PM_ID,0)),""))</f>
        <v/>
      </c>
      <c r="G153" s="8">
        <f>IF($B153="","",IFERROR(INDEX(PM_Model,MATCH($B153,PM_ID,0)),""))</f>
        <v/>
      </c>
      <c r="H153" s="5" t="n"/>
      <c r="I153" s="10" t="n"/>
      <c r="J153" s="9" t="n"/>
      <c r="K153" s="5" t="n"/>
      <c r="L153" s="5" t="n"/>
      <c r="M153" s="5" t="n"/>
      <c r="N153" s="5" t="n"/>
      <c r="O153" s="8">
        <f>IF($B153="","",IF(AND($A153&lt;&gt;"",COUNTIF(INV_ID,$A153)&gt;1),"⚠ this Unit ID already exists",IF(AND($H153&lt;&gt;"",COUNTIF(INV_Serial,$H153)&gt;1),"⚠ this serial already exists",IF(COUNTIFS(INV_Product,$B153,INV_No,$C153)&gt;1,"⚠ piece number reused",""))))</f>
        <v/>
      </c>
      <c r="P153" s="5" t="n"/>
    </row>
    <row r="154">
      <c r="A154" s="8">
        <f>IF(OR($B154="",$C154=""),"",IFERROR(INDEX(PM_Short,MATCH($B154,PM_ID,0))&amp;"-"&amp;TEXT($C154,"00"),"?? no such product"))</f>
        <v/>
      </c>
      <c r="B154" s="5" t="n"/>
      <c r="C154" s="5" t="n"/>
      <c r="D154" s="8">
        <f>IF($B154="","",IFERROR(INDEX(PM_Category,MATCH($B154,PM_ID,0)),""))</f>
        <v/>
      </c>
      <c r="E154" s="8">
        <f>IF($B154="","",IFERROR(INDEX(PM_Subcategory,MATCH($B154,PM_ID,0)),""))</f>
        <v/>
      </c>
      <c r="F154" s="8">
        <f>IF($B154="","",IFERROR(INDEX(PM_Brand,MATCH($B154,PM_ID,0)),""))</f>
        <v/>
      </c>
      <c r="G154" s="8">
        <f>IF($B154="","",IFERROR(INDEX(PM_Model,MATCH($B154,PM_ID,0)),""))</f>
        <v/>
      </c>
      <c r="H154" s="5" t="n"/>
      <c r="I154" s="10" t="n"/>
      <c r="J154" s="9" t="n"/>
      <c r="K154" s="5" t="n"/>
      <c r="L154" s="5" t="n"/>
      <c r="M154" s="5" t="n"/>
      <c r="N154" s="5" t="n"/>
      <c r="O154" s="8">
        <f>IF($B154="","",IF(AND($A154&lt;&gt;"",COUNTIF(INV_ID,$A154)&gt;1),"⚠ this Unit ID already exists",IF(AND($H154&lt;&gt;"",COUNTIF(INV_Serial,$H154)&gt;1),"⚠ this serial already exists",IF(COUNTIFS(INV_Product,$B154,INV_No,$C154)&gt;1,"⚠ piece number reused",""))))</f>
        <v/>
      </c>
      <c r="P154" s="5" t="n"/>
    </row>
    <row r="155">
      <c r="A155" s="8">
        <f>IF(OR($B155="",$C155=""),"",IFERROR(INDEX(PM_Short,MATCH($B155,PM_ID,0))&amp;"-"&amp;TEXT($C155,"00"),"?? no such product"))</f>
        <v/>
      </c>
      <c r="B155" s="5" t="n"/>
      <c r="C155" s="5" t="n"/>
      <c r="D155" s="8">
        <f>IF($B155="","",IFERROR(INDEX(PM_Category,MATCH($B155,PM_ID,0)),""))</f>
        <v/>
      </c>
      <c r="E155" s="8">
        <f>IF($B155="","",IFERROR(INDEX(PM_Subcategory,MATCH($B155,PM_ID,0)),""))</f>
        <v/>
      </c>
      <c r="F155" s="8">
        <f>IF($B155="","",IFERROR(INDEX(PM_Brand,MATCH($B155,PM_ID,0)),""))</f>
        <v/>
      </c>
      <c r="G155" s="8">
        <f>IF($B155="","",IFERROR(INDEX(PM_Model,MATCH($B155,PM_ID,0)),""))</f>
        <v/>
      </c>
      <c r="H155" s="5" t="n"/>
      <c r="I155" s="10" t="n"/>
      <c r="J155" s="9" t="n"/>
      <c r="K155" s="5" t="n"/>
      <c r="L155" s="5" t="n"/>
      <c r="M155" s="5" t="n"/>
      <c r="N155" s="5" t="n"/>
      <c r="O155" s="8">
        <f>IF($B155="","",IF(AND($A155&lt;&gt;"",COUNTIF(INV_ID,$A155)&gt;1),"⚠ this Unit ID already exists",IF(AND($H155&lt;&gt;"",COUNTIF(INV_Serial,$H155)&gt;1),"⚠ this serial already exists",IF(COUNTIFS(INV_Product,$B155,INV_No,$C155)&gt;1,"⚠ piece number reused",""))))</f>
        <v/>
      </c>
      <c r="P155" s="5" t="n"/>
    </row>
    <row r="156">
      <c r="A156" s="8">
        <f>IF(OR($B156="",$C156=""),"",IFERROR(INDEX(PM_Short,MATCH($B156,PM_ID,0))&amp;"-"&amp;TEXT($C156,"00"),"?? no such product"))</f>
        <v/>
      </c>
      <c r="B156" s="5" t="n"/>
      <c r="C156" s="5" t="n"/>
      <c r="D156" s="8">
        <f>IF($B156="","",IFERROR(INDEX(PM_Category,MATCH($B156,PM_ID,0)),""))</f>
        <v/>
      </c>
      <c r="E156" s="8">
        <f>IF($B156="","",IFERROR(INDEX(PM_Subcategory,MATCH($B156,PM_ID,0)),""))</f>
        <v/>
      </c>
      <c r="F156" s="8">
        <f>IF($B156="","",IFERROR(INDEX(PM_Brand,MATCH($B156,PM_ID,0)),""))</f>
        <v/>
      </c>
      <c r="G156" s="8">
        <f>IF($B156="","",IFERROR(INDEX(PM_Model,MATCH($B156,PM_ID,0)),""))</f>
        <v/>
      </c>
      <c r="H156" s="5" t="n"/>
      <c r="I156" s="10" t="n"/>
      <c r="J156" s="9" t="n"/>
      <c r="K156" s="5" t="n"/>
      <c r="L156" s="5" t="n"/>
      <c r="M156" s="5" t="n"/>
      <c r="N156" s="5" t="n"/>
      <c r="O156" s="8">
        <f>IF($B156="","",IF(AND($A156&lt;&gt;"",COUNTIF(INV_ID,$A156)&gt;1),"⚠ this Unit ID already exists",IF(AND($H156&lt;&gt;"",COUNTIF(INV_Serial,$H156)&gt;1),"⚠ this serial already exists",IF(COUNTIFS(INV_Product,$B156,INV_No,$C156)&gt;1,"⚠ piece number reused",""))))</f>
        <v/>
      </c>
      <c r="P156" s="5" t="n"/>
    </row>
    <row r="157">
      <c r="A157" s="8">
        <f>IF(OR($B157="",$C157=""),"",IFERROR(INDEX(PM_Short,MATCH($B157,PM_ID,0))&amp;"-"&amp;TEXT($C157,"00"),"?? no such product"))</f>
        <v/>
      </c>
      <c r="B157" s="5" t="n"/>
      <c r="C157" s="5" t="n"/>
      <c r="D157" s="8">
        <f>IF($B157="","",IFERROR(INDEX(PM_Category,MATCH($B157,PM_ID,0)),""))</f>
        <v/>
      </c>
      <c r="E157" s="8">
        <f>IF($B157="","",IFERROR(INDEX(PM_Subcategory,MATCH($B157,PM_ID,0)),""))</f>
        <v/>
      </c>
      <c r="F157" s="8">
        <f>IF($B157="","",IFERROR(INDEX(PM_Brand,MATCH($B157,PM_ID,0)),""))</f>
        <v/>
      </c>
      <c r="G157" s="8">
        <f>IF($B157="","",IFERROR(INDEX(PM_Model,MATCH($B157,PM_ID,0)),""))</f>
        <v/>
      </c>
      <c r="H157" s="5" t="n"/>
      <c r="I157" s="10" t="n"/>
      <c r="J157" s="9" t="n"/>
      <c r="K157" s="5" t="n"/>
      <c r="L157" s="5" t="n"/>
      <c r="M157" s="5" t="n"/>
      <c r="N157" s="5" t="n"/>
      <c r="O157" s="8">
        <f>IF($B157="","",IF(AND($A157&lt;&gt;"",COUNTIF(INV_ID,$A157)&gt;1),"⚠ this Unit ID already exists",IF(AND($H157&lt;&gt;"",COUNTIF(INV_Serial,$H157)&gt;1),"⚠ this serial already exists",IF(COUNTIFS(INV_Product,$B157,INV_No,$C157)&gt;1,"⚠ piece number reused",""))))</f>
        <v/>
      </c>
      <c r="P157" s="5" t="n"/>
    </row>
    <row r="158">
      <c r="A158" s="8">
        <f>IF(OR($B158="",$C158=""),"",IFERROR(INDEX(PM_Short,MATCH($B158,PM_ID,0))&amp;"-"&amp;TEXT($C158,"00"),"?? no such product"))</f>
        <v/>
      </c>
      <c r="B158" s="5" t="n"/>
      <c r="C158" s="5" t="n"/>
      <c r="D158" s="8">
        <f>IF($B158="","",IFERROR(INDEX(PM_Category,MATCH($B158,PM_ID,0)),""))</f>
        <v/>
      </c>
      <c r="E158" s="8">
        <f>IF($B158="","",IFERROR(INDEX(PM_Subcategory,MATCH($B158,PM_ID,0)),""))</f>
        <v/>
      </c>
      <c r="F158" s="8">
        <f>IF($B158="","",IFERROR(INDEX(PM_Brand,MATCH($B158,PM_ID,0)),""))</f>
        <v/>
      </c>
      <c r="G158" s="8">
        <f>IF($B158="","",IFERROR(INDEX(PM_Model,MATCH($B158,PM_ID,0)),""))</f>
        <v/>
      </c>
      <c r="H158" s="5" t="n"/>
      <c r="I158" s="10" t="n"/>
      <c r="J158" s="9" t="n"/>
      <c r="K158" s="5" t="n"/>
      <c r="L158" s="5" t="n"/>
      <c r="M158" s="5" t="n"/>
      <c r="N158" s="5" t="n"/>
      <c r="O158" s="8">
        <f>IF($B158="","",IF(AND($A158&lt;&gt;"",COUNTIF(INV_ID,$A158)&gt;1),"⚠ this Unit ID already exists",IF(AND($H158&lt;&gt;"",COUNTIF(INV_Serial,$H158)&gt;1),"⚠ this serial already exists",IF(COUNTIFS(INV_Product,$B158,INV_No,$C158)&gt;1,"⚠ piece number reused",""))))</f>
        <v/>
      </c>
      <c r="P158" s="5" t="n"/>
    </row>
    <row r="159">
      <c r="A159" s="8">
        <f>IF(OR($B159="",$C159=""),"",IFERROR(INDEX(PM_Short,MATCH($B159,PM_ID,0))&amp;"-"&amp;TEXT($C159,"00"),"?? no such product"))</f>
        <v/>
      </c>
      <c r="B159" s="5" t="n"/>
      <c r="C159" s="5" t="n"/>
      <c r="D159" s="8">
        <f>IF($B159="","",IFERROR(INDEX(PM_Category,MATCH($B159,PM_ID,0)),""))</f>
        <v/>
      </c>
      <c r="E159" s="8">
        <f>IF($B159="","",IFERROR(INDEX(PM_Subcategory,MATCH($B159,PM_ID,0)),""))</f>
        <v/>
      </c>
      <c r="F159" s="8">
        <f>IF($B159="","",IFERROR(INDEX(PM_Brand,MATCH($B159,PM_ID,0)),""))</f>
        <v/>
      </c>
      <c r="G159" s="8">
        <f>IF($B159="","",IFERROR(INDEX(PM_Model,MATCH($B159,PM_ID,0)),""))</f>
        <v/>
      </c>
      <c r="H159" s="5" t="n"/>
      <c r="I159" s="10" t="n"/>
      <c r="J159" s="9" t="n"/>
      <c r="K159" s="5" t="n"/>
      <c r="L159" s="5" t="n"/>
      <c r="M159" s="5" t="n"/>
      <c r="N159" s="5" t="n"/>
      <c r="O159" s="8">
        <f>IF($B159="","",IF(AND($A159&lt;&gt;"",COUNTIF(INV_ID,$A159)&gt;1),"⚠ this Unit ID already exists",IF(AND($H159&lt;&gt;"",COUNTIF(INV_Serial,$H159)&gt;1),"⚠ this serial already exists",IF(COUNTIFS(INV_Product,$B159,INV_No,$C159)&gt;1,"⚠ piece number reused",""))))</f>
        <v/>
      </c>
      <c r="P159" s="5" t="n"/>
    </row>
    <row r="160">
      <c r="A160" s="8">
        <f>IF(OR($B160="",$C160=""),"",IFERROR(INDEX(PM_Short,MATCH($B160,PM_ID,0))&amp;"-"&amp;TEXT($C160,"00"),"?? no such product"))</f>
        <v/>
      </c>
      <c r="B160" s="5" t="n"/>
      <c r="C160" s="5" t="n"/>
      <c r="D160" s="8">
        <f>IF($B160="","",IFERROR(INDEX(PM_Category,MATCH($B160,PM_ID,0)),""))</f>
        <v/>
      </c>
      <c r="E160" s="8">
        <f>IF($B160="","",IFERROR(INDEX(PM_Subcategory,MATCH($B160,PM_ID,0)),""))</f>
        <v/>
      </c>
      <c r="F160" s="8">
        <f>IF($B160="","",IFERROR(INDEX(PM_Brand,MATCH($B160,PM_ID,0)),""))</f>
        <v/>
      </c>
      <c r="G160" s="8">
        <f>IF($B160="","",IFERROR(INDEX(PM_Model,MATCH($B160,PM_ID,0)),""))</f>
        <v/>
      </c>
      <c r="H160" s="5" t="n"/>
      <c r="I160" s="10" t="n"/>
      <c r="J160" s="9" t="n"/>
      <c r="K160" s="5" t="n"/>
      <c r="L160" s="5" t="n"/>
      <c r="M160" s="5" t="n"/>
      <c r="N160" s="5" t="n"/>
      <c r="O160" s="8">
        <f>IF($B160="","",IF(AND($A160&lt;&gt;"",COUNTIF(INV_ID,$A160)&gt;1),"⚠ this Unit ID already exists",IF(AND($H160&lt;&gt;"",COUNTIF(INV_Serial,$H160)&gt;1),"⚠ this serial already exists",IF(COUNTIFS(INV_Product,$B160,INV_No,$C160)&gt;1,"⚠ piece number reused",""))))</f>
        <v/>
      </c>
      <c r="P160" s="5" t="n"/>
    </row>
    <row r="161">
      <c r="A161" s="8">
        <f>IF(OR($B161="",$C161=""),"",IFERROR(INDEX(PM_Short,MATCH($B161,PM_ID,0))&amp;"-"&amp;TEXT($C161,"00"),"?? no such product"))</f>
        <v/>
      </c>
      <c r="B161" s="5" t="n"/>
      <c r="C161" s="5" t="n"/>
      <c r="D161" s="8">
        <f>IF($B161="","",IFERROR(INDEX(PM_Category,MATCH($B161,PM_ID,0)),""))</f>
        <v/>
      </c>
      <c r="E161" s="8">
        <f>IF($B161="","",IFERROR(INDEX(PM_Subcategory,MATCH($B161,PM_ID,0)),""))</f>
        <v/>
      </c>
      <c r="F161" s="8">
        <f>IF($B161="","",IFERROR(INDEX(PM_Brand,MATCH($B161,PM_ID,0)),""))</f>
        <v/>
      </c>
      <c r="G161" s="8">
        <f>IF($B161="","",IFERROR(INDEX(PM_Model,MATCH($B161,PM_ID,0)),""))</f>
        <v/>
      </c>
      <c r="H161" s="5" t="n"/>
      <c r="I161" s="10" t="n"/>
      <c r="J161" s="9" t="n"/>
      <c r="K161" s="5" t="n"/>
      <c r="L161" s="5" t="n"/>
      <c r="M161" s="5" t="n"/>
      <c r="N161" s="5" t="n"/>
      <c r="O161" s="8">
        <f>IF($B161="","",IF(AND($A161&lt;&gt;"",COUNTIF(INV_ID,$A161)&gt;1),"⚠ this Unit ID already exists",IF(AND($H161&lt;&gt;"",COUNTIF(INV_Serial,$H161)&gt;1),"⚠ this serial already exists",IF(COUNTIFS(INV_Product,$B161,INV_No,$C161)&gt;1,"⚠ piece number reused",""))))</f>
        <v/>
      </c>
      <c r="P161" s="5" t="n"/>
    </row>
    <row r="162">
      <c r="A162" s="8">
        <f>IF(OR($B162="",$C162=""),"",IFERROR(INDEX(PM_Short,MATCH($B162,PM_ID,0))&amp;"-"&amp;TEXT($C162,"00"),"?? no such product"))</f>
        <v/>
      </c>
      <c r="B162" s="5" t="n"/>
      <c r="C162" s="5" t="n"/>
      <c r="D162" s="8">
        <f>IF($B162="","",IFERROR(INDEX(PM_Category,MATCH($B162,PM_ID,0)),""))</f>
        <v/>
      </c>
      <c r="E162" s="8">
        <f>IF($B162="","",IFERROR(INDEX(PM_Subcategory,MATCH($B162,PM_ID,0)),""))</f>
        <v/>
      </c>
      <c r="F162" s="8">
        <f>IF($B162="","",IFERROR(INDEX(PM_Brand,MATCH($B162,PM_ID,0)),""))</f>
        <v/>
      </c>
      <c r="G162" s="8">
        <f>IF($B162="","",IFERROR(INDEX(PM_Model,MATCH($B162,PM_ID,0)),""))</f>
        <v/>
      </c>
      <c r="H162" s="5" t="n"/>
      <c r="I162" s="10" t="n"/>
      <c r="J162" s="9" t="n"/>
      <c r="K162" s="5" t="n"/>
      <c r="L162" s="5" t="n"/>
      <c r="M162" s="5" t="n"/>
      <c r="N162" s="5" t="n"/>
      <c r="O162" s="8">
        <f>IF($B162="","",IF(AND($A162&lt;&gt;"",COUNTIF(INV_ID,$A162)&gt;1),"⚠ this Unit ID already exists",IF(AND($H162&lt;&gt;"",COUNTIF(INV_Serial,$H162)&gt;1),"⚠ this serial already exists",IF(COUNTIFS(INV_Product,$B162,INV_No,$C162)&gt;1,"⚠ piece number reused",""))))</f>
        <v/>
      </c>
      <c r="P162" s="5" t="n"/>
    </row>
    <row r="163">
      <c r="A163" s="8">
        <f>IF(OR($B163="",$C163=""),"",IFERROR(INDEX(PM_Short,MATCH($B163,PM_ID,0))&amp;"-"&amp;TEXT($C163,"00"),"?? no such product"))</f>
        <v/>
      </c>
      <c r="B163" s="5" t="n"/>
      <c r="C163" s="5" t="n"/>
      <c r="D163" s="8">
        <f>IF($B163="","",IFERROR(INDEX(PM_Category,MATCH($B163,PM_ID,0)),""))</f>
        <v/>
      </c>
      <c r="E163" s="8">
        <f>IF($B163="","",IFERROR(INDEX(PM_Subcategory,MATCH($B163,PM_ID,0)),""))</f>
        <v/>
      </c>
      <c r="F163" s="8">
        <f>IF($B163="","",IFERROR(INDEX(PM_Brand,MATCH($B163,PM_ID,0)),""))</f>
        <v/>
      </c>
      <c r="G163" s="8">
        <f>IF($B163="","",IFERROR(INDEX(PM_Model,MATCH($B163,PM_ID,0)),""))</f>
        <v/>
      </c>
      <c r="H163" s="5" t="n"/>
      <c r="I163" s="10" t="n"/>
      <c r="J163" s="9" t="n"/>
      <c r="K163" s="5" t="n"/>
      <c r="L163" s="5" t="n"/>
      <c r="M163" s="5" t="n"/>
      <c r="N163" s="5" t="n"/>
      <c r="O163" s="8">
        <f>IF($B163="","",IF(AND($A163&lt;&gt;"",COUNTIF(INV_ID,$A163)&gt;1),"⚠ this Unit ID already exists",IF(AND($H163&lt;&gt;"",COUNTIF(INV_Serial,$H163)&gt;1),"⚠ this serial already exists",IF(COUNTIFS(INV_Product,$B163,INV_No,$C163)&gt;1,"⚠ piece number reused",""))))</f>
        <v/>
      </c>
      <c r="P163" s="5" t="n"/>
    </row>
    <row r="164">
      <c r="A164" s="8">
        <f>IF(OR($B164="",$C164=""),"",IFERROR(INDEX(PM_Short,MATCH($B164,PM_ID,0))&amp;"-"&amp;TEXT($C164,"00"),"?? no such product"))</f>
        <v/>
      </c>
      <c r="B164" s="5" t="n"/>
      <c r="C164" s="5" t="n"/>
      <c r="D164" s="8">
        <f>IF($B164="","",IFERROR(INDEX(PM_Category,MATCH($B164,PM_ID,0)),""))</f>
        <v/>
      </c>
      <c r="E164" s="8">
        <f>IF($B164="","",IFERROR(INDEX(PM_Subcategory,MATCH($B164,PM_ID,0)),""))</f>
        <v/>
      </c>
      <c r="F164" s="8">
        <f>IF($B164="","",IFERROR(INDEX(PM_Brand,MATCH($B164,PM_ID,0)),""))</f>
        <v/>
      </c>
      <c r="G164" s="8">
        <f>IF($B164="","",IFERROR(INDEX(PM_Model,MATCH($B164,PM_ID,0)),""))</f>
        <v/>
      </c>
      <c r="H164" s="5" t="n"/>
      <c r="I164" s="10" t="n"/>
      <c r="J164" s="9" t="n"/>
      <c r="K164" s="5" t="n"/>
      <c r="L164" s="5" t="n"/>
      <c r="M164" s="5" t="n"/>
      <c r="N164" s="5" t="n"/>
      <c r="O164" s="8">
        <f>IF($B164="","",IF(AND($A164&lt;&gt;"",COUNTIF(INV_ID,$A164)&gt;1),"⚠ this Unit ID already exists",IF(AND($H164&lt;&gt;"",COUNTIF(INV_Serial,$H164)&gt;1),"⚠ this serial already exists",IF(COUNTIFS(INV_Product,$B164,INV_No,$C164)&gt;1,"⚠ piece number reused",""))))</f>
        <v/>
      </c>
      <c r="P164" s="5" t="n"/>
    </row>
    <row r="165">
      <c r="A165" s="8">
        <f>IF(OR($B165="",$C165=""),"",IFERROR(INDEX(PM_Short,MATCH($B165,PM_ID,0))&amp;"-"&amp;TEXT($C165,"00"),"?? no such product"))</f>
        <v/>
      </c>
      <c r="B165" s="5" t="n"/>
      <c r="C165" s="5" t="n"/>
      <c r="D165" s="8">
        <f>IF($B165="","",IFERROR(INDEX(PM_Category,MATCH($B165,PM_ID,0)),""))</f>
        <v/>
      </c>
      <c r="E165" s="8">
        <f>IF($B165="","",IFERROR(INDEX(PM_Subcategory,MATCH($B165,PM_ID,0)),""))</f>
        <v/>
      </c>
      <c r="F165" s="8">
        <f>IF($B165="","",IFERROR(INDEX(PM_Brand,MATCH($B165,PM_ID,0)),""))</f>
        <v/>
      </c>
      <c r="G165" s="8">
        <f>IF($B165="","",IFERROR(INDEX(PM_Model,MATCH($B165,PM_ID,0)),""))</f>
        <v/>
      </c>
      <c r="H165" s="5" t="n"/>
      <c r="I165" s="10" t="n"/>
      <c r="J165" s="9" t="n"/>
      <c r="K165" s="5" t="n"/>
      <c r="L165" s="5" t="n"/>
      <c r="M165" s="5" t="n"/>
      <c r="N165" s="5" t="n"/>
      <c r="O165" s="8">
        <f>IF($B165="","",IF(AND($A165&lt;&gt;"",COUNTIF(INV_ID,$A165)&gt;1),"⚠ this Unit ID already exists",IF(AND($H165&lt;&gt;"",COUNTIF(INV_Serial,$H165)&gt;1),"⚠ this serial already exists",IF(COUNTIFS(INV_Product,$B165,INV_No,$C165)&gt;1,"⚠ piece number reused",""))))</f>
        <v/>
      </c>
      <c r="P165" s="5" t="n"/>
    </row>
    <row r="166">
      <c r="A166" s="8">
        <f>IF(OR($B166="",$C166=""),"",IFERROR(INDEX(PM_Short,MATCH($B166,PM_ID,0))&amp;"-"&amp;TEXT($C166,"00"),"?? no such product"))</f>
        <v/>
      </c>
      <c r="B166" s="5" t="n"/>
      <c r="C166" s="5" t="n"/>
      <c r="D166" s="8">
        <f>IF($B166="","",IFERROR(INDEX(PM_Category,MATCH($B166,PM_ID,0)),""))</f>
        <v/>
      </c>
      <c r="E166" s="8">
        <f>IF($B166="","",IFERROR(INDEX(PM_Subcategory,MATCH($B166,PM_ID,0)),""))</f>
        <v/>
      </c>
      <c r="F166" s="8">
        <f>IF($B166="","",IFERROR(INDEX(PM_Brand,MATCH($B166,PM_ID,0)),""))</f>
        <v/>
      </c>
      <c r="G166" s="8">
        <f>IF($B166="","",IFERROR(INDEX(PM_Model,MATCH($B166,PM_ID,0)),""))</f>
        <v/>
      </c>
      <c r="H166" s="5" t="n"/>
      <c r="I166" s="10" t="n"/>
      <c r="J166" s="9" t="n"/>
      <c r="K166" s="5" t="n"/>
      <c r="L166" s="5" t="n"/>
      <c r="M166" s="5" t="n"/>
      <c r="N166" s="5" t="n"/>
      <c r="O166" s="8">
        <f>IF($B166="","",IF(AND($A166&lt;&gt;"",COUNTIF(INV_ID,$A166)&gt;1),"⚠ this Unit ID already exists",IF(AND($H166&lt;&gt;"",COUNTIF(INV_Serial,$H166)&gt;1),"⚠ this serial already exists",IF(COUNTIFS(INV_Product,$B166,INV_No,$C166)&gt;1,"⚠ piece number reused",""))))</f>
        <v/>
      </c>
      <c r="P166" s="5" t="n"/>
    </row>
    <row r="167">
      <c r="A167" s="8">
        <f>IF(OR($B167="",$C167=""),"",IFERROR(INDEX(PM_Short,MATCH($B167,PM_ID,0))&amp;"-"&amp;TEXT($C167,"00"),"?? no such product"))</f>
        <v/>
      </c>
      <c r="B167" s="5" t="n"/>
      <c r="C167" s="5" t="n"/>
      <c r="D167" s="8">
        <f>IF($B167="","",IFERROR(INDEX(PM_Category,MATCH($B167,PM_ID,0)),""))</f>
        <v/>
      </c>
      <c r="E167" s="8">
        <f>IF($B167="","",IFERROR(INDEX(PM_Subcategory,MATCH($B167,PM_ID,0)),""))</f>
        <v/>
      </c>
      <c r="F167" s="8">
        <f>IF($B167="","",IFERROR(INDEX(PM_Brand,MATCH($B167,PM_ID,0)),""))</f>
        <v/>
      </c>
      <c r="G167" s="8">
        <f>IF($B167="","",IFERROR(INDEX(PM_Model,MATCH($B167,PM_ID,0)),""))</f>
        <v/>
      </c>
      <c r="H167" s="5" t="n"/>
      <c r="I167" s="10" t="n"/>
      <c r="J167" s="9" t="n"/>
      <c r="K167" s="5" t="n"/>
      <c r="L167" s="5" t="n"/>
      <c r="M167" s="5" t="n"/>
      <c r="N167" s="5" t="n"/>
      <c r="O167" s="8">
        <f>IF($B167="","",IF(AND($A167&lt;&gt;"",COUNTIF(INV_ID,$A167)&gt;1),"⚠ this Unit ID already exists",IF(AND($H167&lt;&gt;"",COUNTIF(INV_Serial,$H167)&gt;1),"⚠ this serial already exists",IF(COUNTIFS(INV_Product,$B167,INV_No,$C167)&gt;1,"⚠ piece number reused",""))))</f>
        <v/>
      </c>
      <c r="P167" s="5" t="n"/>
    </row>
    <row r="168">
      <c r="A168" s="8">
        <f>IF(OR($B168="",$C168=""),"",IFERROR(INDEX(PM_Short,MATCH($B168,PM_ID,0))&amp;"-"&amp;TEXT($C168,"00"),"?? no such product"))</f>
        <v/>
      </c>
      <c r="B168" s="5" t="n"/>
      <c r="C168" s="5" t="n"/>
      <c r="D168" s="8">
        <f>IF($B168="","",IFERROR(INDEX(PM_Category,MATCH($B168,PM_ID,0)),""))</f>
        <v/>
      </c>
      <c r="E168" s="8">
        <f>IF($B168="","",IFERROR(INDEX(PM_Subcategory,MATCH($B168,PM_ID,0)),""))</f>
        <v/>
      </c>
      <c r="F168" s="8">
        <f>IF($B168="","",IFERROR(INDEX(PM_Brand,MATCH($B168,PM_ID,0)),""))</f>
        <v/>
      </c>
      <c r="G168" s="8">
        <f>IF($B168="","",IFERROR(INDEX(PM_Model,MATCH($B168,PM_ID,0)),""))</f>
        <v/>
      </c>
      <c r="H168" s="5" t="n"/>
      <c r="I168" s="10" t="n"/>
      <c r="J168" s="9" t="n"/>
      <c r="K168" s="5" t="n"/>
      <c r="L168" s="5" t="n"/>
      <c r="M168" s="5" t="n"/>
      <c r="N168" s="5" t="n"/>
      <c r="O168" s="8">
        <f>IF($B168="","",IF(AND($A168&lt;&gt;"",COUNTIF(INV_ID,$A168)&gt;1),"⚠ this Unit ID already exists",IF(AND($H168&lt;&gt;"",COUNTIF(INV_Serial,$H168)&gt;1),"⚠ this serial already exists",IF(COUNTIFS(INV_Product,$B168,INV_No,$C168)&gt;1,"⚠ piece number reused",""))))</f>
        <v/>
      </c>
      <c r="P168" s="5" t="n"/>
    </row>
    <row r="169">
      <c r="A169" s="8">
        <f>IF(OR($B169="",$C169=""),"",IFERROR(INDEX(PM_Short,MATCH($B169,PM_ID,0))&amp;"-"&amp;TEXT($C169,"00"),"?? no such product"))</f>
        <v/>
      </c>
      <c r="B169" s="5" t="n"/>
      <c r="C169" s="5" t="n"/>
      <c r="D169" s="8">
        <f>IF($B169="","",IFERROR(INDEX(PM_Category,MATCH($B169,PM_ID,0)),""))</f>
        <v/>
      </c>
      <c r="E169" s="8">
        <f>IF($B169="","",IFERROR(INDEX(PM_Subcategory,MATCH($B169,PM_ID,0)),""))</f>
        <v/>
      </c>
      <c r="F169" s="8">
        <f>IF($B169="","",IFERROR(INDEX(PM_Brand,MATCH($B169,PM_ID,0)),""))</f>
        <v/>
      </c>
      <c r="G169" s="8">
        <f>IF($B169="","",IFERROR(INDEX(PM_Model,MATCH($B169,PM_ID,0)),""))</f>
        <v/>
      </c>
      <c r="H169" s="5" t="n"/>
      <c r="I169" s="10" t="n"/>
      <c r="J169" s="9" t="n"/>
      <c r="K169" s="5" t="n"/>
      <c r="L169" s="5" t="n"/>
      <c r="M169" s="5" t="n"/>
      <c r="N169" s="5" t="n"/>
      <c r="O169" s="8">
        <f>IF($B169="","",IF(AND($A169&lt;&gt;"",COUNTIF(INV_ID,$A169)&gt;1),"⚠ this Unit ID already exists",IF(AND($H169&lt;&gt;"",COUNTIF(INV_Serial,$H169)&gt;1),"⚠ this serial already exists",IF(COUNTIFS(INV_Product,$B169,INV_No,$C169)&gt;1,"⚠ piece number reused",""))))</f>
        <v/>
      </c>
      <c r="P169" s="5" t="n"/>
    </row>
    <row r="170">
      <c r="A170" s="8">
        <f>IF(OR($B170="",$C170=""),"",IFERROR(INDEX(PM_Short,MATCH($B170,PM_ID,0))&amp;"-"&amp;TEXT($C170,"00"),"?? no such product"))</f>
        <v/>
      </c>
      <c r="B170" s="5" t="n"/>
      <c r="C170" s="5" t="n"/>
      <c r="D170" s="8">
        <f>IF($B170="","",IFERROR(INDEX(PM_Category,MATCH($B170,PM_ID,0)),""))</f>
        <v/>
      </c>
      <c r="E170" s="8">
        <f>IF($B170="","",IFERROR(INDEX(PM_Subcategory,MATCH($B170,PM_ID,0)),""))</f>
        <v/>
      </c>
      <c r="F170" s="8">
        <f>IF($B170="","",IFERROR(INDEX(PM_Brand,MATCH($B170,PM_ID,0)),""))</f>
        <v/>
      </c>
      <c r="G170" s="8">
        <f>IF($B170="","",IFERROR(INDEX(PM_Model,MATCH($B170,PM_ID,0)),""))</f>
        <v/>
      </c>
      <c r="H170" s="5" t="n"/>
      <c r="I170" s="10" t="n"/>
      <c r="J170" s="9" t="n"/>
      <c r="K170" s="5" t="n"/>
      <c r="L170" s="5" t="n"/>
      <c r="M170" s="5" t="n"/>
      <c r="N170" s="5" t="n"/>
      <c r="O170" s="8">
        <f>IF($B170="","",IF(AND($A170&lt;&gt;"",COUNTIF(INV_ID,$A170)&gt;1),"⚠ this Unit ID already exists",IF(AND($H170&lt;&gt;"",COUNTIF(INV_Serial,$H170)&gt;1),"⚠ this serial already exists",IF(COUNTIFS(INV_Product,$B170,INV_No,$C170)&gt;1,"⚠ piece number reused",""))))</f>
        <v/>
      </c>
      <c r="P170" s="5" t="n"/>
    </row>
    <row r="171">
      <c r="A171" s="8">
        <f>IF(OR($B171="",$C171=""),"",IFERROR(INDEX(PM_Short,MATCH($B171,PM_ID,0))&amp;"-"&amp;TEXT($C171,"00"),"?? no such product"))</f>
        <v/>
      </c>
      <c r="B171" s="5" t="n"/>
      <c r="C171" s="5" t="n"/>
      <c r="D171" s="8">
        <f>IF($B171="","",IFERROR(INDEX(PM_Category,MATCH($B171,PM_ID,0)),""))</f>
        <v/>
      </c>
      <c r="E171" s="8">
        <f>IF($B171="","",IFERROR(INDEX(PM_Subcategory,MATCH($B171,PM_ID,0)),""))</f>
        <v/>
      </c>
      <c r="F171" s="8">
        <f>IF($B171="","",IFERROR(INDEX(PM_Brand,MATCH($B171,PM_ID,0)),""))</f>
        <v/>
      </c>
      <c r="G171" s="8">
        <f>IF($B171="","",IFERROR(INDEX(PM_Model,MATCH($B171,PM_ID,0)),""))</f>
        <v/>
      </c>
      <c r="H171" s="5" t="n"/>
      <c r="I171" s="10" t="n"/>
      <c r="J171" s="9" t="n"/>
      <c r="K171" s="5" t="n"/>
      <c r="L171" s="5" t="n"/>
      <c r="M171" s="5" t="n"/>
      <c r="N171" s="5" t="n"/>
      <c r="O171" s="8">
        <f>IF($B171="","",IF(AND($A171&lt;&gt;"",COUNTIF(INV_ID,$A171)&gt;1),"⚠ this Unit ID already exists",IF(AND($H171&lt;&gt;"",COUNTIF(INV_Serial,$H171)&gt;1),"⚠ this serial already exists",IF(COUNTIFS(INV_Product,$B171,INV_No,$C171)&gt;1,"⚠ piece number reused",""))))</f>
        <v/>
      </c>
      <c r="P171" s="5" t="n"/>
    </row>
    <row r="172">
      <c r="A172" s="8">
        <f>IF(OR($B172="",$C172=""),"",IFERROR(INDEX(PM_Short,MATCH($B172,PM_ID,0))&amp;"-"&amp;TEXT($C172,"00"),"?? no such product"))</f>
        <v/>
      </c>
      <c r="B172" s="5" t="n"/>
      <c r="C172" s="5" t="n"/>
      <c r="D172" s="8">
        <f>IF($B172="","",IFERROR(INDEX(PM_Category,MATCH($B172,PM_ID,0)),""))</f>
        <v/>
      </c>
      <c r="E172" s="8">
        <f>IF($B172="","",IFERROR(INDEX(PM_Subcategory,MATCH($B172,PM_ID,0)),""))</f>
        <v/>
      </c>
      <c r="F172" s="8">
        <f>IF($B172="","",IFERROR(INDEX(PM_Brand,MATCH($B172,PM_ID,0)),""))</f>
        <v/>
      </c>
      <c r="G172" s="8">
        <f>IF($B172="","",IFERROR(INDEX(PM_Model,MATCH($B172,PM_ID,0)),""))</f>
        <v/>
      </c>
      <c r="H172" s="5" t="n"/>
      <c r="I172" s="10" t="n"/>
      <c r="J172" s="9" t="n"/>
      <c r="K172" s="5" t="n"/>
      <c r="L172" s="5" t="n"/>
      <c r="M172" s="5" t="n"/>
      <c r="N172" s="5" t="n"/>
      <c r="O172" s="8">
        <f>IF($B172="","",IF(AND($A172&lt;&gt;"",COUNTIF(INV_ID,$A172)&gt;1),"⚠ this Unit ID already exists",IF(AND($H172&lt;&gt;"",COUNTIF(INV_Serial,$H172)&gt;1),"⚠ this serial already exists",IF(COUNTIFS(INV_Product,$B172,INV_No,$C172)&gt;1,"⚠ piece number reused",""))))</f>
        <v/>
      </c>
      <c r="P172" s="5" t="n"/>
    </row>
    <row r="173">
      <c r="A173" s="8">
        <f>IF(OR($B173="",$C173=""),"",IFERROR(INDEX(PM_Short,MATCH($B173,PM_ID,0))&amp;"-"&amp;TEXT($C173,"00"),"?? no such product"))</f>
        <v/>
      </c>
      <c r="B173" s="5" t="n"/>
      <c r="C173" s="5" t="n"/>
      <c r="D173" s="8">
        <f>IF($B173="","",IFERROR(INDEX(PM_Category,MATCH($B173,PM_ID,0)),""))</f>
        <v/>
      </c>
      <c r="E173" s="8">
        <f>IF($B173="","",IFERROR(INDEX(PM_Subcategory,MATCH($B173,PM_ID,0)),""))</f>
        <v/>
      </c>
      <c r="F173" s="8">
        <f>IF($B173="","",IFERROR(INDEX(PM_Brand,MATCH($B173,PM_ID,0)),""))</f>
        <v/>
      </c>
      <c r="G173" s="8">
        <f>IF($B173="","",IFERROR(INDEX(PM_Model,MATCH($B173,PM_ID,0)),""))</f>
        <v/>
      </c>
      <c r="H173" s="5" t="n"/>
      <c r="I173" s="10" t="n"/>
      <c r="J173" s="9" t="n"/>
      <c r="K173" s="5" t="n"/>
      <c r="L173" s="5" t="n"/>
      <c r="M173" s="5" t="n"/>
      <c r="N173" s="5" t="n"/>
      <c r="O173" s="8">
        <f>IF($B173="","",IF(AND($A173&lt;&gt;"",COUNTIF(INV_ID,$A173)&gt;1),"⚠ this Unit ID already exists",IF(AND($H173&lt;&gt;"",COUNTIF(INV_Serial,$H173)&gt;1),"⚠ this serial already exists",IF(COUNTIFS(INV_Product,$B173,INV_No,$C173)&gt;1,"⚠ piece number reused",""))))</f>
        <v/>
      </c>
      <c r="P173" s="5" t="n"/>
    </row>
    <row r="174">
      <c r="A174" s="8">
        <f>IF(OR($B174="",$C174=""),"",IFERROR(INDEX(PM_Short,MATCH($B174,PM_ID,0))&amp;"-"&amp;TEXT($C174,"00"),"?? no such product"))</f>
        <v/>
      </c>
      <c r="B174" s="5" t="n"/>
      <c r="C174" s="5" t="n"/>
      <c r="D174" s="8">
        <f>IF($B174="","",IFERROR(INDEX(PM_Category,MATCH($B174,PM_ID,0)),""))</f>
        <v/>
      </c>
      <c r="E174" s="8">
        <f>IF($B174="","",IFERROR(INDEX(PM_Subcategory,MATCH($B174,PM_ID,0)),""))</f>
        <v/>
      </c>
      <c r="F174" s="8">
        <f>IF($B174="","",IFERROR(INDEX(PM_Brand,MATCH($B174,PM_ID,0)),""))</f>
        <v/>
      </c>
      <c r="G174" s="8">
        <f>IF($B174="","",IFERROR(INDEX(PM_Model,MATCH($B174,PM_ID,0)),""))</f>
        <v/>
      </c>
      <c r="H174" s="5" t="n"/>
      <c r="I174" s="10" t="n"/>
      <c r="J174" s="9" t="n"/>
      <c r="K174" s="5" t="n"/>
      <c r="L174" s="5" t="n"/>
      <c r="M174" s="5" t="n"/>
      <c r="N174" s="5" t="n"/>
      <c r="O174" s="8">
        <f>IF($B174="","",IF(AND($A174&lt;&gt;"",COUNTIF(INV_ID,$A174)&gt;1),"⚠ this Unit ID already exists",IF(AND($H174&lt;&gt;"",COUNTIF(INV_Serial,$H174)&gt;1),"⚠ this serial already exists",IF(COUNTIFS(INV_Product,$B174,INV_No,$C174)&gt;1,"⚠ piece number reused",""))))</f>
        <v/>
      </c>
      <c r="P174" s="5" t="n"/>
    </row>
    <row r="175">
      <c r="A175" s="8">
        <f>IF(OR($B175="",$C175=""),"",IFERROR(INDEX(PM_Short,MATCH($B175,PM_ID,0))&amp;"-"&amp;TEXT($C175,"00"),"?? no such product"))</f>
        <v/>
      </c>
      <c r="B175" s="5" t="n"/>
      <c r="C175" s="5" t="n"/>
      <c r="D175" s="8">
        <f>IF($B175="","",IFERROR(INDEX(PM_Category,MATCH($B175,PM_ID,0)),""))</f>
        <v/>
      </c>
      <c r="E175" s="8">
        <f>IF($B175="","",IFERROR(INDEX(PM_Subcategory,MATCH($B175,PM_ID,0)),""))</f>
        <v/>
      </c>
      <c r="F175" s="8">
        <f>IF($B175="","",IFERROR(INDEX(PM_Brand,MATCH($B175,PM_ID,0)),""))</f>
        <v/>
      </c>
      <c r="G175" s="8">
        <f>IF($B175="","",IFERROR(INDEX(PM_Model,MATCH($B175,PM_ID,0)),""))</f>
        <v/>
      </c>
      <c r="H175" s="5" t="n"/>
      <c r="I175" s="10" t="n"/>
      <c r="J175" s="9" t="n"/>
      <c r="K175" s="5" t="n"/>
      <c r="L175" s="5" t="n"/>
      <c r="M175" s="5" t="n"/>
      <c r="N175" s="5" t="n"/>
      <c r="O175" s="8">
        <f>IF($B175="","",IF(AND($A175&lt;&gt;"",COUNTIF(INV_ID,$A175)&gt;1),"⚠ this Unit ID already exists",IF(AND($H175&lt;&gt;"",COUNTIF(INV_Serial,$H175)&gt;1),"⚠ this serial already exists",IF(COUNTIFS(INV_Product,$B175,INV_No,$C175)&gt;1,"⚠ piece number reused",""))))</f>
        <v/>
      </c>
      <c r="P175" s="5" t="n"/>
    </row>
    <row r="176">
      <c r="A176" s="8">
        <f>IF(OR($B176="",$C176=""),"",IFERROR(INDEX(PM_Short,MATCH($B176,PM_ID,0))&amp;"-"&amp;TEXT($C176,"00"),"?? no such product"))</f>
        <v/>
      </c>
      <c r="B176" s="5" t="n"/>
      <c r="C176" s="5" t="n"/>
      <c r="D176" s="8">
        <f>IF($B176="","",IFERROR(INDEX(PM_Category,MATCH($B176,PM_ID,0)),""))</f>
        <v/>
      </c>
      <c r="E176" s="8">
        <f>IF($B176="","",IFERROR(INDEX(PM_Subcategory,MATCH($B176,PM_ID,0)),""))</f>
        <v/>
      </c>
      <c r="F176" s="8">
        <f>IF($B176="","",IFERROR(INDEX(PM_Brand,MATCH($B176,PM_ID,0)),""))</f>
        <v/>
      </c>
      <c r="G176" s="8">
        <f>IF($B176="","",IFERROR(INDEX(PM_Model,MATCH($B176,PM_ID,0)),""))</f>
        <v/>
      </c>
      <c r="H176" s="5" t="n"/>
      <c r="I176" s="10" t="n"/>
      <c r="J176" s="9" t="n"/>
      <c r="K176" s="5" t="n"/>
      <c r="L176" s="5" t="n"/>
      <c r="M176" s="5" t="n"/>
      <c r="N176" s="5" t="n"/>
      <c r="O176" s="8">
        <f>IF($B176="","",IF(AND($A176&lt;&gt;"",COUNTIF(INV_ID,$A176)&gt;1),"⚠ this Unit ID already exists",IF(AND($H176&lt;&gt;"",COUNTIF(INV_Serial,$H176)&gt;1),"⚠ this serial already exists",IF(COUNTIFS(INV_Product,$B176,INV_No,$C176)&gt;1,"⚠ piece number reused",""))))</f>
        <v/>
      </c>
      <c r="P176" s="5" t="n"/>
    </row>
    <row r="177">
      <c r="A177" s="8">
        <f>IF(OR($B177="",$C177=""),"",IFERROR(INDEX(PM_Short,MATCH($B177,PM_ID,0))&amp;"-"&amp;TEXT($C177,"00"),"?? no such product"))</f>
        <v/>
      </c>
      <c r="B177" s="5" t="n"/>
      <c r="C177" s="5" t="n"/>
      <c r="D177" s="8">
        <f>IF($B177="","",IFERROR(INDEX(PM_Category,MATCH($B177,PM_ID,0)),""))</f>
        <v/>
      </c>
      <c r="E177" s="8">
        <f>IF($B177="","",IFERROR(INDEX(PM_Subcategory,MATCH($B177,PM_ID,0)),""))</f>
        <v/>
      </c>
      <c r="F177" s="8">
        <f>IF($B177="","",IFERROR(INDEX(PM_Brand,MATCH($B177,PM_ID,0)),""))</f>
        <v/>
      </c>
      <c r="G177" s="8">
        <f>IF($B177="","",IFERROR(INDEX(PM_Model,MATCH($B177,PM_ID,0)),""))</f>
        <v/>
      </c>
      <c r="H177" s="5" t="n"/>
      <c r="I177" s="10" t="n"/>
      <c r="J177" s="9" t="n"/>
      <c r="K177" s="5" t="n"/>
      <c r="L177" s="5" t="n"/>
      <c r="M177" s="5" t="n"/>
      <c r="N177" s="5" t="n"/>
      <c r="O177" s="8">
        <f>IF($B177="","",IF(AND($A177&lt;&gt;"",COUNTIF(INV_ID,$A177)&gt;1),"⚠ this Unit ID already exists",IF(AND($H177&lt;&gt;"",COUNTIF(INV_Serial,$H177)&gt;1),"⚠ this serial already exists",IF(COUNTIFS(INV_Product,$B177,INV_No,$C177)&gt;1,"⚠ piece number reused",""))))</f>
        <v/>
      </c>
      <c r="P177" s="5" t="n"/>
    </row>
    <row r="178">
      <c r="A178" s="8">
        <f>IF(OR($B178="",$C178=""),"",IFERROR(INDEX(PM_Short,MATCH($B178,PM_ID,0))&amp;"-"&amp;TEXT($C178,"00"),"?? no such product"))</f>
        <v/>
      </c>
      <c r="B178" s="5" t="n"/>
      <c r="C178" s="5" t="n"/>
      <c r="D178" s="8">
        <f>IF($B178="","",IFERROR(INDEX(PM_Category,MATCH($B178,PM_ID,0)),""))</f>
        <v/>
      </c>
      <c r="E178" s="8">
        <f>IF($B178="","",IFERROR(INDEX(PM_Subcategory,MATCH($B178,PM_ID,0)),""))</f>
        <v/>
      </c>
      <c r="F178" s="8">
        <f>IF($B178="","",IFERROR(INDEX(PM_Brand,MATCH($B178,PM_ID,0)),""))</f>
        <v/>
      </c>
      <c r="G178" s="8">
        <f>IF($B178="","",IFERROR(INDEX(PM_Model,MATCH($B178,PM_ID,0)),""))</f>
        <v/>
      </c>
      <c r="H178" s="5" t="n"/>
      <c r="I178" s="10" t="n"/>
      <c r="J178" s="9" t="n"/>
      <c r="K178" s="5" t="n"/>
      <c r="L178" s="5" t="n"/>
      <c r="M178" s="5" t="n"/>
      <c r="N178" s="5" t="n"/>
      <c r="O178" s="8">
        <f>IF($B178="","",IF(AND($A178&lt;&gt;"",COUNTIF(INV_ID,$A178)&gt;1),"⚠ this Unit ID already exists",IF(AND($H178&lt;&gt;"",COUNTIF(INV_Serial,$H178)&gt;1),"⚠ this serial already exists",IF(COUNTIFS(INV_Product,$B178,INV_No,$C178)&gt;1,"⚠ piece number reused",""))))</f>
        <v/>
      </c>
      <c r="P178" s="5" t="n"/>
    </row>
    <row r="179">
      <c r="A179" s="8">
        <f>IF(OR($B179="",$C179=""),"",IFERROR(INDEX(PM_Short,MATCH($B179,PM_ID,0))&amp;"-"&amp;TEXT($C179,"00"),"?? no such product"))</f>
        <v/>
      </c>
      <c r="B179" s="5" t="n"/>
      <c r="C179" s="5" t="n"/>
      <c r="D179" s="8">
        <f>IF($B179="","",IFERROR(INDEX(PM_Category,MATCH($B179,PM_ID,0)),""))</f>
        <v/>
      </c>
      <c r="E179" s="8">
        <f>IF($B179="","",IFERROR(INDEX(PM_Subcategory,MATCH($B179,PM_ID,0)),""))</f>
        <v/>
      </c>
      <c r="F179" s="8">
        <f>IF($B179="","",IFERROR(INDEX(PM_Brand,MATCH($B179,PM_ID,0)),""))</f>
        <v/>
      </c>
      <c r="G179" s="8">
        <f>IF($B179="","",IFERROR(INDEX(PM_Model,MATCH($B179,PM_ID,0)),""))</f>
        <v/>
      </c>
      <c r="H179" s="5" t="n"/>
      <c r="I179" s="10" t="n"/>
      <c r="J179" s="9" t="n"/>
      <c r="K179" s="5" t="n"/>
      <c r="L179" s="5" t="n"/>
      <c r="M179" s="5" t="n"/>
      <c r="N179" s="5" t="n"/>
      <c r="O179" s="8">
        <f>IF($B179="","",IF(AND($A179&lt;&gt;"",COUNTIF(INV_ID,$A179)&gt;1),"⚠ this Unit ID already exists",IF(AND($H179&lt;&gt;"",COUNTIF(INV_Serial,$H179)&gt;1),"⚠ this serial already exists",IF(COUNTIFS(INV_Product,$B179,INV_No,$C179)&gt;1,"⚠ piece number reused",""))))</f>
        <v/>
      </c>
      <c r="P179" s="5" t="n"/>
    </row>
    <row r="180">
      <c r="A180" s="8">
        <f>IF(OR($B180="",$C180=""),"",IFERROR(INDEX(PM_Short,MATCH($B180,PM_ID,0))&amp;"-"&amp;TEXT($C180,"00"),"?? no such product"))</f>
        <v/>
      </c>
      <c r="B180" s="5" t="n"/>
      <c r="C180" s="5" t="n"/>
      <c r="D180" s="8">
        <f>IF($B180="","",IFERROR(INDEX(PM_Category,MATCH($B180,PM_ID,0)),""))</f>
        <v/>
      </c>
      <c r="E180" s="8">
        <f>IF($B180="","",IFERROR(INDEX(PM_Subcategory,MATCH($B180,PM_ID,0)),""))</f>
        <v/>
      </c>
      <c r="F180" s="8">
        <f>IF($B180="","",IFERROR(INDEX(PM_Brand,MATCH($B180,PM_ID,0)),""))</f>
        <v/>
      </c>
      <c r="G180" s="8">
        <f>IF($B180="","",IFERROR(INDEX(PM_Model,MATCH($B180,PM_ID,0)),""))</f>
        <v/>
      </c>
      <c r="H180" s="5" t="n"/>
      <c r="I180" s="10" t="n"/>
      <c r="J180" s="9" t="n"/>
      <c r="K180" s="5" t="n"/>
      <c r="L180" s="5" t="n"/>
      <c r="M180" s="5" t="n"/>
      <c r="N180" s="5" t="n"/>
      <c r="O180" s="8">
        <f>IF($B180="","",IF(AND($A180&lt;&gt;"",COUNTIF(INV_ID,$A180)&gt;1),"⚠ this Unit ID already exists",IF(AND($H180&lt;&gt;"",COUNTIF(INV_Serial,$H180)&gt;1),"⚠ this serial already exists",IF(COUNTIFS(INV_Product,$B180,INV_No,$C180)&gt;1,"⚠ piece number reused",""))))</f>
        <v/>
      </c>
      <c r="P180" s="5" t="n"/>
    </row>
    <row r="181">
      <c r="A181" s="8">
        <f>IF(OR($B181="",$C181=""),"",IFERROR(INDEX(PM_Short,MATCH($B181,PM_ID,0))&amp;"-"&amp;TEXT($C181,"00"),"?? no such product"))</f>
        <v/>
      </c>
      <c r="B181" s="5" t="n"/>
      <c r="C181" s="5" t="n"/>
      <c r="D181" s="8">
        <f>IF($B181="","",IFERROR(INDEX(PM_Category,MATCH($B181,PM_ID,0)),""))</f>
        <v/>
      </c>
      <c r="E181" s="8">
        <f>IF($B181="","",IFERROR(INDEX(PM_Subcategory,MATCH($B181,PM_ID,0)),""))</f>
        <v/>
      </c>
      <c r="F181" s="8">
        <f>IF($B181="","",IFERROR(INDEX(PM_Brand,MATCH($B181,PM_ID,0)),""))</f>
        <v/>
      </c>
      <c r="G181" s="8">
        <f>IF($B181="","",IFERROR(INDEX(PM_Model,MATCH($B181,PM_ID,0)),""))</f>
        <v/>
      </c>
      <c r="H181" s="5" t="n"/>
      <c r="I181" s="10" t="n"/>
      <c r="J181" s="9" t="n"/>
      <c r="K181" s="5" t="n"/>
      <c r="L181" s="5" t="n"/>
      <c r="M181" s="5" t="n"/>
      <c r="N181" s="5" t="n"/>
      <c r="O181" s="8">
        <f>IF($B181="","",IF(AND($A181&lt;&gt;"",COUNTIF(INV_ID,$A181)&gt;1),"⚠ this Unit ID already exists",IF(AND($H181&lt;&gt;"",COUNTIF(INV_Serial,$H181)&gt;1),"⚠ this serial already exists",IF(COUNTIFS(INV_Product,$B181,INV_No,$C181)&gt;1,"⚠ piece number reused",""))))</f>
        <v/>
      </c>
      <c r="P181" s="5" t="n"/>
    </row>
    <row r="182">
      <c r="A182" s="8">
        <f>IF(OR($B182="",$C182=""),"",IFERROR(INDEX(PM_Short,MATCH($B182,PM_ID,0))&amp;"-"&amp;TEXT($C182,"00"),"?? no such product"))</f>
        <v/>
      </c>
      <c r="B182" s="5" t="n"/>
      <c r="C182" s="5" t="n"/>
      <c r="D182" s="8">
        <f>IF($B182="","",IFERROR(INDEX(PM_Category,MATCH($B182,PM_ID,0)),""))</f>
        <v/>
      </c>
      <c r="E182" s="8">
        <f>IF($B182="","",IFERROR(INDEX(PM_Subcategory,MATCH($B182,PM_ID,0)),""))</f>
        <v/>
      </c>
      <c r="F182" s="8">
        <f>IF($B182="","",IFERROR(INDEX(PM_Brand,MATCH($B182,PM_ID,0)),""))</f>
        <v/>
      </c>
      <c r="G182" s="8">
        <f>IF($B182="","",IFERROR(INDEX(PM_Model,MATCH($B182,PM_ID,0)),""))</f>
        <v/>
      </c>
      <c r="H182" s="5" t="n"/>
      <c r="I182" s="10" t="n"/>
      <c r="J182" s="9" t="n"/>
      <c r="K182" s="5" t="n"/>
      <c r="L182" s="5" t="n"/>
      <c r="M182" s="5" t="n"/>
      <c r="N182" s="5" t="n"/>
      <c r="O182" s="8">
        <f>IF($B182="","",IF(AND($A182&lt;&gt;"",COUNTIF(INV_ID,$A182)&gt;1),"⚠ this Unit ID already exists",IF(AND($H182&lt;&gt;"",COUNTIF(INV_Serial,$H182)&gt;1),"⚠ this serial already exists",IF(COUNTIFS(INV_Product,$B182,INV_No,$C182)&gt;1,"⚠ piece number reused",""))))</f>
        <v/>
      </c>
      <c r="P182" s="5" t="n"/>
    </row>
    <row r="183">
      <c r="A183" s="8">
        <f>IF(OR($B183="",$C183=""),"",IFERROR(INDEX(PM_Short,MATCH($B183,PM_ID,0))&amp;"-"&amp;TEXT($C183,"00"),"?? no such product"))</f>
        <v/>
      </c>
      <c r="B183" s="5" t="n"/>
      <c r="C183" s="5" t="n"/>
      <c r="D183" s="8">
        <f>IF($B183="","",IFERROR(INDEX(PM_Category,MATCH($B183,PM_ID,0)),""))</f>
        <v/>
      </c>
      <c r="E183" s="8">
        <f>IF($B183="","",IFERROR(INDEX(PM_Subcategory,MATCH($B183,PM_ID,0)),""))</f>
        <v/>
      </c>
      <c r="F183" s="8">
        <f>IF($B183="","",IFERROR(INDEX(PM_Brand,MATCH($B183,PM_ID,0)),""))</f>
        <v/>
      </c>
      <c r="G183" s="8">
        <f>IF($B183="","",IFERROR(INDEX(PM_Model,MATCH($B183,PM_ID,0)),""))</f>
        <v/>
      </c>
      <c r="H183" s="5" t="n"/>
      <c r="I183" s="10" t="n"/>
      <c r="J183" s="9" t="n"/>
      <c r="K183" s="5" t="n"/>
      <c r="L183" s="5" t="n"/>
      <c r="M183" s="5" t="n"/>
      <c r="N183" s="5" t="n"/>
      <c r="O183" s="8">
        <f>IF($B183="","",IF(AND($A183&lt;&gt;"",COUNTIF(INV_ID,$A183)&gt;1),"⚠ this Unit ID already exists",IF(AND($H183&lt;&gt;"",COUNTIF(INV_Serial,$H183)&gt;1),"⚠ this serial already exists",IF(COUNTIFS(INV_Product,$B183,INV_No,$C183)&gt;1,"⚠ piece number reused",""))))</f>
        <v/>
      </c>
      <c r="P183" s="5" t="n"/>
    </row>
    <row r="184">
      <c r="A184" s="8">
        <f>IF(OR($B184="",$C184=""),"",IFERROR(INDEX(PM_Short,MATCH($B184,PM_ID,0))&amp;"-"&amp;TEXT($C184,"00"),"?? no such product"))</f>
        <v/>
      </c>
      <c r="B184" s="5" t="n"/>
      <c r="C184" s="5" t="n"/>
      <c r="D184" s="8">
        <f>IF($B184="","",IFERROR(INDEX(PM_Category,MATCH($B184,PM_ID,0)),""))</f>
        <v/>
      </c>
      <c r="E184" s="8">
        <f>IF($B184="","",IFERROR(INDEX(PM_Subcategory,MATCH($B184,PM_ID,0)),""))</f>
        <v/>
      </c>
      <c r="F184" s="8">
        <f>IF($B184="","",IFERROR(INDEX(PM_Brand,MATCH($B184,PM_ID,0)),""))</f>
        <v/>
      </c>
      <c r="G184" s="8">
        <f>IF($B184="","",IFERROR(INDEX(PM_Model,MATCH($B184,PM_ID,0)),""))</f>
        <v/>
      </c>
      <c r="H184" s="5" t="n"/>
      <c r="I184" s="10" t="n"/>
      <c r="J184" s="9" t="n"/>
      <c r="K184" s="5" t="n"/>
      <c r="L184" s="5" t="n"/>
      <c r="M184" s="5" t="n"/>
      <c r="N184" s="5" t="n"/>
      <c r="O184" s="8">
        <f>IF($B184="","",IF(AND($A184&lt;&gt;"",COUNTIF(INV_ID,$A184)&gt;1),"⚠ this Unit ID already exists",IF(AND($H184&lt;&gt;"",COUNTIF(INV_Serial,$H184)&gt;1),"⚠ this serial already exists",IF(COUNTIFS(INV_Product,$B184,INV_No,$C184)&gt;1,"⚠ piece number reused",""))))</f>
        <v/>
      </c>
      <c r="P184" s="5" t="n"/>
    </row>
    <row r="185">
      <c r="A185" s="8">
        <f>IF(OR($B185="",$C185=""),"",IFERROR(INDEX(PM_Short,MATCH($B185,PM_ID,0))&amp;"-"&amp;TEXT($C185,"00"),"?? no such product"))</f>
        <v/>
      </c>
      <c r="B185" s="5" t="n"/>
      <c r="C185" s="5" t="n"/>
      <c r="D185" s="8">
        <f>IF($B185="","",IFERROR(INDEX(PM_Category,MATCH($B185,PM_ID,0)),""))</f>
        <v/>
      </c>
      <c r="E185" s="8">
        <f>IF($B185="","",IFERROR(INDEX(PM_Subcategory,MATCH($B185,PM_ID,0)),""))</f>
        <v/>
      </c>
      <c r="F185" s="8">
        <f>IF($B185="","",IFERROR(INDEX(PM_Brand,MATCH($B185,PM_ID,0)),""))</f>
        <v/>
      </c>
      <c r="G185" s="8">
        <f>IF($B185="","",IFERROR(INDEX(PM_Model,MATCH($B185,PM_ID,0)),""))</f>
        <v/>
      </c>
      <c r="H185" s="5" t="n"/>
      <c r="I185" s="10" t="n"/>
      <c r="J185" s="9" t="n"/>
      <c r="K185" s="5" t="n"/>
      <c r="L185" s="5" t="n"/>
      <c r="M185" s="5" t="n"/>
      <c r="N185" s="5" t="n"/>
      <c r="O185" s="8">
        <f>IF($B185="","",IF(AND($A185&lt;&gt;"",COUNTIF(INV_ID,$A185)&gt;1),"⚠ this Unit ID already exists",IF(AND($H185&lt;&gt;"",COUNTIF(INV_Serial,$H185)&gt;1),"⚠ this serial already exists",IF(COUNTIFS(INV_Product,$B185,INV_No,$C185)&gt;1,"⚠ piece number reused",""))))</f>
        <v/>
      </c>
      <c r="P185" s="5" t="n"/>
    </row>
    <row r="186">
      <c r="A186" s="8">
        <f>IF(OR($B186="",$C186=""),"",IFERROR(INDEX(PM_Short,MATCH($B186,PM_ID,0))&amp;"-"&amp;TEXT($C186,"00"),"?? no such product"))</f>
        <v/>
      </c>
      <c r="B186" s="5" t="n"/>
      <c r="C186" s="5" t="n"/>
      <c r="D186" s="8">
        <f>IF($B186="","",IFERROR(INDEX(PM_Category,MATCH($B186,PM_ID,0)),""))</f>
        <v/>
      </c>
      <c r="E186" s="8">
        <f>IF($B186="","",IFERROR(INDEX(PM_Subcategory,MATCH($B186,PM_ID,0)),""))</f>
        <v/>
      </c>
      <c r="F186" s="8">
        <f>IF($B186="","",IFERROR(INDEX(PM_Brand,MATCH($B186,PM_ID,0)),""))</f>
        <v/>
      </c>
      <c r="G186" s="8">
        <f>IF($B186="","",IFERROR(INDEX(PM_Model,MATCH($B186,PM_ID,0)),""))</f>
        <v/>
      </c>
      <c r="H186" s="5" t="n"/>
      <c r="I186" s="10" t="n"/>
      <c r="J186" s="9" t="n"/>
      <c r="K186" s="5" t="n"/>
      <c r="L186" s="5" t="n"/>
      <c r="M186" s="5" t="n"/>
      <c r="N186" s="5" t="n"/>
      <c r="O186" s="8">
        <f>IF($B186="","",IF(AND($A186&lt;&gt;"",COUNTIF(INV_ID,$A186)&gt;1),"⚠ this Unit ID already exists",IF(AND($H186&lt;&gt;"",COUNTIF(INV_Serial,$H186)&gt;1),"⚠ this serial already exists",IF(COUNTIFS(INV_Product,$B186,INV_No,$C186)&gt;1,"⚠ piece number reused",""))))</f>
        <v/>
      </c>
      <c r="P186" s="5" t="n"/>
    </row>
    <row r="187">
      <c r="A187" s="8">
        <f>IF(OR($B187="",$C187=""),"",IFERROR(INDEX(PM_Short,MATCH($B187,PM_ID,0))&amp;"-"&amp;TEXT($C187,"00"),"?? no such product"))</f>
        <v/>
      </c>
      <c r="B187" s="5" t="n"/>
      <c r="C187" s="5" t="n"/>
      <c r="D187" s="8">
        <f>IF($B187="","",IFERROR(INDEX(PM_Category,MATCH($B187,PM_ID,0)),""))</f>
        <v/>
      </c>
      <c r="E187" s="8">
        <f>IF($B187="","",IFERROR(INDEX(PM_Subcategory,MATCH($B187,PM_ID,0)),""))</f>
        <v/>
      </c>
      <c r="F187" s="8">
        <f>IF($B187="","",IFERROR(INDEX(PM_Brand,MATCH($B187,PM_ID,0)),""))</f>
        <v/>
      </c>
      <c r="G187" s="8">
        <f>IF($B187="","",IFERROR(INDEX(PM_Model,MATCH($B187,PM_ID,0)),""))</f>
        <v/>
      </c>
      <c r="H187" s="5" t="n"/>
      <c r="I187" s="10" t="n"/>
      <c r="J187" s="9" t="n"/>
      <c r="K187" s="5" t="n"/>
      <c r="L187" s="5" t="n"/>
      <c r="M187" s="5" t="n"/>
      <c r="N187" s="5" t="n"/>
      <c r="O187" s="8">
        <f>IF($B187="","",IF(AND($A187&lt;&gt;"",COUNTIF(INV_ID,$A187)&gt;1),"⚠ this Unit ID already exists",IF(AND($H187&lt;&gt;"",COUNTIF(INV_Serial,$H187)&gt;1),"⚠ this serial already exists",IF(COUNTIFS(INV_Product,$B187,INV_No,$C187)&gt;1,"⚠ piece number reused",""))))</f>
        <v/>
      </c>
      <c r="P187" s="5" t="n"/>
    </row>
    <row r="188">
      <c r="A188" s="8">
        <f>IF(OR($B188="",$C188=""),"",IFERROR(INDEX(PM_Short,MATCH($B188,PM_ID,0))&amp;"-"&amp;TEXT($C188,"00"),"?? no such product"))</f>
        <v/>
      </c>
      <c r="B188" s="5" t="n"/>
      <c r="C188" s="5" t="n"/>
      <c r="D188" s="8">
        <f>IF($B188="","",IFERROR(INDEX(PM_Category,MATCH($B188,PM_ID,0)),""))</f>
        <v/>
      </c>
      <c r="E188" s="8">
        <f>IF($B188="","",IFERROR(INDEX(PM_Subcategory,MATCH($B188,PM_ID,0)),""))</f>
        <v/>
      </c>
      <c r="F188" s="8">
        <f>IF($B188="","",IFERROR(INDEX(PM_Brand,MATCH($B188,PM_ID,0)),""))</f>
        <v/>
      </c>
      <c r="G188" s="8">
        <f>IF($B188="","",IFERROR(INDEX(PM_Model,MATCH($B188,PM_ID,0)),""))</f>
        <v/>
      </c>
      <c r="H188" s="5" t="n"/>
      <c r="I188" s="10" t="n"/>
      <c r="J188" s="9" t="n"/>
      <c r="K188" s="5" t="n"/>
      <c r="L188" s="5" t="n"/>
      <c r="M188" s="5" t="n"/>
      <c r="N188" s="5" t="n"/>
      <c r="O188" s="8">
        <f>IF($B188="","",IF(AND($A188&lt;&gt;"",COUNTIF(INV_ID,$A188)&gt;1),"⚠ this Unit ID already exists",IF(AND($H188&lt;&gt;"",COUNTIF(INV_Serial,$H188)&gt;1),"⚠ this serial already exists",IF(COUNTIFS(INV_Product,$B188,INV_No,$C188)&gt;1,"⚠ piece number reused",""))))</f>
        <v/>
      </c>
      <c r="P188" s="5" t="n"/>
    </row>
    <row r="189">
      <c r="A189" s="8">
        <f>IF(OR($B189="",$C189=""),"",IFERROR(INDEX(PM_Short,MATCH($B189,PM_ID,0))&amp;"-"&amp;TEXT($C189,"00"),"?? no such product"))</f>
        <v/>
      </c>
      <c r="B189" s="5" t="n"/>
      <c r="C189" s="5" t="n"/>
      <c r="D189" s="8">
        <f>IF($B189="","",IFERROR(INDEX(PM_Category,MATCH($B189,PM_ID,0)),""))</f>
        <v/>
      </c>
      <c r="E189" s="8">
        <f>IF($B189="","",IFERROR(INDEX(PM_Subcategory,MATCH($B189,PM_ID,0)),""))</f>
        <v/>
      </c>
      <c r="F189" s="8">
        <f>IF($B189="","",IFERROR(INDEX(PM_Brand,MATCH($B189,PM_ID,0)),""))</f>
        <v/>
      </c>
      <c r="G189" s="8">
        <f>IF($B189="","",IFERROR(INDEX(PM_Model,MATCH($B189,PM_ID,0)),""))</f>
        <v/>
      </c>
      <c r="H189" s="5" t="n"/>
      <c r="I189" s="10" t="n"/>
      <c r="J189" s="9" t="n"/>
      <c r="K189" s="5" t="n"/>
      <c r="L189" s="5" t="n"/>
      <c r="M189" s="5" t="n"/>
      <c r="N189" s="5" t="n"/>
      <c r="O189" s="8">
        <f>IF($B189="","",IF(AND($A189&lt;&gt;"",COUNTIF(INV_ID,$A189)&gt;1),"⚠ this Unit ID already exists",IF(AND($H189&lt;&gt;"",COUNTIF(INV_Serial,$H189)&gt;1),"⚠ this serial already exists",IF(COUNTIFS(INV_Product,$B189,INV_No,$C189)&gt;1,"⚠ piece number reused",""))))</f>
        <v/>
      </c>
      <c r="P189" s="5" t="n"/>
    </row>
    <row r="190">
      <c r="A190" s="8">
        <f>IF(OR($B190="",$C190=""),"",IFERROR(INDEX(PM_Short,MATCH($B190,PM_ID,0))&amp;"-"&amp;TEXT($C190,"00"),"?? no such product"))</f>
        <v/>
      </c>
      <c r="B190" s="5" t="n"/>
      <c r="C190" s="5" t="n"/>
      <c r="D190" s="8">
        <f>IF($B190="","",IFERROR(INDEX(PM_Category,MATCH($B190,PM_ID,0)),""))</f>
        <v/>
      </c>
      <c r="E190" s="8">
        <f>IF($B190="","",IFERROR(INDEX(PM_Subcategory,MATCH($B190,PM_ID,0)),""))</f>
        <v/>
      </c>
      <c r="F190" s="8">
        <f>IF($B190="","",IFERROR(INDEX(PM_Brand,MATCH($B190,PM_ID,0)),""))</f>
        <v/>
      </c>
      <c r="G190" s="8">
        <f>IF($B190="","",IFERROR(INDEX(PM_Model,MATCH($B190,PM_ID,0)),""))</f>
        <v/>
      </c>
      <c r="H190" s="5" t="n"/>
      <c r="I190" s="10" t="n"/>
      <c r="J190" s="9" t="n"/>
      <c r="K190" s="5" t="n"/>
      <c r="L190" s="5" t="n"/>
      <c r="M190" s="5" t="n"/>
      <c r="N190" s="5" t="n"/>
      <c r="O190" s="8">
        <f>IF($B190="","",IF(AND($A190&lt;&gt;"",COUNTIF(INV_ID,$A190)&gt;1),"⚠ this Unit ID already exists",IF(AND($H190&lt;&gt;"",COUNTIF(INV_Serial,$H190)&gt;1),"⚠ this serial already exists",IF(COUNTIFS(INV_Product,$B190,INV_No,$C190)&gt;1,"⚠ piece number reused",""))))</f>
        <v/>
      </c>
      <c r="P190" s="5" t="n"/>
    </row>
    <row r="191">
      <c r="A191" s="8">
        <f>IF(OR($B191="",$C191=""),"",IFERROR(INDEX(PM_Short,MATCH($B191,PM_ID,0))&amp;"-"&amp;TEXT($C191,"00"),"?? no such product"))</f>
        <v/>
      </c>
      <c r="B191" s="5" t="n"/>
      <c r="C191" s="5" t="n"/>
      <c r="D191" s="8">
        <f>IF($B191="","",IFERROR(INDEX(PM_Category,MATCH($B191,PM_ID,0)),""))</f>
        <v/>
      </c>
      <c r="E191" s="8">
        <f>IF($B191="","",IFERROR(INDEX(PM_Subcategory,MATCH($B191,PM_ID,0)),""))</f>
        <v/>
      </c>
      <c r="F191" s="8">
        <f>IF($B191="","",IFERROR(INDEX(PM_Brand,MATCH($B191,PM_ID,0)),""))</f>
        <v/>
      </c>
      <c r="G191" s="8">
        <f>IF($B191="","",IFERROR(INDEX(PM_Model,MATCH($B191,PM_ID,0)),""))</f>
        <v/>
      </c>
      <c r="H191" s="5" t="n"/>
      <c r="I191" s="10" t="n"/>
      <c r="J191" s="9" t="n"/>
      <c r="K191" s="5" t="n"/>
      <c r="L191" s="5" t="n"/>
      <c r="M191" s="5" t="n"/>
      <c r="N191" s="5" t="n"/>
      <c r="O191" s="8">
        <f>IF($B191="","",IF(AND($A191&lt;&gt;"",COUNTIF(INV_ID,$A191)&gt;1),"⚠ this Unit ID already exists",IF(AND($H191&lt;&gt;"",COUNTIF(INV_Serial,$H191)&gt;1),"⚠ this serial already exists",IF(COUNTIFS(INV_Product,$B191,INV_No,$C191)&gt;1,"⚠ piece number reused",""))))</f>
        <v/>
      </c>
      <c r="P191" s="5" t="n"/>
    </row>
    <row r="192">
      <c r="A192" s="8">
        <f>IF(OR($B192="",$C192=""),"",IFERROR(INDEX(PM_Short,MATCH($B192,PM_ID,0))&amp;"-"&amp;TEXT($C192,"00"),"?? no such product"))</f>
        <v/>
      </c>
      <c r="B192" s="5" t="n"/>
      <c r="C192" s="5" t="n"/>
      <c r="D192" s="8">
        <f>IF($B192="","",IFERROR(INDEX(PM_Category,MATCH($B192,PM_ID,0)),""))</f>
        <v/>
      </c>
      <c r="E192" s="8">
        <f>IF($B192="","",IFERROR(INDEX(PM_Subcategory,MATCH($B192,PM_ID,0)),""))</f>
        <v/>
      </c>
      <c r="F192" s="8">
        <f>IF($B192="","",IFERROR(INDEX(PM_Brand,MATCH($B192,PM_ID,0)),""))</f>
        <v/>
      </c>
      <c r="G192" s="8">
        <f>IF($B192="","",IFERROR(INDEX(PM_Model,MATCH($B192,PM_ID,0)),""))</f>
        <v/>
      </c>
      <c r="H192" s="5" t="n"/>
      <c r="I192" s="10" t="n"/>
      <c r="J192" s="9" t="n"/>
      <c r="K192" s="5" t="n"/>
      <c r="L192" s="5" t="n"/>
      <c r="M192" s="5" t="n"/>
      <c r="N192" s="5" t="n"/>
      <c r="O192" s="8">
        <f>IF($B192="","",IF(AND($A192&lt;&gt;"",COUNTIF(INV_ID,$A192)&gt;1),"⚠ this Unit ID already exists",IF(AND($H192&lt;&gt;"",COUNTIF(INV_Serial,$H192)&gt;1),"⚠ this serial already exists",IF(COUNTIFS(INV_Product,$B192,INV_No,$C192)&gt;1,"⚠ piece number reused",""))))</f>
        <v/>
      </c>
      <c r="P192" s="5" t="n"/>
    </row>
    <row r="193">
      <c r="A193" s="8">
        <f>IF(OR($B193="",$C193=""),"",IFERROR(INDEX(PM_Short,MATCH($B193,PM_ID,0))&amp;"-"&amp;TEXT($C193,"00"),"?? no such product"))</f>
        <v/>
      </c>
      <c r="B193" s="5" t="n"/>
      <c r="C193" s="5" t="n"/>
      <c r="D193" s="8">
        <f>IF($B193="","",IFERROR(INDEX(PM_Category,MATCH($B193,PM_ID,0)),""))</f>
        <v/>
      </c>
      <c r="E193" s="8">
        <f>IF($B193="","",IFERROR(INDEX(PM_Subcategory,MATCH($B193,PM_ID,0)),""))</f>
        <v/>
      </c>
      <c r="F193" s="8">
        <f>IF($B193="","",IFERROR(INDEX(PM_Brand,MATCH($B193,PM_ID,0)),""))</f>
        <v/>
      </c>
      <c r="G193" s="8">
        <f>IF($B193="","",IFERROR(INDEX(PM_Model,MATCH($B193,PM_ID,0)),""))</f>
        <v/>
      </c>
      <c r="H193" s="5" t="n"/>
      <c r="I193" s="10" t="n"/>
      <c r="J193" s="9" t="n"/>
      <c r="K193" s="5" t="n"/>
      <c r="L193" s="5" t="n"/>
      <c r="M193" s="5" t="n"/>
      <c r="N193" s="5" t="n"/>
      <c r="O193" s="8">
        <f>IF($B193="","",IF(AND($A193&lt;&gt;"",COUNTIF(INV_ID,$A193)&gt;1),"⚠ this Unit ID already exists",IF(AND($H193&lt;&gt;"",COUNTIF(INV_Serial,$H193)&gt;1),"⚠ this serial already exists",IF(COUNTIFS(INV_Product,$B193,INV_No,$C193)&gt;1,"⚠ piece number reused",""))))</f>
        <v/>
      </c>
      <c r="P193" s="5" t="n"/>
    </row>
    <row r="194">
      <c r="A194" s="8">
        <f>IF(OR($B194="",$C194=""),"",IFERROR(INDEX(PM_Short,MATCH($B194,PM_ID,0))&amp;"-"&amp;TEXT($C194,"00"),"?? no such product"))</f>
        <v/>
      </c>
      <c r="B194" s="5" t="n"/>
      <c r="C194" s="5" t="n"/>
      <c r="D194" s="8">
        <f>IF($B194="","",IFERROR(INDEX(PM_Category,MATCH($B194,PM_ID,0)),""))</f>
        <v/>
      </c>
      <c r="E194" s="8">
        <f>IF($B194="","",IFERROR(INDEX(PM_Subcategory,MATCH($B194,PM_ID,0)),""))</f>
        <v/>
      </c>
      <c r="F194" s="8">
        <f>IF($B194="","",IFERROR(INDEX(PM_Brand,MATCH($B194,PM_ID,0)),""))</f>
        <v/>
      </c>
      <c r="G194" s="8">
        <f>IF($B194="","",IFERROR(INDEX(PM_Model,MATCH($B194,PM_ID,0)),""))</f>
        <v/>
      </c>
      <c r="H194" s="5" t="n"/>
      <c r="I194" s="10" t="n"/>
      <c r="J194" s="9" t="n"/>
      <c r="K194" s="5" t="n"/>
      <c r="L194" s="5" t="n"/>
      <c r="M194" s="5" t="n"/>
      <c r="N194" s="5" t="n"/>
      <c r="O194" s="8">
        <f>IF($B194="","",IF(AND($A194&lt;&gt;"",COUNTIF(INV_ID,$A194)&gt;1),"⚠ this Unit ID already exists",IF(AND($H194&lt;&gt;"",COUNTIF(INV_Serial,$H194)&gt;1),"⚠ this serial already exists",IF(COUNTIFS(INV_Product,$B194,INV_No,$C194)&gt;1,"⚠ piece number reused",""))))</f>
        <v/>
      </c>
      <c r="P194" s="5" t="n"/>
    </row>
    <row r="195">
      <c r="A195" s="8">
        <f>IF(OR($B195="",$C195=""),"",IFERROR(INDEX(PM_Short,MATCH($B195,PM_ID,0))&amp;"-"&amp;TEXT($C195,"00"),"?? no such product"))</f>
        <v/>
      </c>
      <c r="B195" s="5" t="n"/>
      <c r="C195" s="5" t="n"/>
      <c r="D195" s="8">
        <f>IF($B195="","",IFERROR(INDEX(PM_Category,MATCH($B195,PM_ID,0)),""))</f>
        <v/>
      </c>
      <c r="E195" s="8">
        <f>IF($B195="","",IFERROR(INDEX(PM_Subcategory,MATCH($B195,PM_ID,0)),""))</f>
        <v/>
      </c>
      <c r="F195" s="8">
        <f>IF($B195="","",IFERROR(INDEX(PM_Brand,MATCH($B195,PM_ID,0)),""))</f>
        <v/>
      </c>
      <c r="G195" s="8">
        <f>IF($B195="","",IFERROR(INDEX(PM_Model,MATCH($B195,PM_ID,0)),""))</f>
        <v/>
      </c>
      <c r="H195" s="5" t="n"/>
      <c r="I195" s="10" t="n"/>
      <c r="J195" s="9" t="n"/>
      <c r="K195" s="5" t="n"/>
      <c r="L195" s="5" t="n"/>
      <c r="M195" s="5" t="n"/>
      <c r="N195" s="5" t="n"/>
      <c r="O195" s="8">
        <f>IF($B195="","",IF(AND($A195&lt;&gt;"",COUNTIF(INV_ID,$A195)&gt;1),"⚠ this Unit ID already exists",IF(AND($H195&lt;&gt;"",COUNTIF(INV_Serial,$H195)&gt;1),"⚠ this serial already exists",IF(COUNTIFS(INV_Product,$B195,INV_No,$C195)&gt;1,"⚠ piece number reused",""))))</f>
        <v/>
      </c>
      <c r="P195" s="5" t="n"/>
    </row>
    <row r="196">
      <c r="A196" s="8">
        <f>IF(OR($B196="",$C196=""),"",IFERROR(INDEX(PM_Short,MATCH($B196,PM_ID,0))&amp;"-"&amp;TEXT($C196,"00"),"?? no such product"))</f>
        <v/>
      </c>
      <c r="B196" s="5" t="n"/>
      <c r="C196" s="5" t="n"/>
      <c r="D196" s="8">
        <f>IF($B196="","",IFERROR(INDEX(PM_Category,MATCH($B196,PM_ID,0)),""))</f>
        <v/>
      </c>
      <c r="E196" s="8">
        <f>IF($B196="","",IFERROR(INDEX(PM_Subcategory,MATCH($B196,PM_ID,0)),""))</f>
        <v/>
      </c>
      <c r="F196" s="8">
        <f>IF($B196="","",IFERROR(INDEX(PM_Brand,MATCH($B196,PM_ID,0)),""))</f>
        <v/>
      </c>
      <c r="G196" s="8">
        <f>IF($B196="","",IFERROR(INDEX(PM_Model,MATCH($B196,PM_ID,0)),""))</f>
        <v/>
      </c>
      <c r="H196" s="5" t="n"/>
      <c r="I196" s="10" t="n"/>
      <c r="J196" s="9" t="n"/>
      <c r="K196" s="5" t="n"/>
      <c r="L196" s="5" t="n"/>
      <c r="M196" s="5" t="n"/>
      <c r="N196" s="5" t="n"/>
      <c r="O196" s="8">
        <f>IF($B196="","",IF(AND($A196&lt;&gt;"",COUNTIF(INV_ID,$A196)&gt;1),"⚠ this Unit ID already exists",IF(AND($H196&lt;&gt;"",COUNTIF(INV_Serial,$H196)&gt;1),"⚠ this serial already exists",IF(COUNTIFS(INV_Product,$B196,INV_No,$C196)&gt;1,"⚠ piece number reused",""))))</f>
        <v/>
      </c>
      <c r="P196" s="5" t="n"/>
    </row>
    <row r="197">
      <c r="A197" s="8">
        <f>IF(OR($B197="",$C197=""),"",IFERROR(INDEX(PM_Short,MATCH($B197,PM_ID,0))&amp;"-"&amp;TEXT($C197,"00"),"?? no such product"))</f>
        <v/>
      </c>
      <c r="B197" s="5" t="n"/>
      <c r="C197" s="5" t="n"/>
      <c r="D197" s="8">
        <f>IF($B197="","",IFERROR(INDEX(PM_Category,MATCH($B197,PM_ID,0)),""))</f>
        <v/>
      </c>
      <c r="E197" s="8">
        <f>IF($B197="","",IFERROR(INDEX(PM_Subcategory,MATCH($B197,PM_ID,0)),""))</f>
        <v/>
      </c>
      <c r="F197" s="8">
        <f>IF($B197="","",IFERROR(INDEX(PM_Brand,MATCH($B197,PM_ID,0)),""))</f>
        <v/>
      </c>
      <c r="G197" s="8">
        <f>IF($B197="","",IFERROR(INDEX(PM_Model,MATCH($B197,PM_ID,0)),""))</f>
        <v/>
      </c>
      <c r="H197" s="5" t="n"/>
      <c r="I197" s="10" t="n"/>
      <c r="J197" s="9" t="n"/>
      <c r="K197" s="5" t="n"/>
      <c r="L197" s="5" t="n"/>
      <c r="M197" s="5" t="n"/>
      <c r="N197" s="5" t="n"/>
      <c r="O197" s="8">
        <f>IF($B197="","",IF(AND($A197&lt;&gt;"",COUNTIF(INV_ID,$A197)&gt;1),"⚠ this Unit ID already exists",IF(AND($H197&lt;&gt;"",COUNTIF(INV_Serial,$H197)&gt;1),"⚠ this serial already exists",IF(COUNTIFS(INV_Product,$B197,INV_No,$C197)&gt;1,"⚠ piece number reused",""))))</f>
        <v/>
      </c>
      <c r="P197" s="5" t="n"/>
    </row>
    <row r="198">
      <c r="A198" s="8">
        <f>IF(OR($B198="",$C198=""),"",IFERROR(INDEX(PM_Short,MATCH($B198,PM_ID,0))&amp;"-"&amp;TEXT($C198,"00"),"?? no such product"))</f>
        <v/>
      </c>
      <c r="B198" s="5" t="n"/>
      <c r="C198" s="5" t="n"/>
      <c r="D198" s="8">
        <f>IF($B198="","",IFERROR(INDEX(PM_Category,MATCH($B198,PM_ID,0)),""))</f>
        <v/>
      </c>
      <c r="E198" s="8">
        <f>IF($B198="","",IFERROR(INDEX(PM_Subcategory,MATCH($B198,PM_ID,0)),""))</f>
        <v/>
      </c>
      <c r="F198" s="8">
        <f>IF($B198="","",IFERROR(INDEX(PM_Brand,MATCH($B198,PM_ID,0)),""))</f>
        <v/>
      </c>
      <c r="G198" s="8">
        <f>IF($B198="","",IFERROR(INDEX(PM_Model,MATCH($B198,PM_ID,0)),""))</f>
        <v/>
      </c>
      <c r="H198" s="5" t="n"/>
      <c r="I198" s="10" t="n"/>
      <c r="J198" s="9" t="n"/>
      <c r="K198" s="5" t="n"/>
      <c r="L198" s="5" t="n"/>
      <c r="M198" s="5" t="n"/>
      <c r="N198" s="5" t="n"/>
      <c r="O198" s="8">
        <f>IF($B198="","",IF(AND($A198&lt;&gt;"",COUNTIF(INV_ID,$A198)&gt;1),"⚠ this Unit ID already exists",IF(AND($H198&lt;&gt;"",COUNTIF(INV_Serial,$H198)&gt;1),"⚠ this serial already exists",IF(COUNTIFS(INV_Product,$B198,INV_No,$C198)&gt;1,"⚠ piece number reused",""))))</f>
        <v/>
      </c>
      <c r="P198" s="5" t="n"/>
    </row>
    <row r="199">
      <c r="A199" s="8">
        <f>IF(OR($B199="",$C199=""),"",IFERROR(INDEX(PM_Short,MATCH($B199,PM_ID,0))&amp;"-"&amp;TEXT($C199,"00"),"?? no such product"))</f>
        <v/>
      </c>
      <c r="B199" s="5" t="n"/>
      <c r="C199" s="5" t="n"/>
      <c r="D199" s="8">
        <f>IF($B199="","",IFERROR(INDEX(PM_Category,MATCH($B199,PM_ID,0)),""))</f>
        <v/>
      </c>
      <c r="E199" s="8">
        <f>IF($B199="","",IFERROR(INDEX(PM_Subcategory,MATCH($B199,PM_ID,0)),""))</f>
        <v/>
      </c>
      <c r="F199" s="8">
        <f>IF($B199="","",IFERROR(INDEX(PM_Brand,MATCH($B199,PM_ID,0)),""))</f>
        <v/>
      </c>
      <c r="G199" s="8">
        <f>IF($B199="","",IFERROR(INDEX(PM_Model,MATCH($B199,PM_ID,0)),""))</f>
        <v/>
      </c>
      <c r="H199" s="5" t="n"/>
      <c r="I199" s="10" t="n"/>
      <c r="J199" s="9" t="n"/>
      <c r="K199" s="5" t="n"/>
      <c r="L199" s="5" t="n"/>
      <c r="M199" s="5" t="n"/>
      <c r="N199" s="5" t="n"/>
      <c r="O199" s="8">
        <f>IF($B199="","",IF(AND($A199&lt;&gt;"",COUNTIF(INV_ID,$A199)&gt;1),"⚠ this Unit ID already exists",IF(AND($H199&lt;&gt;"",COUNTIF(INV_Serial,$H199)&gt;1),"⚠ this serial already exists",IF(COUNTIFS(INV_Product,$B199,INV_No,$C199)&gt;1,"⚠ piece number reused",""))))</f>
        <v/>
      </c>
      <c r="P199" s="5" t="n"/>
    </row>
    <row r="200">
      <c r="A200" s="8">
        <f>IF(OR($B200="",$C200=""),"",IFERROR(INDEX(PM_Short,MATCH($B200,PM_ID,0))&amp;"-"&amp;TEXT($C200,"00"),"?? no such product"))</f>
        <v/>
      </c>
      <c r="B200" s="5" t="n"/>
      <c r="C200" s="5" t="n"/>
      <c r="D200" s="8">
        <f>IF($B200="","",IFERROR(INDEX(PM_Category,MATCH($B200,PM_ID,0)),""))</f>
        <v/>
      </c>
      <c r="E200" s="8">
        <f>IF($B200="","",IFERROR(INDEX(PM_Subcategory,MATCH($B200,PM_ID,0)),""))</f>
        <v/>
      </c>
      <c r="F200" s="8">
        <f>IF($B200="","",IFERROR(INDEX(PM_Brand,MATCH($B200,PM_ID,0)),""))</f>
        <v/>
      </c>
      <c r="G200" s="8">
        <f>IF($B200="","",IFERROR(INDEX(PM_Model,MATCH($B200,PM_ID,0)),""))</f>
        <v/>
      </c>
      <c r="H200" s="5" t="n"/>
      <c r="I200" s="10" t="n"/>
      <c r="J200" s="9" t="n"/>
      <c r="K200" s="5" t="n"/>
      <c r="L200" s="5" t="n"/>
      <c r="M200" s="5" t="n"/>
      <c r="N200" s="5" t="n"/>
      <c r="O200" s="8">
        <f>IF($B200="","",IF(AND($A200&lt;&gt;"",COUNTIF(INV_ID,$A200)&gt;1),"⚠ this Unit ID already exists",IF(AND($H200&lt;&gt;"",COUNTIF(INV_Serial,$H200)&gt;1),"⚠ this serial already exists",IF(COUNTIFS(INV_Product,$B200,INV_No,$C200)&gt;1,"⚠ piece number reused",""))))</f>
        <v/>
      </c>
      <c r="P200" s="5" t="n"/>
    </row>
    <row r="201">
      <c r="A201" s="8">
        <f>IF(OR($B201="",$C201=""),"",IFERROR(INDEX(PM_Short,MATCH($B201,PM_ID,0))&amp;"-"&amp;TEXT($C201,"00"),"?? no such product"))</f>
        <v/>
      </c>
      <c r="B201" s="5" t="n"/>
      <c r="C201" s="5" t="n"/>
      <c r="D201" s="8">
        <f>IF($B201="","",IFERROR(INDEX(PM_Category,MATCH($B201,PM_ID,0)),""))</f>
        <v/>
      </c>
      <c r="E201" s="8">
        <f>IF($B201="","",IFERROR(INDEX(PM_Subcategory,MATCH($B201,PM_ID,0)),""))</f>
        <v/>
      </c>
      <c r="F201" s="8">
        <f>IF($B201="","",IFERROR(INDEX(PM_Brand,MATCH($B201,PM_ID,0)),""))</f>
        <v/>
      </c>
      <c r="G201" s="8">
        <f>IF($B201="","",IFERROR(INDEX(PM_Model,MATCH($B201,PM_ID,0)),""))</f>
        <v/>
      </c>
      <c r="H201" s="5" t="n"/>
      <c r="I201" s="10" t="n"/>
      <c r="J201" s="9" t="n"/>
      <c r="K201" s="5" t="n"/>
      <c r="L201" s="5" t="n"/>
      <c r="M201" s="5" t="n"/>
      <c r="N201" s="5" t="n"/>
      <c r="O201" s="8">
        <f>IF($B201="","",IF(AND($A201&lt;&gt;"",COUNTIF(INV_ID,$A201)&gt;1),"⚠ this Unit ID already exists",IF(AND($H201&lt;&gt;"",COUNTIF(INV_Serial,$H201)&gt;1),"⚠ this serial already exists",IF(COUNTIFS(INV_Product,$B201,INV_No,$C201)&gt;1,"⚠ piece number reused",""))))</f>
        <v/>
      </c>
      <c r="P201" s="5" t="n"/>
    </row>
    <row r="202">
      <c r="A202" s="8">
        <f>IF(OR($B202="",$C202=""),"",IFERROR(INDEX(PM_Short,MATCH($B202,PM_ID,0))&amp;"-"&amp;TEXT($C202,"00"),"?? no such product"))</f>
        <v/>
      </c>
      <c r="B202" s="5" t="n"/>
      <c r="C202" s="5" t="n"/>
      <c r="D202" s="8">
        <f>IF($B202="","",IFERROR(INDEX(PM_Category,MATCH($B202,PM_ID,0)),""))</f>
        <v/>
      </c>
      <c r="E202" s="8">
        <f>IF($B202="","",IFERROR(INDEX(PM_Subcategory,MATCH($B202,PM_ID,0)),""))</f>
        <v/>
      </c>
      <c r="F202" s="8">
        <f>IF($B202="","",IFERROR(INDEX(PM_Brand,MATCH($B202,PM_ID,0)),""))</f>
        <v/>
      </c>
      <c r="G202" s="8">
        <f>IF($B202="","",IFERROR(INDEX(PM_Model,MATCH($B202,PM_ID,0)),""))</f>
        <v/>
      </c>
      <c r="H202" s="5" t="n"/>
      <c r="I202" s="10" t="n"/>
      <c r="J202" s="9" t="n"/>
      <c r="K202" s="5" t="n"/>
      <c r="L202" s="5" t="n"/>
      <c r="M202" s="5" t="n"/>
      <c r="N202" s="5" t="n"/>
      <c r="O202" s="8">
        <f>IF($B202="","",IF(AND($A202&lt;&gt;"",COUNTIF(INV_ID,$A202)&gt;1),"⚠ this Unit ID already exists",IF(AND($H202&lt;&gt;"",COUNTIF(INV_Serial,$H202)&gt;1),"⚠ this serial already exists",IF(COUNTIFS(INV_Product,$B202,INV_No,$C202)&gt;1,"⚠ piece number reused",""))))</f>
        <v/>
      </c>
      <c r="P202" s="5" t="n"/>
    </row>
    <row r="203">
      <c r="A203" s="8">
        <f>IF(OR($B203="",$C203=""),"",IFERROR(INDEX(PM_Short,MATCH($B203,PM_ID,0))&amp;"-"&amp;TEXT($C203,"00"),"?? no such product"))</f>
        <v/>
      </c>
      <c r="B203" s="5" t="n"/>
      <c r="C203" s="5" t="n"/>
      <c r="D203" s="8">
        <f>IF($B203="","",IFERROR(INDEX(PM_Category,MATCH($B203,PM_ID,0)),""))</f>
        <v/>
      </c>
      <c r="E203" s="8">
        <f>IF($B203="","",IFERROR(INDEX(PM_Subcategory,MATCH($B203,PM_ID,0)),""))</f>
        <v/>
      </c>
      <c r="F203" s="8">
        <f>IF($B203="","",IFERROR(INDEX(PM_Brand,MATCH($B203,PM_ID,0)),""))</f>
        <v/>
      </c>
      <c r="G203" s="8">
        <f>IF($B203="","",IFERROR(INDEX(PM_Model,MATCH($B203,PM_ID,0)),""))</f>
        <v/>
      </c>
      <c r="H203" s="5" t="n"/>
      <c r="I203" s="10" t="n"/>
      <c r="J203" s="9" t="n"/>
      <c r="K203" s="5" t="n"/>
      <c r="L203" s="5" t="n"/>
      <c r="M203" s="5" t="n"/>
      <c r="N203" s="5" t="n"/>
      <c r="O203" s="8">
        <f>IF($B203="","",IF(AND($A203&lt;&gt;"",COUNTIF(INV_ID,$A203)&gt;1),"⚠ this Unit ID already exists",IF(AND($H203&lt;&gt;"",COUNTIF(INV_Serial,$H203)&gt;1),"⚠ this serial already exists",IF(COUNTIFS(INV_Product,$B203,INV_No,$C203)&gt;1,"⚠ piece number reused",""))))</f>
        <v/>
      </c>
      <c r="P203" s="5" t="n"/>
    </row>
    <row r="204">
      <c r="A204" s="8">
        <f>IF(OR($B204="",$C204=""),"",IFERROR(INDEX(PM_Short,MATCH($B204,PM_ID,0))&amp;"-"&amp;TEXT($C204,"00"),"?? no such product"))</f>
        <v/>
      </c>
      <c r="B204" s="5" t="n"/>
      <c r="C204" s="5" t="n"/>
      <c r="D204" s="8">
        <f>IF($B204="","",IFERROR(INDEX(PM_Category,MATCH($B204,PM_ID,0)),""))</f>
        <v/>
      </c>
      <c r="E204" s="8">
        <f>IF($B204="","",IFERROR(INDEX(PM_Subcategory,MATCH($B204,PM_ID,0)),""))</f>
        <v/>
      </c>
      <c r="F204" s="8">
        <f>IF($B204="","",IFERROR(INDEX(PM_Brand,MATCH($B204,PM_ID,0)),""))</f>
        <v/>
      </c>
      <c r="G204" s="8">
        <f>IF($B204="","",IFERROR(INDEX(PM_Model,MATCH($B204,PM_ID,0)),""))</f>
        <v/>
      </c>
      <c r="H204" s="5" t="n"/>
      <c r="I204" s="10" t="n"/>
      <c r="J204" s="9" t="n"/>
      <c r="K204" s="5" t="n"/>
      <c r="L204" s="5" t="n"/>
      <c r="M204" s="5" t="n"/>
      <c r="N204" s="5" t="n"/>
      <c r="O204" s="8">
        <f>IF($B204="","",IF(AND($A204&lt;&gt;"",COUNTIF(INV_ID,$A204)&gt;1),"⚠ this Unit ID already exists",IF(AND($H204&lt;&gt;"",COUNTIF(INV_Serial,$H204)&gt;1),"⚠ this serial already exists",IF(COUNTIFS(INV_Product,$B204,INV_No,$C204)&gt;1,"⚠ piece number reused",""))))</f>
        <v/>
      </c>
      <c r="P204" s="5" t="n"/>
    </row>
    <row r="205">
      <c r="A205" s="8">
        <f>IF(OR($B205="",$C205=""),"",IFERROR(INDEX(PM_Short,MATCH($B205,PM_ID,0))&amp;"-"&amp;TEXT($C205,"00"),"?? no such product"))</f>
        <v/>
      </c>
      <c r="B205" s="5" t="n"/>
      <c r="C205" s="5" t="n"/>
      <c r="D205" s="8">
        <f>IF($B205="","",IFERROR(INDEX(PM_Category,MATCH($B205,PM_ID,0)),""))</f>
        <v/>
      </c>
      <c r="E205" s="8">
        <f>IF($B205="","",IFERROR(INDEX(PM_Subcategory,MATCH($B205,PM_ID,0)),""))</f>
        <v/>
      </c>
      <c r="F205" s="8">
        <f>IF($B205="","",IFERROR(INDEX(PM_Brand,MATCH($B205,PM_ID,0)),""))</f>
        <v/>
      </c>
      <c r="G205" s="8">
        <f>IF($B205="","",IFERROR(INDEX(PM_Model,MATCH($B205,PM_ID,0)),""))</f>
        <v/>
      </c>
      <c r="H205" s="5" t="n"/>
      <c r="I205" s="10" t="n"/>
      <c r="J205" s="9" t="n"/>
      <c r="K205" s="5" t="n"/>
      <c r="L205" s="5" t="n"/>
      <c r="M205" s="5" t="n"/>
      <c r="N205" s="5" t="n"/>
      <c r="O205" s="8">
        <f>IF($B205="","",IF(AND($A205&lt;&gt;"",COUNTIF(INV_ID,$A205)&gt;1),"⚠ this Unit ID already exists",IF(AND($H205&lt;&gt;"",COUNTIF(INV_Serial,$H205)&gt;1),"⚠ this serial already exists",IF(COUNTIFS(INV_Product,$B205,INV_No,$C205)&gt;1,"⚠ piece number reused",""))))</f>
        <v/>
      </c>
      <c r="P205" s="5" t="n"/>
    </row>
    <row r="206">
      <c r="A206" s="8">
        <f>IF(OR($B206="",$C206=""),"",IFERROR(INDEX(PM_Short,MATCH($B206,PM_ID,0))&amp;"-"&amp;TEXT($C206,"00"),"?? no such product"))</f>
        <v/>
      </c>
      <c r="B206" s="5" t="n"/>
      <c r="C206" s="5" t="n"/>
      <c r="D206" s="8">
        <f>IF($B206="","",IFERROR(INDEX(PM_Category,MATCH($B206,PM_ID,0)),""))</f>
        <v/>
      </c>
      <c r="E206" s="8">
        <f>IF($B206="","",IFERROR(INDEX(PM_Subcategory,MATCH($B206,PM_ID,0)),""))</f>
        <v/>
      </c>
      <c r="F206" s="8">
        <f>IF($B206="","",IFERROR(INDEX(PM_Brand,MATCH($B206,PM_ID,0)),""))</f>
        <v/>
      </c>
      <c r="G206" s="8">
        <f>IF($B206="","",IFERROR(INDEX(PM_Model,MATCH($B206,PM_ID,0)),""))</f>
        <v/>
      </c>
      <c r="H206" s="5" t="n"/>
      <c r="I206" s="10" t="n"/>
      <c r="J206" s="9" t="n"/>
      <c r="K206" s="5" t="n"/>
      <c r="L206" s="5" t="n"/>
      <c r="M206" s="5" t="n"/>
      <c r="N206" s="5" t="n"/>
      <c r="O206" s="8">
        <f>IF($B206="","",IF(AND($A206&lt;&gt;"",COUNTIF(INV_ID,$A206)&gt;1),"⚠ this Unit ID already exists",IF(AND($H206&lt;&gt;"",COUNTIF(INV_Serial,$H206)&gt;1),"⚠ this serial already exists",IF(COUNTIFS(INV_Product,$B206,INV_No,$C206)&gt;1,"⚠ piece number reused",""))))</f>
        <v/>
      </c>
      <c r="P206" s="5" t="n"/>
    </row>
    <row r="207">
      <c r="A207" s="8">
        <f>IF(OR($B207="",$C207=""),"",IFERROR(INDEX(PM_Short,MATCH($B207,PM_ID,0))&amp;"-"&amp;TEXT($C207,"00"),"?? no such product"))</f>
        <v/>
      </c>
      <c r="B207" s="5" t="n"/>
      <c r="C207" s="5" t="n"/>
      <c r="D207" s="8">
        <f>IF($B207="","",IFERROR(INDEX(PM_Category,MATCH($B207,PM_ID,0)),""))</f>
        <v/>
      </c>
      <c r="E207" s="8">
        <f>IF($B207="","",IFERROR(INDEX(PM_Subcategory,MATCH($B207,PM_ID,0)),""))</f>
        <v/>
      </c>
      <c r="F207" s="8">
        <f>IF($B207="","",IFERROR(INDEX(PM_Brand,MATCH($B207,PM_ID,0)),""))</f>
        <v/>
      </c>
      <c r="G207" s="8">
        <f>IF($B207="","",IFERROR(INDEX(PM_Model,MATCH($B207,PM_ID,0)),""))</f>
        <v/>
      </c>
      <c r="H207" s="5" t="n"/>
      <c r="I207" s="10" t="n"/>
      <c r="J207" s="9" t="n"/>
      <c r="K207" s="5" t="n"/>
      <c r="L207" s="5" t="n"/>
      <c r="M207" s="5" t="n"/>
      <c r="N207" s="5" t="n"/>
      <c r="O207" s="8">
        <f>IF($B207="","",IF(AND($A207&lt;&gt;"",COUNTIF(INV_ID,$A207)&gt;1),"⚠ this Unit ID already exists",IF(AND($H207&lt;&gt;"",COUNTIF(INV_Serial,$H207)&gt;1),"⚠ this serial already exists",IF(COUNTIFS(INV_Product,$B207,INV_No,$C207)&gt;1,"⚠ piece number reused",""))))</f>
        <v/>
      </c>
      <c r="P207" s="5" t="n"/>
    </row>
    <row r="208">
      <c r="A208" s="8">
        <f>IF(OR($B208="",$C208=""),"",IFERROR(INDEX(PM_Short,MATCH($B208,PM_ID,0))&amp;"-"&amp;TEXT($C208,"00"),"?? no such product"))</f>
        <v/>
      </c>
      <c r="B208" s="5" t="n"/>
      <c r="C208" s="5" t="n"/>
      <c r="D208" s="8">
        <f>IF($B208="","",IFERROR(INDEX(PM_Category,MATCH($B208,PM_ID,0)),""))</f>
        <v/>
      </c>
      <c r="E208" s="8">
        <f>IF($B208="","",IFERROR(INDEX(PM_Subcategory,MATCH($B208,PM_ID,0)),""))</f>
        <v/>
      </c>
      <c r="F208" s="8">
        <f>IF($B208="","",IFERROR(INDEX(PM_Brand,MATCH($B208,PM_ID,0)),""))</f>
        <v/>
      </c>
      <c r="G208" s="8">
        <f>IF($B208="","",IFERROR(INDEX(PM_Model,MATCH($B208,PM_ID,0)),""))</f>
        <v/>
      </c>
      <c r="H208" s="5" t="n"/>
      <c r="I208" s="10" t="n"/>
      <c r="J208" s="9" t="n"/>
      <c r="K208" s="5" t="n"/>
      <c r="L208" s="5" t="n"/>
      <c r="M208" s="5" t="n"/>
      <c r="N208" s="5" t="n"/>
      <c r="O208" s="8">
        <f>IF($B208="","",IF(AND($A208&lt;&gt;"",COUNTIF(INV_ID,$A208)&gt;1),"⚠ this Unit ID already exists",IF(AND($H208&lt;&gt;"",COUNTIF(INV_Serial,$H208)&gt;1),"⚠ this serial already exists",IF(COUNTIFS(INV_Product,$B208,INV_No,$C208)&gt;1,"⚠ piece number reused",""))))</f>
        <v/>
      </c>
      <c r="P208" s="5" t="n"/>
    </row>
    <row r="209">
      <c r="A209" s="8">
        <f>IF(OR($B209="",$C209=""),"",IFERROR(INDEX(PM_Short,MATCH($B209,PM_ID,0))&amp;"-"&amp;TEXT($C209,"00"),"?? no such product"))</f>
        <v/>
      </c>
      <c r="B209" s="5" t="n"/>
      <c r="C209" s="5" t="n"/>
      <c r="D209" s="8">
        <f>IF($B209="","",IFERROR(INDEX(PM_Category,MATCH($B209,PM_ID,0)),""))</f>
        <v/>
      </c>
      <c r="E209" s="8">
        <f>IF($B209="","",IFERROR(INDEX(PM_Subcategory,MATCH($B209,PM_ID,0)),""))</f>
        <v/>
      </c>
      <c r="F209" s="8">
        <f>IF($B209="","",IFERROR(INDEX(PM_Brand,MATCH($B209,PM_ID,0)),""))</f>
        <v/>
      </c>
      <c r="G209" s="8">
        <f>IF($B209="","",IFERROR(INDEX(PM_Model,MATCH($B209,PM_ID,0)),""))</f>
        <v/>
      </c>
      <c r="H209" s="5" t="n"/>
      <c r="I209" s="10" t="n"/>
      <c r="J209" s="9" t="n"/>
      <c r="K209" s="5" t="n"/>
      <c r="L209" s="5" t="n"/>
      <c r="M209" s="5" t="n"/>
      <c r="N209" s="5" t="n"/>
      <c r="O209" s="8">
        <f>IF($B209="","",IF(AND($A209&lt;&gt;"",COUNTIF(INV_ID,$A209)&gt;1),"⚠ this Unit ID already exists",IF(AND($H209&lt;&gt;"",COUNTIF(INV_Serial,$H209)&gt;1),"⚠ this serial already exists",IF(COUNTIFS(INV_Product,$B209,INV_No,$C209)&gt;1,"⚠ piece number reused",""))))</f>
        <v/>
      </c>
      <c r="P209" s="5" t="n"/>
    </row>
    <row r="210">
      <c r="A210" s="8">
        <f>IF(OR($B210="",$C210=""),"",IFERROR(INDEX(PM_Short,MATCH($B210,PM_ID,0))&amp;"-"&amp;TEXT($C210,"00"),"?? no such product"))</f>
        <v/>
      </c>
      <c r="B210" s="5" t="n"/>
      <c r="C210" s="5" t="n"/>
      <c r="D210" s="8">
        <f>IF($B210="","",IFERROR(INDEX(PM_Category,MATCH($B210,PM_ID,0)),""))</f>
        <v/>
      </c>
      <c r="E210" s="8">
        <f>IF($B210="","",IFERROR(INDEX(PM_Subcategory,MATCH($B210,PM_ID,0)),""))</f>
        <v/>
      </c>
      <c r="F210" s="8">
        <f>IF($B210="","",IFERROR(INDEX(PM_Brand,MATCH($B210,PM_ID,0)),""))</f>
        <v/>
      </c>
      <c r="G210" s="8">
        <f>IF($B210="","",IFERROR(INDEX(PM_Model,MATCH($B210,PM_ID,0)),""))</f>
        <v/>
      </c>
      <c r="H210" s="5" t="n"/>
      <c r="I210" s="10" t="n"/>
      <c r="J210" s="9" t="n"/>
      <c r="K210" s="5" t="n"/>
      <c r="L210" s="5" t="n"/>
      <c r="M210" s="5" t="n"/>
      <c r="N210" s="5" t="n"/>
      <c r="O210" s="8">
        <f>IF($B210="","",IF(AND($A210&lt;&gt;"",COUNTIF(INV_ID,$A210)&gt;1),"⚠ this Unit ID already exists",IF(AND($H210&lt;&gt;"",COUNTIF(INV_Serial,$H210)&gt;1),"⚠ this serial already exists",IF(COUNTIFS(INV_Product,$B210,INV_No,$C210)&gt;1,"⚠ piece number reused",""))))</f>
        <v/>
      </c>
      <c r="P210" s="5" t="n"/>
    </row>
    <row r="211">
      <c r="A211" s="8">
        <f>IF(OR($B211="",$C211=""),"",IFERROR(INDEX(PM_Short,MATCH($B211,PM_ID,0))&amp;"-"&amp;TEXT($C211,"00"),"?? no such product"))</f>
        <v/>
      </c>
      <c r="B211" s="5" t="n"/>
      <c r="C211" s="5" t="n"/>
      <c r="D211" s="8">
        <f>IF($B211="","",IFERROR(INDEX(PM_Category,MATCH($B211,PM_ID,0)),""))</f>
        <v/>
      </c>
      <c r="E211" s="8">
        <f>IF($B211="","",IFERROR(INDEX(PM_Subcategory,MATCH($B211,PM_ID,0)),""))</f>
        <v/>
      </c>
      <c r="F211" s="8">
        <f>IF($B211="","",IFERROR(INDEX(PM_Brand,MATCH($B211,PM_ID,0)),""))</f>
        <v/>
      </c>
      <c r="G211" s="8">
        <f>IF($B211="","",IFERROR(INDEX(PM_Model,MATCH($B211,PM_ID,0)),""))</f>
        <v/>
      </c>
      <c r="H211" s="5" t="n"/>
      <c r="I211" s="10" t="n"/>
      <c r="J211" s="9" t="n"/>
      <c r="K211" s="5" t="n"/>
      <c r="L211" s="5" t="n"/>
      <c r="M211" s="5" t="n"/>
      <c r="N211" s="5" t="n"/>
      <c r="O211" s="8">
        <f>IF($B211="","",IF(AND($A211&lt;&gt;"",COUNTIF(INV_ID,$A211)&gt;1),"⚠ this Unit ID already exists",IF(AND($H211&lt;&gt;"",COUNTIF(INV_Serial,$H211)&gt;1),"⚠ this serial already exists",IF(COUNTIFS(INV_Product,$B211,INV_No,$C211)&gt;1,"⚠ piece number reused",""))))</f>
        <v/>
      </c>
      <c r="P211" s="5" t="n"/>
    </row>
    <row r="212">
      <c r="A212" s="8">
        <f>IF(OR($B212="",$C212=""),"",IFERROR(INDEX(PM_Short,MATCH($B212,PM_ID,0))&amp;"-"&amp;TEXT($C212,"00"),"?? no such product"))</f>
        <v/>
      </c>
      <c r="B212" s="5" t="n"/>
      <c r="C212" s="5" t="n"/>
      <c r="D212" s="8">
        <f>IF($B212="","",IFERROR(INDEX(PM_Category,MATCH($B212,PM_ID,0)),""))</f>
        <v/>
      </c>
      <c r="E212" s="8">
        <f>IF($B212="","",IFERROR(INDEX(PM_Subcategory,MATCH($B212,PM_ID,0)),""))</f>
        <v/>
      </c>
      <c r="F212" s="8">
        <f>IF($B212="","",IFERROR(INDEX(PM_Brand,MATCH($B212,PM_ID,0)),""))</f>
        <v/>
      </c>
      <c r="G212" s="8">
        <f>IF($B212="","",IFERROR(INDEX(PM_Model,MATCH($B212,PM_ID,0)),""))</f>
        <v/>
      </c>
      <c r="H212" s="5" t="n"/>
      <c r="I212" s="10" t="n"/>
      <c r="J212" s="9" t="n"/>
      <c r="K212" s="5" t="n"/>
      <c r="L212" s="5" t="n"/>
      <c r="M212" s="5" t="n"/>
      <c r="N212" s="5" t="n"/>
      <c r="O212" s="8">
        <f>IF($B212="","",IF(AND($A212&lt;&gt;"",COUNTIF(INV_ID,$A212)&gt;1),"⚠ this Unit ID already exists",IF(AND($H212&lt;&gt;"",COUNTIF(INV_Serial,$H212)&gt;1),"⚠ this serial already exists",IF(COUNTIFS(INV_Product,$B212,INV_No,$C212)&gt;1,"⚠ piece number reused",""))))</f>
        <v/>
      </c>
      <c r="P212" s="5" t="n"/>
    </row>
    <row r="213">
      <c r="A213" s="8">
        <f>IF(OR($B213="",$C213=""),"",IFERROR(INDEX(PM_Short,MATCH($B213,PM_ID,0))&amp;"-"&amp;TEXT($C213,"00"),"?? no such product"))</f>
        <v/>
      </c>
      <c r="B213" s="5" t="n"/>
      <c r="C213" s="5" t="n"/>
      <c r="D213" s="8">
        <f>IF($B213="","",IFERROR(INDEX(PM_Category,MATCH($B213,PM_ID,0)),""))</f>
        <v/>
      </c>
      <c r="E213" s="8">
        <f>IF($B213="","",IFERROR(INDEX(PM_Subcategory,MATCH($B213,PM_ID,0)),""))</f>
        <v/>
      </c>
      <c r="F213" s="8">
        <f>IF($B213="","",IFERROR(INDEX(PM_Brand,MATCH($B213,PM_ID,0)),""))</f>
        <v/>
      </c>
      <c r="G213" s="8">
        <f>IF($B213="","",IFERROR(INDEX(PM_Model,MATCH($B213,PM_ID,0)),""))</f>
        <v/>
      </c>
      <c r="H213" s="5" t="n"/>
      <c r="I213" s="10" t="n"/>
      <c r="J213" s="9" t="n"/>
      <c r="K213" s="5" t="n"/>
      <c r="L213" s="5" t="n"/>
      <c r="M213" s="5" t="n"/>
      <c r="N213" s="5" t="n"/>
      <c r="O213" s="8">
        <f>IF($B213="","",IF(AND($A213&lt;&gt;"",COUNTIF(INV_ID,$A213)&gt;1),"⚠ this Unit ID already exists",IF(AND($H213&lt;&gt;"",COUNTIF(INV_Serial,$H213)&gt;1),"⚠ this serial already exists",IF(COUNTIFS(INV_Product,$B213,INV_No,$C213)&gt;1,"⚠ piece number reused",""))))</f>
        <v/>
      </c>
      <c r="P213" s="5" t="n"/>
    </row>
    <row r="214">
      <c r="A214" s="8">
        <f>IF(OR($B214="",$C214=""),"",IFERROR(INDEX(PM_Short,MATCH($B214,PM_ID,0))&amp;"-"&amp;TEXT($C214,"00"),"?? no such product"))</f>
        <v/>
      </c>
      <c r="B214" s="5" t="n"/>
      <c r="C214" s="5" t="n"/>
      <c r="D214" s="8">
        <f>IF($B214="","",IFERROR(INDEX(PM_Category,MATCH($B214,PM_ID,0)),""))</f>
        <v/>
      </c>
      <c r="E214" s="8">
        <f>IF($B214="","",IFERROR(INDEX(PM_Subcategory,MATCH($B214,PM_ID,0)),""))</f>
        <v/>
      </c>
      <c r="F214" s="8">
        <f>IF($B214="","",IFERROR(INDEX(PM_Brand,MATCH($B214,PM_ID,0)),""))</f>
        <v/>
      </c>
      <c r="G214" s="8">
        <f>IF($B214="","",IFERROR(INDEX(PM_Model,MATCH($B214,PM_ID,0)),""))</f>
        <v/>
      </c>
      <c r="H214" s="5" t="n"/>
      <c r="I214" s="10" t="n"/>
      <c r="J214" s="9" t="n"/>
      <c r="K214" s="5" t="n"/>
      <c r="L214" s="5" t="n"/>
      <c r="M214" s="5" t="n"/>
      <c r="N214" s="5" t="n"/>
      <c r="O214" s="8">
        <f>IF($B214="","",IF(AND($A214&lt;&gt;"",COUNTIF(INV_ID,$A214)&gt;1),"⚠ this Unit ID already exists",IF(AND($H214&lt;&gt;"",COUNTIF(INV_Serial,$H214)&gt;1),"⚠ this serial already exists",IF(COUNTIFS(INV_Product,$B214,INV_No,$C214)&gt;1,"⚠ piece number reused",""))))</f>
        <v/>
      </c>
      <c r="P214" s="5" t="n"/>
    </row>
    <row r="215">
      <c r="A215" s="8">
        <f>IF(OR($B215="",$C215=""),"",IFERROR(INDEX(PM_Short,MATCH($B215,PM_ID,0))&amp;"-"&amp;TEXT($C215,"00"),"?? no such product"))</f>
        <v/>
      </c>
      <c r="B215" s="5" t="n"/>
      <c r="C215" s="5" t="n"/>
      <c r="D215" s="8">
        <f>IF($B215="","",IFERROR(INDEX(PM_Category,MATCH($B215,PM_ID,0)),""))</f>
        <v/>
      </c>
      <c r="E215" s="8">
        <f>IF($B215="","",IFERROR(INDEX(PM_Subcategory,MATCH($B215,PM_ID,0)),""))</f>
        <v/>
      </c>
      <c r="F215" s="8">
        <f>IF($B215="","",IFERROR(INDEX(PM_Brand,MATCH($B215,PM_ID,0)),""))</f>
        <v/>
      </c>
      <c r="G215" s="8">
        <f>IF($B215="","",IFERROR(INDEX(PM_Model,MATCH($B215,PM_ID,0)),""))</f>
        <v/>
      </c>
      <c r="H215" s="5" t="n"/>
      <c r="I215" s="10" t="n"/>
      <c r="J215" s="9" t="n"/>
      <c r="K215" s="5" t="n"/>
      <c r="L215" s="5" t="n"/>
      <c r="M215" s="5" t="n"/>
      <c r="N215" s="5" t="n"/>
      <c r="O215" s="8">
        <f>IF($B215="","",IF(AND($A215&lt;&gt;"",COUNTIF(INV_ID,$A215)&gt;1),"⚠ this Unit ID already exists",IF(AND($H215&lt;&gt;"",COUNTIF(INV_Serial,$H215)&gt;1),"⚠ this serial already exists",IF(COUNTIFS(INV_Product,$B215,INV_No,$C215)&gt;1,"⚠ piece number reused",""))))</f>
        <v/>
      </c>
      <c r="P215" s="5" t="n"/>
    </row>
    <row r="216">
      <c r="A216" s="8">
        <f>IF(OR($B216="",$C216=""),"",IFERROR(INDEX(PM_Short,MATCH($B216,PM_ID,0))&amp;"-"&amp;TEXT($C216,"00"),"?? no such product"))</f>
        <v/>
      </c>
      <c r="B216" s="5" t="n"/>
      <c r="C216" s="5" t="n"/>
      <c r="D216" s="8">
        <f>IF($B216="","",IFERROR(INDEX(PM_Category,MATCH($B216,PM_ID,0)),""))</f>
        <v/>
      </c>
      <c r="E216" s="8">
        <f>IF($B216="","",IFERROR(INDEX(PM_Subcategory,MATCH($B216,PM_ID,0)),""))</f>
        <v/>
      </c>
      <c r="F216" s="8">
        <f>IF($B216="","",IFERROR(INDEX(PM_Brand,MATCH($B216,PM_ID,0)),""))</f>
        <v/>
      </c>
      <c r="G216" s="8">
        <f>IF($B216="","",IFERROR(INDEX(PM_Model,MATCH($B216,PM_ID,0)),""))</f>
        <v/>
      </c>
      <c r="H216" s="5" t="n"/>
      <c r="I216" s="10" t="n"/>
      <c r="J216" s="9" t="n"/>
      <c r="K216" s="5" t="n"/>
      <c r="L216" s="5" t="n"/>
      <c r="M216" s="5" t="n"/>
      <c r="N216" s="5" t="n"/>
      <c r="O216" s="8">
        <f>IF($B216="","",IF(AND($A216&lt;&gt;"",COUNTIF(INV_ID,$A216)&gt;1),"⚠ this Unit ID already exists",IF(AND($H216&lt;&gt;"",COUNTIF(INV_Serial,$H216)&gt;1),"⚠ this serial already exists",IF(COUNTIFS(INV_Product,$B216,INV_No,$C216)&gt;1,"⚠ piece number reused",""))))</f>
        <v/>
      </c>
      <c r="P216" s="5" t="n"/>
    </row>
    <row r="217">
      <c r="A217" s="8">
        <f>IF(OR($B217="",$C217=""),"",IFERROR(INDEX(PM_Short,MATCH($B217,PM_ID,0))&amp;"-"&amp;TEXT($C217,"00"),"?? no such product"))</f>
        <v/>
      </c>
      <c r="B217" s="5" t="n"/>
      <c r="C217" s="5" t="n"/>
      <c r="D217" s="8">
        <f>IF($B217="","",IFERROR(INDEX(PM_Category,MATCH($B217,PM_ID,0)),""))</f>
        <v/>
      </c>
      <c r="E217" s="8">
        <f>IF($B217="","",IFERROR(INDEX(PM_Subcategory,MATCH($B217,PM_ID,0)),""))</f>
        <v/>
      </c>
      <c r="F217" s="8">
        <f>IF($B217="","",IFERROR(INDEX(PM_Brand,MATCH($B217,PM_ID,0)),""))</f>
        <v/>
      </c>
      <c r="G217" s="8">
        <f>IF($B217="","",IFERROR(INDEX(PM_Model,MATCH($B217,PM_ID,0)),""))</f>
        <v/>
      </c>
      <c r="H217" s="5" t="n"/>
      <c r="I217" s="10" t="n"/>
      <c r="J217" s="9" t="n"/>
      <c r="K217" s="5" t="n"/>
      <c r="L217" s="5" t="n"/>
      <c r="M217" s="5" t="n"/>
      <c r="N217" s="5" t="n"/>
      <c r="O217" s="8">
        <f>IF($B217="","",IF(AND($A217&lt;&gt;"",COUNTIF(INV_ID,$A217)&gt;1),"⚠ this Unit ID already exists",IF(AND($H217&lt;&gt;"",COUNTIF(INV_Serial,$H217)&gt;1),"⚠ this serial already exists",IF(COUNTIFS(INV_Product,$B217,INV_No,$C217)&gt;1,"⚠ piece number reused",""))))</f>
        <v/>
      </c>
      <c r="P217" s="5" t="n"/>
    </row>
    <row r="218">
      <c r="A218" s="8">
        <f>IF(OR($B218="",$C218=""),"",IFERROR(INDEX(PM_Short,MATCH($B218,PM_ID,0))&amp;"-"&amp;TEXT($C218,"00"),"?? no such product"))</f>
        <v/>
      </c>
      <c r="B218" s="5" t="n"/>
      <c r="C218" s="5" t="n"/>
      <c r="D218" s="8">
        <f>IF($B218="","",IFERROR(INDEX(PM_Category,MATCH($B218,PM_ID,0)),""))</f>
        <v/>
      </c>
      <c r="E218" s="8">
        <f>IF($B218="","",IFERROR(INDEX(PM_Subcategory,MATCH($B218,PM_ID,0)),""))</f>
        <v/>
      </c>
      <c r="F218" s="8">
        <f>IF($B218="","",IFERROR(INDEX(PM_Brand,MATCH($B218,PM_ID,0)),""))</f>
        <v/>
      </c>
      <c r="G218" s="8">
        <f>IF($B218="","",IFERROR(INDEX(PM_Model,MATCH($B218,PM_ID,0)),""))</f>
        <v/>
      </c>
      <c r="H218" s="5" t="n"/>
      <c r="I218" s="10" t="n"/>
      <c r="J218" s="9" t="n"/>
      <c r="K218" s="5" t="n"/>
      <c r="L218" s="5" t="n"/>
      <c r="M218" s="5" t="n"/>
      <c r="N218" s="5" t="n"/>
      <c r="O218" s="8">
        <f>IF($B218="","",IF(AND($A218&lt;&gt;"",COUNTIF(INV_ID,$A218)&gt;1),"⚠ this Unit ID already exists",IF(AND($H218&lt;&gt;"",COUNTIF(INV_Serial,$H218)&gt;1),"⚠ this serial already exists",IF(COUNTIFS(INV_Product,$B218,INV_No,$C218)&gt;1,"⚠ piece number reused",""))))</f>
        <v/>
      </c>
      <c r="P218" s="5" t="n"/>
    </row>
    <row r="219">
      <c r="A219" s="8">
        <f>IF(OR($B219="",$C219=""),"",IFERROR(INDEX(PM_Short,MATCH($B219,PM_ID,0))&amp;"-"&amp;TEXT($C219,"00"),"?? no such product"))</f>
        <v/>
      </c>
      <c r="B219" s="5" t="n"/>
      <c r="C219" s="5" t="n"/>
      <c r="D219" s="8">
        <f>IF($B219="","",IFERROR(INDEX(PM_Category,MATCH($B219,PM_ID,0)),""))</f>
        <v/>
      </c>
      <c r="E219" s="8">
        <f>IF($B219="","",IFERROR(INDEX(PM_Subcategory,MATCH($B219,PM_ID,0)),""))</f>
        <v/>
      </c>
      <c r="F219" s="8">
        <f>IF($B219="","",IFERROR(INDEX(PM_Brand,MATCH($B219,PM_ID,0)),""))</f>
        <v/>
      </c>
      <c r="G219" s="8">
        <f>IF($B219="","",IFERROR(INDEX(PM_Model,MATCH($B219,PM_ID,0)),""))</f>
        <v/>
      </c>
      <c r="H219" s="5" t="n"/>
      <c r="I219" s="10" t="n"/>
      <c r="J219" s="9" t="n"/>
      <c r="K219" s="5" t="n"/>
      <c r="L219" s="5" t="n"/>
      <c r="M219" s="5" t="n"/>
      <c r="N219" s="5" t="n"/>
      <c r="O219" s="8">
        <f>IF($B219="","",IF(AND($A219&lt;&gt;"",COUNTIF(INV_ID,$A219)&gt;1),"⚠ this Unit ID already exists",IF(AND($H219&lt;&gt;"",COUNTIF(INV_Serial,$H219)&gt;1),"⚠ this serial already exists",IF(COUNTIFS(INV_Product,$B219,INV_No,$C219)&gt;1,"⚠ piece number reused",""))))</f>
        <v/>
      </c>
      <c r="P219" s="5" t="n"/>
    </row>
    <row r="220">
      <c r="A220" s="8">
        <f>IF(OR($B220="",$C220=""),"",IFERROR(INDEX(PM_Short,MATCH($B220,PM_ID,0))&amp;"-"&amp;TEXT($C220,"00"),"?? no such product"))</f>
        <v/>
      </c>
      <c r="B220" s="5" t="n"/>
      <c r="C220" s="5" t="n"/>
      <c r="D220" s="8">
        <f>IF($B220="","",IFERROR(INDEX(PM_Category,MATCH($B220,PM_ID,0)),""))</f>
        <v/>
      </c>
      <c r="E220" s="8">
        <f>IF($B220="","",IFERROR(INDEX(PM_Subcategory,MATCH($B220,PM_ID,0)),""))</f>
        <v/>
      </c>
      <c r="F220" s="8">
        <f>IF($B220="","",IFERROR(INDEX(PM_Brand,MATCH($B220,PM_ID,0)),""))</f>
        <v/>
      </c>
      <c r="G220" s="8">
        <f>IF($B220="","",IFERROR(INDEX(PM_Model,MATCH($B220,PM_ID,0)),""))</f>
        <v/>
      </c>
      <c r="H220" s="5" t="n"/>
      <c r="I220" s="10" t="n"/>
      <c r="J220" s="9" t="n"/>
      <c r="K220" s="5" t="n"/>
      <c r="L220" s="5" t="n"/>
      <c r="M220" s="5" t="n"/>
      <c r="N220" s="5" t="n"/>
      <c r="O220" s="8">
        <f>IF($B220="","",IF(AND($A220&lt;&gt;"",COUNTIF(INV_ID,$A220)&gt;1),"⚠ this Unit ID already exists",IF(AND($H220&lt;&gt;"",COUNTIF(INV_Serial,$H220)&gt;1),"⚠ this serial already exists",IF(COUNTIFS(INV_Product,$B220,INV_No,$C220)&gt;1,"⚠ piece number reused",""))))</f>
        <v/>
      </c>
      <c r="P220" s="5" t="n"/>
    </row>
    <row r="221">
      <c r="A221" s="8">
        <f>IF(OR($B221="",$C221=""),"",IFERROR(INDEX(PM_Short,MATCH($B221,PM_ID,0))&amp;"-"&amp;TEXT($C221,"00"),"?? no such product"))</f>
        <v/>
      </c>
      <c r="B221" s="5" t="n"/>
      <c r="C221" s="5" t="n"/>
      <c r="D221" s="8">
        <f>IF($B221="","",IFERROR(INDEX(PM_Category,MATCH($B221,PM_ID,0)),""))</f>
        <v/>
      </c>
      <c r="E221" s="8">
        <f>IF($B221="","",IFERROR(INDEX(PM_Subcategory,MATCH($B221,PM_ID,0)),""))</f>
        <v/>
      </c>
      <c r="F221" s="8">
        <f>IF($B221="","",IFERROR(INDEX(PM_Brand,MATCH($B221,PM_ID,0)),""))</f>
        <v/>
      </c>
      <c r="G221" s="8">
        <f>IF($B221="","",IFERROR(INDEX(PM_Model,MATCH($B221,PM_ID,0)),""))</f>
        <v/>
      </c>
      <c r="H221" s="5" t="n"/>
      <c r="I221" s="10" t="n"/>
      <c r="J221" s="9" t="n"/>
      <c r="K221" s="5" t="n"/>
      <c r="L221" s="5" t="n"/>
      <c r="M221" s="5" t="n"/>
      <c r="N221" s="5" t="n"/>
      <c r="O221" s="8">
        <f>IF($B221="","",IF(AND($A221&lt;&gt;"",COUNTIF(INV_ID,$A221)&gt;1),"⚠ this Unit ID already exists",IF(AND($H221&lt;&gt;"",COUNTIF(INV_Serial,$H221)&gt;1),"⚠ this serial already exists",IF(COUNTIFS(INV_Product,$B221,INV_No,$C221)&gt;1,"⚠ piece number reused",""))))</f>
        <v/>
      </c>
      <c r="P221" s="5" t="n"/>
    </row>
    <row r="222">
      <c r="A222" s="8">
        <f>IF(OR($B222="",$C222=""),"",IFERROR(INDEX(PM_Short,MATCH($B222,PM_ID,0))&amp;"-"&amp;TEXT($C222,"00"),"?? no such product"))</f>
        <v/>
      </c>
      <c r="B222" s="5" t="n"/>
      <c r="C222" s="5" t="n"/>
      <c r="D222" s="8">
        <f>IF($B222="","",IFERROR(INDEX(PM_Category,MATCH($B222,PM_ID,0)),""))</f>
        <v/>
      </c>
      <c r="E222" s="8">
        <f>IF($B222="","",IFERROR(INDEX(PM_Subcategory,MATCH($B222,PM_ID,0)),""))</f>
        <v/>
      </c>
      <c r="F222" s="8">
        <f>IF($B222="","",IFERROR(INDEX(PM_Brand,MATCH($B222,PM_ID,0)),""))</f>
        <v/>
      </c>
      <c r="G222" s="8">
        <f>IF($B222="","",IFERROR(INDEX(PM_Model,MATCH($B222,PM_ID,0)),""))</f>
        <v/>
      </c>
      <c r="H222" s="5" t="n"/>
      <c r="I222" s="10" t="n"/>
      <c r="J222" s="9" t="n"/>
      <c r="K222" s="5" t="n"/>
      <c r="L222" s="5" t="n"/>
      <c r="M222" s="5" t="n"/>
      <c r="N222" s="5" t="n"/>
      <c r="O222" s="8">
        <f>IF($B222="","",IF(AND($A222&lt;&gt;"",COUNTIF(INV_ID,$A222)&gt;1),"⚠ this Unit ID already exists",IF(AND($H222&lt;&gt;"",COUNTIF(INV_Serial,$H222)&gt;1),"⚠ this serial already exists",IF(COUNTIFS(INV_Product,$B222,INV_No,$C222)&gt;1,"⚠ piece number reused",""))))</f>
        <v/>
      </c>
      <c r="P222" s="5" t="n"/>
    </row>
    <row r="223">
      <c r="A223" s="8">
        <f>IF(OR($B223="",$C223=""),"",IFERROR(INDEX(PM_Short,MATCH($B223,PM_ID,0))&amp;"-"&amp;TEXT($C223,"00"),"?? no such product"))</f>
        <v/>
      </c>
      <c r="B223" s="5" t="n"/>
      <c r="C223" s="5" t="n"/>
      <c r="D223" s="8">
        <f>IF($B223="","",IFERROR(INDEX(PM_Category,MATCH($B223,PM_ID,0)),""))</f>
        <v/>
      </c>
      <c r="E223" s="8">
        <f>IF($B223="","",IFERROR(INDEX(PM_Subcategory,MATCH($B223,PM_ID,0)),""))</f>
        <v/>
      </c>
      <c r="F223" s="8">
        <f>IF($B223="","",IFERROR(INDEX(PM_Brand,MATCH($B223,PM_ID,0)),""))</f>
        <v/>
      </c>
      <c r="G223" s="8">
        <f>IF($B223="","",IFERROR(INDEX(PM_Model,MATCH($B223,PM_ID,0)),""))</f>
        <v/>
      </c>
      <c r="H223" s="5" t="n"/>
      <c r="I223" s="10" t="n"/>
      <c r="J223" s="9" t="n"/>
      <c r="K223" s="5" t="n"/>
      <c r="L223" s="5" t="n"/>
      <c r="M223" s="5" t="n"/>
      <c r="N223" s="5" t="n"/>
      <c r="O223" s="8">
        <f>IF($B223="","",IF(AND($A223&lt;&gt;"",COUNTIF(INV_ID,$A223)&gt;1),"⚠ this Unit ID already exists",IF(AND($H223&lt;&gt;"",COUNTIF(INV_Serial,$H223)&gt;1),"⚠ this serial already exists",IF(COUNTIFS(INV_Product,$B223,INV_No,$C223)&gt;1,"⚠ piece number reused",""))))</f>
        <v/>
      </c>
      <c r="P223" s="5" t="n"/>
    </row>
    <row r="224">
      <c r="A224" s="8">
        <f>IF(OR($B224="",$C224=""),"",IFERROR(INDEX(PM_Short,MATCH($B224,PM_ID,0))&amp;"-"&amp;TEXT($C224,"00"),"?? no such product"))</f>
        <v/>
      </c>
      <c r="B224" s="5" t="n"/>
      <c r="C224" s="5" t="n"/>
      <c r="D224" s="8">
        <f>IF($B224="","",IFERROR(INDEX(PM_Category,MATCH($B224,PM_ID,0)),""))</f>
        <v/>
      </c>
      <c r="E224" s="8">
        <f>IF($B224="","",IFERROR(INDEX(PM_Subcategory,MATCH($B224,PM_ID,0)),""))</f>
        <v/>
      </c>
      <c r="F224" s="8">
        <f>IF($B224="","",IFERROR(INDEX(PM_Brand,MATCH($B224,PM_ID,0)),""))</f>
        <v/>
      </c>
      <c r="G224" s="8">
        <f>IF($B224="","",IFERROR(INDEX(PM_Model,MATCH($B224,PM_ID,0)),""))</f>
        <v/>
      </c>
      <c r="H224" s="5" t="n"/>
      <c r="I224" s="10" t="n"/>
      <c r="J224" s="9" t="n"/>
      <c r="K224" s="5" t="n"/>
      <c r="L224" s="5" t="n"/>
      <c r="M224" s="5" t="n"/>
      <c r="N224" s="5" t="n"/>
      <c r="O224" s="8">
        <f>IF($B224="","",IF(AND($A224&lt;&gt;"",COUNTIF(INV_ID,$A224)&gt;1),"⚠ this Unit ID already exists",IF(AND($H224&lt;&gt;"",COUNTIF(INV_Serial,$H224)&gt;1),"⚠ this serial already exists",IF(COUNTIFS(INV_Product,$B224,INV_No,$C224)&gt;1,"⚠ piece number reused",""))))</f>
        <v/>
      </c>
      <c r="P224" s="5" t="n"/>
    </row>
    <row r="225">
      <c r="A225" s="8">
        <f>IF(OR($B225="",$C225=""),"",IFERROR(INDEX(PM_Short,MATCH($B225,PM_ID,0))&amp;"-"&amp;TEXT($C225,"00"),"?? no such product"))</f>
        <v/>
      </c>
      <c r="B225" s="5" t="n"/>
      <c r="C225" s="5" t="n"/>
      <c r="D225" s="8">
        <f>IF($B225="","",IFERROR(INDEX(PM_Category,MATCH($B225,PM_ID,0)),""))</f>
        <v/>
      </c>
      <c r="E225" s="8">
        <f>IF($B225="","",IFERROR(INDEX(PM_Subcategory,MATCH($B225,PM_ID,0)),""))</f>
        <v/>
      </c>
      <c r="F225" s="8">
        <f>IF($B225="","",IFERROR(INDEX(PM_Brand,MATCH($B225,PM_ID,0)),""))</f>
        <v/>
      </c>
      <c r="G225" s="8">
        <f>IF($B225="","",IFERROR(INDEX(PM_Model,MATCH($B225,PM_ID,0)),""))</f>
        <v/>
      </c>
      <c r="H225" s="5" t="n"/>
      <c r="I225" s="10" t="n"/>
      <c r="J225" s="9" t="n"/>
      <c r="K225" s="5" t="n"/>
      <c r="L225" s="5" t="n"/>
      <c r="M225" s="5" t="n"/>
      <c r="N225" s="5" t="n"/>
      <c r="O225" s="8">
        <f>IF($B225="","",IF(AND($A225&lt;&gt;"",COUNTIF(INV_ID,$A225)&gt;1),"⚠ this Unit ID already exists",IF(AND($H225&lt;&gt;"",COUNTIF(INV_Serial,$H225)&gt;1),"⚠ this serial already exists",IF(COUNTIFS(INV_Product,$B225,INV_No,$C225)&gt;1,"⚠ piece number reused",""))))</f>
        <v/>
      </c>
      <c r="P225" s="5" t="n"/>
    </row>
    <row r="226">
      <c r="A226" s="8">
        <f>IF(OR($B226="",$C226=""),"",IFERROR(INDEX(PM_Short,MATCH($B226,PM_ID,0))&amp;"-"&amp;TEXT($C226,"00"),"?? no such product"))</f>
        <v/>
      </c>
      <c r="B226" s="5" t="n"/>
      <c r="C226" s="5" t="n"/>
      <c r="D226" s="8">
        <f>IF($B226="","",IFERROR(INDEX(PM_Category,MATCH($B226,PM_ID,0)),""))</f>
        <v/>
      </c>
      <c r="E226" s="8">
        <f>IF($B226="","",IFERROR(INDEX(PM_Subcategory,MATCH($B226,PM_ID,0)),""))</f>
        <v/>
      </c>
      <c r="F226" s="8">
        <f>IF($B226="","",IFERROR(INDEX(PM_Brand,MATCH($B226,PM_ID,0)),""))</f>
        <v/>
      </c>
      <c r="G226" s="8">
        <f>IF($B226="","",IFERROR(INDEX(PM_Model,MATCH($B226,PM_ID,0)),""))</f>
        <v/>
      </c>
      <c r="H226" s="5" t="n"/>
      <c r="I226" s="10" t="n"/>
      <c r="J226" s="9" t="n"/>
      <c r="K226" s="5" t="n"/>
      <c r="L226" s="5" t="n"/>
      <c r="M226" s="5" t="n"/>
      <c r="N226" s="5" t="n"/>
      <c r="O226" s="8">
        <f>IF($B226="","",IF(AND($A226&lt;&gt;"",COUNTIF(INV_ID,$A226)&gt;1),"⚠ this Unit ID already exists",IF(AND($H226&lt;&gt;"",COUNTIF(INV_Serial,$H226)&gt;1),"⚠ this serial already exists",IF(COUNTIFS(INV_Product,$B226,INV_No,$C226)&gt;1,"⚠ piece number reused",""))))</f>
        <v/>
      </c>
      <c r="P226" s="5" t="n"/>
    </row>
    <row r="227">
      <c r="A227" s="8">
        <f>IF(OR($B227="",$C227=""),"",IFERROR(INDEX(PM_Short,MATCH($B227,PM_ID,0))&amp;"-"&amp;TEXT($C227,"00"),"?? no such product"))</f>
        <v/>
      </c>
      <c r="B227" s="5" t="n"/>
      <c r="C227" s="5" t="n"/>
      <c r="D227" s="8">
        <f>IF($B227="","",IFERROR(INDEX(PM_Category,MATCH($B227,PM_ID,0)),""))</f>
        <v/>
      </c>
      <c r="E227" s="8">
        <f>IF($B227="","",IFERROR(INDEX(PM_Subcategory,MATCH($B227,PM_ID,0)),""))</f>
        <v/>
      </c>
      <c r="F227" s="8">
        <f>IF($B227="","",IFERROR(INDEX(PM_Brand,MATCH($B227,PM_ID,0)),""))</f>
        <v/>
      </c>
      <c r="G227" s="8">
        <f>IF($B227="","",IFERROR(INDEX(PM_Model,MATCH($B227,PM_ID,0)),""))</f>
        <v/>
      </c>
      <c r="H227" s="5" t="n"/>
      <c r="I227" s="10" t="n"/>
      <c r="J227" s="9" t="n"/>
      <c r="K227" s="5" t="n"/>
      <c r="L227" s="5" t="n"/>
      <c r="M227" s="5" t="n"/>
      <c r="N227" s="5" t="n"/>
      <c r="O227" s="8">
        <f>IF($B227="","",IF(AND($A227&lt;&gt;"",COUNTIF(INV_ID,$A227)&gt;1),"⚠ this Unit ID already exists",IF(AND($H227&lt;&gt;"",COUNTIF(INV_Serial,$H227)&gt;1),"⚠ this serial already exists",IF(COUNTIFS(INV_Product,$B227,INV_No,$C227)&gt;1,"⚠ piece number reused",""))))</f>
        <v/>
      </c>
      <c r="P227" s="5" t="n"/>
    </row>
    <row r="228">
      <c r="A228" s="8">
        <f>IF(OR($B228="",$C228=""),"",IFERROR(INDEX(PM_Short,MATCH($B228,PM_ID,0))&amp;"-"&amp;TEXT($C228,"00"),"?? no such product"))</f>
        <v/>
      </c>
      <c r="B228" s="5" t="n"/>
      <c r="C228" s="5" t="n"/>
      <c r="D228" s="8">
        <f>IF($B228="","",IFERROR(INDEX(PM_Category,MATCH($B228,PM_ID,0)),""))</f>
        <v/>
      </c>
      <c r="E228" s="8">
        <f>IF($B228="","",IFERROR(INDEX(PM_Subcategory,MATCH($B228,PM_ID,0)),""))</f>
        <v/>
      </c>
      <c r="F228" s="8">
        <f>IF($B228="","",IFERROR(INDEX(PM_Brand,MATCH($B228,PM_ID,0)),""))</f>
        <v/>
      </c>
      <c r="G228" s="8">
        <f>IF($B228="","",IFERROR(INDEX(PM_Model,MATCH($B228,PM_ID,0)),""))</f>
        <v/>
      </c>
      <c r="H228" s="5" t="n"/>
      <c r="I228" s="10" t="n"/>
      <c r="J228" s="9" t="n"/>
      <c r="K228" s="5" t="n"/>
      <c r="L228" s="5" t="n"/>
      <c r="M228" s="5" t="n"/>
      <c r="N228" s="5" t="n"/>
      <c r="O228" s="8">
        <f>IF($B228="","",IF(AND($A228&lt;&gt;"",COUNTIF(INV_ID,$A228)&gt;1),"⚠ this Unit ID already exists",IF(AND($H228&lt;&gt;"",COUNTIF(INV_Serial,$H228)&gt;1),"⚠ this serial already exists",IF(COUNTIFS(INV_Product,$B228,INV_No,$C228)&gt;1,"⚠ piece number reused",""))))</f>
        <v/>
      </c>
      <c r="P228" s="5" t="n"/>
    </row>
    <row r="229">
      <c r="A229" s="8">
        <f>IF(OR($B229="",$C229=""),"",IFERROR(INDEX(PM_Short,MATCH($B229,PM_ID,0))&amp;"-"&amp;TEXT($C229,"00"),"?? no such product"))</f>
        <v/>
      </c>
      <c r="B229" s="5" t="n"/>
      <c r="C229" s="5" t="n"/>
      <c r="D229" s="8">
        <f>IF($B229="","",IFERROR(INDEX(PM_Category,MATCH($B229,PM_ID,0)),""))</f>
        <v/>
      </c>
      <c r="E229" s="8">
        <f>IF($B229="","",IFERROR(INDEX(PM_Subcategory,MATCH($B229,PM_ID,0)),""))</f>
        <v/>
      </c>
      <c r="F229" s="8">
        <f>IF($B229="","",IFERROR(INDEX(PM_Brand,MATCH($B229,PM_ID,0)),""))</f>
        <v/>
      </c>
      <c r="G229" s="8">
        <f>IF($B229="","",IFERROR(INDEX(PM_Model,MATCH($B229,PM_ID,0)),""))</f>
        <v/>
      </c>
      <c r="H229" s="5" t="n"/>
      <c r="I229" s="10" t="n"/>
      <c r="J229" s="9" t="n"/>
      <c r="K229" s="5" t="n"/>
      <c r="L229" s="5" t="n"/>
      <c r="M229" s="5" t="n"/>
      <c r="N229" s="5" t="n"/>
      <c r="O229" s="8">
        <f>IF($B229="","",IF(AND($A229&lt;&gt;"",COUNTIF(INV_ID,$A229)&gt;1),"⚠ this Unit ID already exists",IF(AND($H229&lt;&gt;"",COUNTIF(INV_Serial,$H229)&gt;1),"⚠ this serial already exists",IF(COUNTIFS(INV_Product,$B229,INV_No,$C229)&gt;1,"⚠ piece number reused",""))))</f>
        <v/>
      </c>
      <c r="P229" s="5" t="n"/>
    </row>
    <row r="230">
      <c r="A230" s="8">
        <f>IF(OR($B230="",$C230=""),"",IFERROR(INDEX(PM_Short,MATCH($B230,PM_ID,0))&amp;"-"&amp;TEXT($C230,"00"),"?? no such product"))</f>
        <v/>
      </c>
      <c r="B230" s="5" t="n"/>
      <c r="C230" s="5" t="n"/>
      <c r="D230" s="8">
        <f>IF($B230="","",IFERROR(INDEX(PM_Category,MATCH($B230,PM_ID,0)),""))</f>
        <v/>
      </c>
      <c r="E230" s="8">
        <f>IF($B230="","",IFERROR(INDEX(PM_Subcategory,MATCH($B230,PM_ID,0)),""))</f>
        <v/>
      </c>
      <c r="F230" s="8">
        <f>IF($B230="","",IFERROR(INDEX(PM_Brand,MATCH($B230,PM_ID,0)),""))</f>
        <v/>
      </c>
      <c r="G230" s="8">
        <f>IF($B230="","",IFERROR(INDEX(PM_Model,MATCH($B230,PM_ID,0)),""))</f>
        <v/>
      </c>
      <c r="H230" s="5" t="n"/>
      <c r="I230" s="10" t="n"/>
      <c r="J230" s="9" t="n"/>
      <c r="K230" s="5" t="n"/>
      <c r="L230" s="5" t="n"/>
      <c r="M230" s="5" t="n"/>
      <c r="N230" s="5" t="n"/>
      <c r="O230" s="8">
        <f>IF($B230="","",IF(AND($A230&lt;&gt;"",COUNTIF(INV_ID,$A230)&gt;1),"⚠ this Unit ID already exists",IF(AND($H230&lt;&gt;"",COUNTIF(INV_Serial,$H230)&gt;1),"⚠ this serial already exists",IF(COUNTIFS(INV_Product,$B230,INV_No,$C230)&gt;1,"⚠ piece number reused",""))))</f>
        <v/>
      </c>
      <c r="P230" s="5" t="n"/>
    </row>
    <row r="231">
      <c r="A231" s="8">
        <f>IF(OR($B231="",$C231=""),"",IFERROR(INDEX(PM_Short,MATCH($B231,PM_ID,0))&amp;"-"&amp;TEXT($C231,"00"),"?? no such product"))</f>
        <v/>
      </c>
      <c r="B231" s="5" t="n"/>
      <c r="C231" s="5" t="n"/>
      <c r="D231" s="8">
        <f>IF($B231="","",IFERROR(INDEX(PM_Category,MATCH($B231,PM_ID,0)),""))</f>
        <v/>
      </c>
      <c r="E231" s="8">
        <f>IF($B231="","",IFERROR(INDEX(PM_Subcategory,MATCH($B231,PM_ID,0)),""))</f>
        <v/>
      </c>
      <c r="F231" s="8">
        <f>IF($B231="","",IFERROR(INDEX(PM_Brand,MATCH($B231,PM_ID,0)),""))</f>
        <v/>
      </c>
      <c r="G231" s="8">
        <f>IF($B231="","",IFERROR(INDEX(PM_Model,MATCH($B231,PM_ID,0)),""))</f>
        <v/>
      </c>
      <c r="H231" s="5" t="n"/>
      <c r="I231" s="10" t="n"/>
      <c r="J231" s="9" t="n"/>
      <c r="K231" s="5" t="n"/>
      <c r="L231" s="5" t="n"/>
      <c r="M231" s="5" t="n"/>
      <c r="N231" s="5" t="n"/>
      <c r="O231" s="8">
        <f>IF($B231="","",IF(AND($A231&lt;&gt;"",COUNTIF(INV_ID,$A231)&gt;1),"⚠ this Unit ID already exists",IF(AND($H231&lt;&gt;"",COUNTIF(INV_Serial,$H231)&gt;1),"⚠ this serial already exists",IF(COUNTIFS(INV_Product,$B231,INV_No,$C231)&gt;1,"⚠ piece number reused",""))))</f>
        <v/>
      </c>
      <c r="P231" s="5" t="n"/>
    </row>
    <row r="232">
      <c r="A232" s="8">
        <f>IF(OR($B232="",$C232=""),"",IFERROR(INDEX(PM_Short,MATCH($B232,PM_ID,0))&amp;"-"&amp;TEXT($C232,"00"),"?? no such product"))</f>
        <v/>
      </c>
      <c r="B232" s="5" t="n"/>
      <c r="C232" s="5" t="n"/>
      <c r="D232" s="8">
        <f>IF($B232="","",IFERROR(INDEX(PM_Category,MATCH($B232,PM_ID,0)),""))</f>
        <v/>
      </c>
      <c r="E232" s="8">
        <f>IF($B232="","",IFERROR(INDEX(PM_Subcategory,MATCH($B232,PM_ID,0)),""))</f>
        <v/>
      </c>
      <c r="F232" s="8">
        <f>IF($B232="","",IFERROR(INDEX(PM_Brand,MATCH($B232,PM_ID,0)),""))</f>
        <v/>
      </c>
      <c r="G232" s="8">
        <f>IF($B232="","",IFERROR(INDEX(PM_Model,MATCH($B232,PM_ID,0)),""))</f>
        <v/>
      </c>
      <c r="H232" s="5" t="n"/>
      <c r="I232" s="10" t="n"/>
      <c r="J232" s="9" t="n"/>
      <c r="K232" s="5" t="n"/>
      <c r="L232" s="5" t="n"/>
      <c r="M232" s="5" t="n"/>
      <c r="N232" s="5" t="n"/>
      <c r="O232" s="8">
        <f>IF($B232="","",IF(AND($A232&lt;&gt;"",COUNTIF(INV_ID,$A232)&gt;1),"⚠ this Unit ID already exists",IF(AND($H232&lt;&gt;"",COUNTIF(INV_Serial,$H232)&gt;1),"⚠ this serial already exists",IF(COUNTIFS(INV_Product,$B232,INV_No,$C232)&gt;1,"⚠ piece number reused",""))))</f>
        <v/>
      </c>
      <c r="P232" s="5" t="n"/>
    </row>
    <row r="233">
      <c r="A233" s="8">
        <f>IF(OR($B233="",$C233=""),"",IFERROR(INDEX(PM_Short,MATCH($B233,PM_ID,0))&amp;"-"&amp;TEXT($C233,"00"),"?? no such product"))</f>
        <v/>
      </c>
      <c r="B233" s="5" t="n"/>
      <c r="C233" s="5" t="n"/>
      <c r="D233" s="8">
        <f>IF($B233="","",IFERROR(INDEX(PM_Category,MATCH($B233,PM_ID,0)),""))</f>
        <v/>
      </c>
      <c r="E233" s="8">
        <f>IF($B233="","",IFERROR(INDEX(PM_Subcategory,MATCH($B233,PM_ID,0)),""))</f>
        <v/>
      </c>
      <c r="F233" s="8">
        <f>IF($B233="","",IFERROR(INDEX(PM_Brand,MATCH($B233,PM_ID,0)),""))</f>
        <v/>
      </c>
      <c r="G233" s="8">
        <f>IF($B233="","",IFERROR(INDEX(PM_Model,MATCH($B233,PM_ID,0)),""))</f>
        <v/>
      </c>
      <c r="H233" s="5" t="n"/>
      <c r="I233" s="10" t="n"/>
      <c r="J233" s="9" t="n"/>
      <c r="K233" s="5" t="n"/>
      <c r="L233" s="5" t="n"/>
      <c r="M233" s="5" t="n"/>
      <c r="N233" s="5" t="n"/>
      <c r="O233" s="8">
        <f>IF($B233="","",IF(AND($A233&lt;&gt;"",COUNTIF(INV_ID,$A233)&gt;1),"⚠ this Unit ID already exists",IF(AND($H233&lt;&gt;"",COUNTIF(INV_Serial,$H233)&gt;1),"⚠ this serial already exists",IF(COUNTIFS(INV_Product,$B233,INV_No,$C233)&gt;1,"⚠ piece number reused",""))))</f>
        <v/>
      </c>
      <c r="P233" s="5" t="n"/>
    </row>
    <row r="234">
      <c r="A234" s="8">
        <f>IF(OR($B234="",$C234=""),"",IFERROR(INDEX(PM_Short,MATCH($B234,PM_ID,0))&amp;"-"&amp;TEXT($C234,"00"),"?? no such product"))</f>
        <v/>
      </c>
      <c r="B234" s="5" t="n"/>
      <c r="C234" s="5" t="n"/>
      <c r="D234" s="8">
        <f>IF($B234="","",IFERROR(INDEX(PM_Category,MATCH($B234,PM_ID,0)),""))</f>
        <v/>
      </c>
      <c r="E234" s="8">
        <f>IF($B234="","",IFERROR(INDEX(PM_Subcategory,MATCH($B234,PM_ID,0)),""))</f>
        <v/>
      </c>
      <c r="F234" s="8">
        <f>IF($B234="","",IFERROR(INDEX(PM_Brand,MATCH($B234,PM_ID,0)),""))</f>
        <v/>
      </c>
      <c r="G234" s="8">
        <f>IF($B234="","",IFERROR(INDEX(PM_Model,MATCH($B234,PM_ID,0)),""))</f>
        <v/>
      </c>
      <c r="H234" s="5" t="n"/>
      <c r="I234" s="10" t="n"/>
      <c r="J234" s="9" t="n"/>
      <c r="K234" s="5" t="n"/>
      <c r="L234" s="5" t="n"/>
      <c r="M234" s="5" t="n"/>
      <c r="N234" s="5" t="n"/>
      <c r="O234" s="8">
        <f>IF($B234="","",IF(AND($A234&lt;&gt;"",COUNTIF(INV_ID,$A234)&gt;1),"⚠ this Unit ID already exists",IF(AND($H234&lt;&gt;"",COUNTIF(INV_Serial,$H234)&gt;1),"⚠ this serial already exists",IF(COUNTIFS(INV_Product,$B234,INV_No,$C234)&gt;1,"⚠ piece number reused",""))))</f>
        <v/>
      </c>
      <c r="P234" s="5" t="n"/>
    </row>
    <row r="235">
      <c r="A235" s="8">
        <f>IF(OR($B235="",$C235=""),"",IFERROR(INDEX(PM_Short,MATCH($B235,PM_ID,0))&amp;"-"&amp;TEXT($C235,"00"),"?? no such product"))</f>
        <v/>
      </c>
      <c r="B235" s="5" t="n"/>
      <c r="C235" s="5" t="n"/>
      <c r="D235" s="8">
        <f>IF($B235="","",IFERROR(INDEX(PM_Category,MATCH($B235,PM_ID,0)),""))</f>
        <v/>
      </c>
      <c r="E235" s="8">
        <f>IF($B235="","",IFERROR(INDEX(PM_Subcategory,MATCH($B235,PM_ID,0)),""))</f>
        <v/>
      </c>
      <c r="F235" s="8">
        <f>IF($B235="","",IFERROR(INDEX(PM_Brand,MATCH($B235,PM_ID,0)),""))</f>
        <v/>
      </c>
      <c r="G235" s="8">
        <f>IF($B235="","",IFERROR(INDEX(PM_Model,MATCH($B235,PM_ID,0)),""))</f>
        <v/>
      </c>
      <c r="H235" s="5" t="n"/>
      <c r="I235" s="10" t="n"/>
      <c r="J235" s="9" t="n"/>
      <c r="K235" s="5" t="n"/>
      <c r="L235" s="5" t="n"/>
      <c r="M235" s="5" t="n"/>
      <c r="N235" s="5" t="n"/>
      <c r="O235" s="8">
        <f>IF($B235="","",IF(AND($A235&lt;&gt;"",COUNTIF(INV_ID,$A235)&gt;1),"⚠ this Unit ID already exists",IF(AND($H235&lt;&gt;"",COUNTIF(INV_Serial,$H235)&gt;1),"⚠ this serial already exists",IF(COUNTIFS(INV_Product,$B235,INV_No,$C235)&gt;1,"⚠ piece number reused",""))))</f>
        <v/>
      </c>
      <c r="P235" s="5" t="n"/>
    </row>
    <row r="236">
      <c r="A236" s="8">
        <f>IF(OR($B236="",$C236=""),"",IFERROR(INDEX(PM_Short,MATCH($B236,PM_ID,0))&amp;"-"&amp;TEXT($C236,"00"),"?? no such product"))</f>
        <v/>
      </c>
      <c r="B236" s="5" t="n"/>
      <c r="C236" s="5" t="n"/>
      <c r="D236" s="8">
        <f>IF($B236="","",IFERROR(INDEX(PM_Category,MATCH($B236,PM_ID,0)),""))</f>
        <v/>
      </c>
      <c r="E236" s="8">
        <f>IF($B236="","",IFERROR(INDEX(PM_Subcategory,MATCH($B236,PM_ID,0)),""))</f>
        <v/>
      </c>
      <c r="F236" s="8">
        <f>IF($B236="","",IFERROR(INDEX(PM_Brand,MATCH($B236,PM_ID,0)),""))</f>
        <v/>
      </c>
      <c r="G236" s="8">
        <f>IF($B236="","",IFERROR(INDEX(PM_Model,MATCH($B236,PM_ID,0)),""))</f>
        <v/>
      </c>
      <c r="H236" s="5" t="n"/>
      <c r="I236" s="10" t="n"/>
      <c r="J236" s="9" t="n"/>
      <c r="K236" s="5" t="n"/>
      <c r="L236" s="5" t="n"/>
      <c r="M236" s="5" t="n"/>
      <c r="N236" s="5" t="n"/>
      <c r="O236" s="8">
        <f>IF($B236="","",IF(AND($A236&lt;&gt;"",COUNTIF(INV_ID,$A236)&gt;1),"⚠ this Unit ID already exists",IF(AND($H236&lt;&gt;"",COUNTIF(INV_Serial,$H236)&gt;1),"⚠ this serial already exists",IF(COUNTIFS(INV_Product,$B236,INV_No,$C236)&gt;1,"⚠ piece number reused",""))))</f>
        <v/>
      </c>
      <c r="P236" s="5" t="n"/>
    </row>
    <row r="237">
      <c r="A237" s="8">
        <f>IF(OR($B237="",$C237=""),"",IFERROR(INDEX(PM_Short,MATCH($B237,PM_ID,0))&amp;"-"&amp;TEXT($C237,"00"),"?? no such product"))</f>
        <v/>
      </c>
      <c r="B237" s="5" t="n"/>
      <c r="C237" s="5" t="n"/>
      <c r="D237" s="8">
        <f>IF($B237="","",IFERROR(INDEX(PM_Category,MATCH($B237,PM_ID,0)),""))</f>
        <v/>
      </c>
      <c r="E237" s="8">
        <f>IF($B237="","",IFERROR(INDEX(PM_Subcategory,MATCH($B237,PM_ID,0)),""))</f>
        <v/>
      </c>
      <c r="F237" s="8">
        <f>IF($B237="","",IFERROR(INDEX(PM_Brand,MATCH($B237,PM_ID,0)),""))</f>
        <v/>
      </c>
      <c r="G237" s="8">
        <f>IF($B237="","",IFERROR(INDEX(PM_Model,MATCH($B237,PM_ID,0)),""))</f>
        <v/>
      </c>
      <c r="H237" s="5" t="n"/>
      <c r="I237" s="10" t="n"/>
      <c r="J237" s="9" t="n"/>
      <c r="K237" s="5" t="n"/>
      <c r="L237" s="5" t="n"/>
      <c r="M237" s="5" t="n"/>
      <c r="N237" s="5" t="n"/>
      <c r="O237" s="8">
        <f>IF($B237="","",IF(AND($A237&lt;&gt;"",COUNTIF(INV_ID,$A237)&gt;1),"⚠ this Unit ID already exists",IF(AND($H237&lt;&gt;"",COUNTIF(INV_Serial,$H237)&gt;1),"⚠ this serial already exists",IF(COUNTIFS(INV_Product,$B237,INV_No,$C237)&gt;1,"⚠ piece number reused",""))))</f>
        <v/>
      </c>
      <c r="P237" s="5" t="n"/>
    </row>
    <row r="238">
      <c r="A238" s="8">
        <f>IF(OR($B238="",$C238=""),"",IFERROR(INDEX(PM_Short,MATCH($B238,PM_ID,0))&amp;"-"&amp;TEXT($C238,"00"),"?? no such product"))</f>
        <v/>
      </c>
      <c r="B238" s="5" t="n"/>
      <c r="C238" s="5" t="n"/>
      <c r="D238" s="8">
        <f>IF($B238="","",IFERROR(INDEX(PM_Category,MATCH($B238,PM_ID,0)),""))</f>
        <v/>
      </c>
      <c r="E238" s="8">
        <f>IF($B238="","",IFERROR(INDEX(PM_Subcategory,MATCH($B238,PM_ID,0)),""))</f>
        <v/>
      </c>
      <c r="F238" s="8">
        <f>IF($B238="","",IFERROR(INDEX(PM_Brand,MATCH($B238,PM_ID,0)),""))</f>
        <v/>
      </c>
      <c r="G238" s="8">
        <f>IF($B238="","",IFERROR(INDEX(PM_Model,MATCH($B238,PM_ID,0)),""))</f>
        <v/>
      </c>
      <c r="H238" s="5" t="n"/>
      <c r="I238" s="10" t="n"/>
      <c r="J238" s="9" t="n"/>
      <c r="K238" s="5" t="n"/>
      <c r="L238" s="5" t="n"/>
      <c r="M238" s="5" t="n"/>
      <c r="N238" s="5" t="n"/>
      <c r="O238" s="8">
        <f>IF($B238="","",IF(AND($A238&lt;&gt;"",COUNTIF(INV_ID,$A238)&gt;1),"⚠ this Unit ID already exists",IF(AND($H238&lt;&gt;"",COUNTIF(INV_Serial,$H238)&gt;1),"⚠ this serial already exists",IF(COUNTIFS(INV_Product,$B238,INV_No,$C238)&gt;1,"⚠ piece number reused",""))))</f>
        <v/>
      </c>
      <c r="P238" s="5" t="n"/>
    </row>
    <row r="239">
      <c r="A239" s="8">
        <f>IF(OR($B239="",$C239=""),"",IFERROR(INDEX(PM_Short,MATCH($B239,PM_ID,0))&amp;"-"&amp;TEXT($C239,"00"),"?? no such product"))</f>
        <v/>
      </c>
      <c r="B239" s="5" t="n"/>
      <c r="C239" s="5" t="n"/>
      <c r="D239" s="8">
        <f>IF($B239="","",IFERROR(INDEX(PM_Category,MATCH($B239,PM_ID,0)),""))</f>
        <v/>
      </c>
      <c r="E239" s="8">
        <f>IF($B239="","",IFERROR(INDEX(PM_Subcategory,MATCH($B239,PM_ID,0)),""))</f>
        <v/>
      </c>
      <c r="F239" s="8">
        <f>IF($B239="","",IFERROR(INDEX(PM_Brand,MATCH($B239,PM_ID,0)),""))</f>
        <v/>
      </c>
      <c r="G239" s="8">
        <f>IF($B239="","",IFERROR(INDEX(PM_Model,MATCH($B239,PM_ID,0)),""))</f>
        <v/>
      </c>
      <c r="H239" s="5" t="n"/>
      <c r="I239" s="10" t="n"/>
      <c r="J239" s="9" t="n"/>
      <c r="K239" s="5" t="n"/>
      <c r="L239" s="5" t="n"/>
      <c r="M239" s="5" t="n"/>
      <c r="N239" s="5" t="n"/>
      <c r="O239" s="8">
        <f>IF($B239="","",IF(AND($A239&lt;&gt;"",COUNTIF(INV_ID,$A239)&gt;1),"⚠ this Unit ID already exists",IF(AND($H239&lt;&gt;"",COUNTIF(INV_Serial,$H239)&gt;1),"⚠ this serial already exists",IF(COUNTIFS(INV_Product,$B239,INV_No,$C239)&gt;1,"⚠ piece number reused",""))))</f>
        <v/>
      </c>
      <c r="P239" s="5" t="n"/>
    </row>
    <row r="240">
      <c r="A240" s="8">
        <f>IF(OR($B240="",$C240=""),"",IFERROR(INDEX(PM_Short,MATCH($B240,PM_ID,0))&amp;"-"&amp;TEXT($C240,"00"),"?? no such product"))</f>
        <v/>
      </c>
      <c r="B240" s="5" t="n"/>
      <c r="C240" s="5" t="n"/>
      <c r="D240" s="8">
        <f>IF($B240="","",IFERROR(INDEX(PM_Category,MATCH($B240,PM_ID,0)),""))</f>
        <v/>
      </c>
      <c r="E240" s="8">
        <f>IF($B240="","",IFERROR(INDEX(PM_Subcategory,MATCH($B240,PM_ID,0)),""))</f>
        <v/>
      </c>
      <c r="F240" s="8">
        <f>IF($B240="","",IFERROR(INDEX(PM_Brand,MATCH($B240,PM_ID,0)),""))</f>
        <v/>
      </c>
      <c r="G240" s="8">
        <f>IF($B240="","",IFERROR(INDEX(PM_Model,MATCH($B240,PM_ID,0)),""))</f>
        <v/>
      </c>
      <c r="H240" s="5" t="n"/>
      <c r="I240" s="10" t="n"/>
      <c r="J240" s="9" t="n"/>
      <c r="K240" s="5" t="n"/>
      <c r="L240" s="5" t="n"/>
      <c r="M240" s="5" t="n"/>
      <c r="N240" s="5" t="n"/>
      <c r="O240" s="8">
        <f>IF($B240="","",IF(AND($A240&lt;&gt;"",COUNTIF(INV_ID,$A240)&gt;1),"⚠ this Unit ID already exists",IF(AND($H240&lt;&gt;"",COUNTIF(INV_Serial,$H240)&gt;1),"⚠ this serial already exists",IF(COUNTIFS(INV_Product,$B240,INV_No,$C240)&gt;1,"⚠ piece number reused",""))))</f>
        <v/>
      </c>
      <c r="P240" s="5" t="n"/>
    </row>
    <row r="241">
      <c r="A241" s="8">
        <f>IF(OR($B241="",$C241=""),"",IFERROR(INDEX(PM_Short,MATCH($B241,PM_ID,0))&amp;"-"&amp;TEXT($C241,"00"),"?? no such product"))</f>
        <v/>
      </c>
      <c r="B241" s="5" t="n"/>
      <c r="C241" s="5" t="n"/>
      <c r="D241" s="8">
        <f>IF($B241="","",IFERROR(INDEX(PM_Category,MATCH($B241,PM_ID,0)),""))</f>
        <v/>
      </c>
      <c r="E241" s="8">
        <f>IF($B241="","",IFERROR(INDEX(PM_Subcategory,MATCH($B241,PM_ID,0)),""))</f>
        <v/>
      </c>
      <c r="F241" s="8">
        <f>IF($B241="","",IFERROR(INDEX(PM_Brand,MATCH($B241,PM_ID,0)),""))</f>
        <v/>
      </c>
      <c r="G241" s="8">
        <f>IF($B241="","",IFERROR(INDEX(PM_Model,MATCH($B241,PM_ID,0)),""))</f>
        <v/>
      </c>
      <c r="H241" s="5" t="n"/>
      <c r="I241" s="10" t="n"/>
      <c r="J241" s="9" t="n"/>
      <c r="K241" s="5" t="n"/>
      <c r="L241" s="5" t="n"/>
      <c r="M241" s="5" t="n"/>
      <c r="N241" s="5" t="n"/>
      <c r="O241" s="8">
        <f>IF($B241="","",IF(AND($A241&lt;&gt;"",COUNTIF(INV_ID,$A241)&gt;1),"⚠ this Unit ID already exists",IF(AND($H241&lt;&gt;"",COUNTIF(INV_Serial,$H241)&gt;1),"⚠ this serial already exists",IF(COUNTIFS(INV_Product,$B241,INV_No,$C241)&gt;1,"⚠ piece number reused",""))))</f>
        <v/>
      </c>
      <c r="P241" s="5" t="n"/>
    </row>
    <row r="242">
      <c r="A242" s="8">
        <f>IF(OR($B242="",$C242=""),"",IFERROR(INDEX(PM_Short,MATCH($B242,PM_ID,0))&amp;"-"&amp;TEXT($C242,"00"),"?? no such product"))</f>
        <v/>
      </c>
      <c r="B242" s="5" t="n"/>
      <c r="C242" s="5" t="n"/>
      <c r="D242" s="8">
        <f>IF($B242="","",IFERROR(INDEX(PM_Category,MATCH($B242,PM_ID,0)),""))</f>
        <v/>
      </c>
      <c r="E242" s="8">
        <f>IF($B242="","",IFERROR(INDEX(PM_Subcategory,MATCH($B242,PM_ID,0)),""))</f>
        <v/>
      </c>
      <c r="F242" s="8">
        <f>IF($B242="","",IFERROR(INDEX(PM_Brand,MATCH($B242,PM_ID,0)),""))</f>
        <v/>
      </c>
      <c r="G242" s="8">
        <f>IF($B242="","",IFERROR(INDEX(PM_Model,MATCH($B242,PM_ID,0)),""))</f>
        <v/>
      </c>
      <c r="H242" s="5" t="n"/>
      <c r="I242" s="10" t="n"/>
      <c r="J242" s="9" t="n"/>
      <c r="K242" s="5" t="n"/>
      <c r="L242" s="5" t="n"/>
      <c r="M242" s="5" t="n"/>
      <c r="N242" s="5" t="n"/>
      <c r="O242" s="8">
        <f>IF($B242="","",IF(AND($A242&lt;&gt;"",COUNTIF(INV_ID,$A242)&gt;1),"⚠ this Unit ID already exists",IF(AND($H242&lt;&gt;"",COUNTIF(INV_Serial,$H242)&gt;1),"⚠ this serial already exists",IF(COUNTIFS(INV_Product,$B242,INV_No,$C242)&gt;1,"⚠ piece number reused",""))))</f>
        <v/>
      </c>
      <c r="P242" s="5" t="n"/>
    </row>
    <row r="243">
      <c r="A243" s="8">
        <f>IF(OR($B243="",$C243=""),"",IFERROR(INDEX(PM_Short,MATCH($B243,PM_ID,0))&amp;"-"&amp;TEXT($C243,"00"),"?? no such product"))</f>
        <v/>
      </c>
      <c r="B243" s="5" t="n"/>
      <c r="C243" s="5" t="n"/>
      <c r="D243" s="8">
        <f>IF($B243="","",IFERROR(INDEX(PM_Category,MATCH($B243,PM_ID,0)),""))</f>
        <v/>
      </c>
      <c r="E243" s="8">
        <f>IF($B243="","",IFERROR(INDEX(PM_Subcategory,MATCH($B243,PM_ID,0)),""))</f>
        <v/>
      </c>
      <c r="F243" s="8">
        <f>IF($B243="","",IFERROR(INDEX(PM_Brand,MATCH($B243,PM_ID,0)),""))</f>
        <v/>
      </c>
      <c r="G243" s="8">
        <f>IF($B243="","",IFERROR(INDEX(PM_Model,MATCH($B243,PM_ID,0)),""))</f>
        <v/>
      </c>
      <c r="H243" s="5" t="n"/>
      <c r="I243" s="10" t="n"/>
      <c r="J243" s="9" t="n"/>
      <c r="K243" s="5" t="n"/>
      <c r="L243" s="5" t="n"/>
      <c r="M243" s="5" t="n"/>
      <c r="N243" s="5" t="n"/>
      <c r="O243" s="8">
        <f>IF($B243="","",IF(AND($A243&lt;&gt;"",COUNTIF(INV_ID,$A243)&gt;1),"⚠ this Unit ID already exists",IF(AND($H243&lt;&gt;"",COUNTIF(INV_Serial,$H243)&gt;1),"⚠ this serial already exists",IF(COUNTIFS(INV_Product,$B243,INV_No,$C243)&gt;1,"⚠ piece number reused",""))))</f>
        <v/>
      </c>
      <c r="P243" s="5" t="n"/>
    </row>
    <row r="244">
      <c r="A244" s="8">
        <f>IF(OR($B244="",$C244=""),"",IFERROR(INDEX(PM_Short,MATCH($B244,PM_ID,0))&amp;"-"&amp;TEXT($C244,"00"),"?? no such product"))</f>
        <v/>
      </c>
      <c r="B244" s="5" t="n"/>
      <c r="C244" s="5" t="n"/>
      <c r="D244" s="8">
        <f>IF($B244="","",IFERROR(INDEX(PM_Category,MATCH($B244,PM_ID,0)),""))</f>
        <v/>
      </c>
      <c r="E244" s="8">
        <f>IF($B244="","",IFERROR(INDEX(PM_Subcategory,MATCH($B244,PM_ID,0)),""))</f>
        <v/>
      </c>
      <c r="F244" s="8">
        <f>IF($B244="","",IFERROR(INDEX(PM_Brand,MATCH($B244,PM_ID,0)),""))</f>
        <v/>
      </c>
      <c r="G244" s="8">
        <f>IF($B244="","",IFERROR(INDEX(PM_Model,MATCH($B244,PM_ID,0)),""))</f>
        <v/>
      </c>
      <c r="H244" s="5" t="n"/>
      <c r="I244" s="10" t="n"/>
      <c r="J244" s="9" t="n"/>
      <c r="K244" s="5" t="n"/>
      <c r="L244" s="5" t="n"/>
      <c r="M244" s="5" t="n"/>
      <c r="N244" s="5" t="n"/>
      <c r="O244" s="8">
        <f>IF($B244="","",IF(AND($A244&lt;&gt;"",COUNTIF(INV_ID,$A244)&gt;1),"⚠ this Unit ID already exists",IF(AND($H244&lt;&gt;"",COUNTIF(INV_Serial,$H244)&gt;1),"⚠ this serial already exists",IF(COUNTIFS(INV_Product,$B244,INV_No,$C244)&gt;1,"⚠ piece number reused",""))))</f>
        <v/>
      </c>
      <c r="P244" s="5" t="n"/>
    </row>
    <row r="245">
      <c r="A245" s="8">
        <f>IF(OR($B245="",$C245=""),"",IFERROR(INDEX(PM_Short,MATCH($B245,PM_ID,0))&amp;"-"&amp;TEXT($C245,"00"),"?? no such product"))</f>
        <v/>
      </c>
      <c r="B245" s="5" t="n"/>
      <c r="C245" s="5" t="n"/>
      <c r="D245" s="8">
        <f>IF($B245="","",IFERROR(INDEX(PM_Category,MATCH($B245,PM_ID,0)),""))</f>
        <v/>
      </c>
      <c r="E245" s="8">
        <f>IF($B245="","",IFERROR(INDEX(PM_Subcategory,MATCH($B245,PM_ID,0)),""))</f>
        <v/>
      </c>
      <c r="F245" s="8">
        <f>IF($B245="","",IFERROR(INDEX(PM_Brand,MATCH($B245,PM_ID,0)),""))</f>
        <v/>
      </c>
      <c r="G245" s="8">
        <f>IF($B245="","",IFERROR(INDEX(PM_Model,MATCH($B245,PM_ID,0)),""))</f>
        <v/>
      </c>
      <c r="H245" s="5" t="n"/>
      <c r="I245" s="10" t="n"/>
      <c r="J245" s="9" t="n"/>
      <c r="K245" s="5" t="n"/>
      <c r="L245" s="5" t="n"/>
      <c r="M245" s="5" t="n"/>
      <c r="N245" s="5" t="n"/>
      <c r="O245" s="8">
        <f>IF($B245="","",IF(AND($A245&lt;&gt;"",COUNTIF(INV_ID,$A245)&gt;1),"⚠ this Unit ID already exists",IF(AND($H245&lt;&gt;"",COUNTIF(INV_Serial,$H245)&gt;1),"⚠ this serial already exists",IF(COUNTIFS(INV_Product,$B245,INV_No,$C245)&gt;1,"⚠ piece number reused",""))))</f>
        <v/>
      </c>
      <c r="P245" s="5" t="n"/>
    </row>
    <row r="246">
      <c r="A246" s="8">
        <f>IF(OR($B246="",$C246=""),"",IFERROR(INDEX(PM_Short,MATCH($B246,PM_ID,0))&amp;"-"&amp;TEXT($C246,"00"),"?? no such product"))</f>
        <v/>
      </c>
      <c r="B246" s="5" t="n"/>
      <c r="C246" s="5" t="n"/>
      <c r="D246" s="8">
        <f>IF($B246="","",IFERROR(INDEX(PM_Category,MATCH($B246,PM_ID,0)),""))</f>
        <v/>
      </c>
      <c r="E246" s="8">
        <f>IF($B246="","",IFERROR(INDEX(PM_Subcategory,MATCH($B246,PM_ID,0)),""))</f>
        <v/>
      </c>
      <c r="F246" s="8">
        <f>IF($B246="","",IFERROR(INDEX(PM_Brand,MATCH($B246,PM_ID,0)),""))</f>
        <v/>
      </c>
      <c r="G246" s="8">
        <f>IF($B246="","",IFERROR(INDEX(PM_Model,MATCH($B246,PM_ID,0)),""))</f>
        <v/>
      </c>
      <c r="H246" s="5" t="n"/>
      <c r="I246" s="10" t="n"/>
      <c r="J246" s="9" t="n"/>
      <c r="K246" s="5" t="n"/>
      <c r="L246" s="5" t="n"/>
      <c r="M246" s="5" t="n"/>
      <c r="N246" s="5" t="n"/>
      <c r="O246" s="8">
        <f>IF($B246="","",IF(AND($A246&lt;&gt;"",COUNTIF(INV_ID,$A246)&gt;1),"⚠ this Unit ID already exists",IF(AND($H246&lt;&gt;"",COUNTIF(INV_Serial,$H246)&gt;1),"⚠ this serial already exists",IF(COUNTIFS(INV_Product,$B246,INV_No,$C246)&gt;1,"⚠ piece number reused",""))))</f>
        <v/>
      </c>
      <c r="P246" s="5" t="n"/>
    </row>
    <row r="247">
      <c r="A247" s="8">
        <f>IF(OR($B247="",$C247=""),"",IFERROR(INDEX(PM_Short,MATCH($B247,PM_ID,0))&amp;"-"&amp;TEXT($C247,"00"),"?? no such product"))</f>
        <v/>
      </c>
      <c r="B247" s="5" t="n"/>
      <c r="C247" s="5" t="n"/>
      <c r="D247" s="8">
        <f>IF($B247="","",IFERROR(INDEX(PM_Category,MATCH($B247,PM_ID,0)),""))</f>
        <v/>
      </c>
      <c r="E247" s="8">
        <f>IF($B247="","",IFERROR(INDEX(PM_Subcategory,MATCH($B247,PM_ID,0)),""))</f>
        <v/>
      </c>
      <c r="F247" s="8">
        <f>IF($B247="","",IFERROR(INDEX(PM_Brand,MATCH($B247,PM_ID,0)),""))</f>
        <v/>
      </c>
      <c r="G247" s="8">
        <f>IF($B247="","",IFERROR(INDEX(PM_Model,MATCH($B247,PM_ID,0)),""))</f>
        <v/>
      </c>
      <c r="H247" s="5" t="n"/>
      <c r="I247" s="10" t="n"/>
      <c r="J247" s="9" t="n"/>
      <c r="K247" s="5" t="n"/>
      <c r="L247" s="5" t="n"/>
      <c r="M247" s="5" t="n"/>
      <c r="N247" s="5" t="n"/>
      <c r="O247" s="8">
        <f>IF($B247="","",IF(AND($A247&lt;&gt;"",COUNTIF(INV_ID,$A247)&gt;1),"⚠ this Unit ID already exists",IF(AND($H247&lt;&gt;"",COUNTIF(INV_Serial,$H247)&gt;1),"⚠ this serial already exists",IF(COUNTIFS(INV_Product,$B247,INV_No,$C247)&gt;1,"⚠ piece number reused",""))))</f>
        <v/>
      </c>
      <c r="P247" s="5" t="n"/>
    </row>
    <row r="248">
      <c r="A248" s="8">
        <f>IF(OR($B248="",$C248=""),"",IFERROR(INDEX(PM_Short,MATCH($B248,PM_ID,0))&amp;"-"&amp;TEXT($C248,"00"),"?? no such product"))</f>
        <v/>
      </c>
      <c r="B248" s="5" t="n"/>
      <c r="C248" s="5" t="n"/>
      <c r="D248" s="8">
        <f>IF($B248="","",IFERROR(INDEX(PM_Category,MATCH($B248,PM_ID,0)),""))</f>
        <v/>
      </c>
      <c r="E248" s="8">
        <f>IF($B248="","",IFERROR(INDEX(PM_Subcategory,MATCH($B248,PM_ID,0)),""))</f>
        <v/>
      </c>
      <c r="F248" s="8">
        <f>IF($B248="","",IFERROR(INDEX(PM_Brand,MATCH($B248,PM_ID,0)),""))</f>
        <v/>
      </c>
      <c r="G248" s="8">
        <f>IF($B248="","",IFERROR(INDEX(PM_Model,MATCH($B248,PM_ID,0)),""))</f>
        <v/>
      </c>
      <c r="H248" s="5" t="n"/>
      <c r="I248" s="10" t="n"/>
      <c r="J248" s="9" t="n"/>
      <c r="K248" s="5" t="n"/>
      <c r="L248" s="5" t="n"/>
      <c r="M248" s="5" t="n"/>
      <c r="N248" s="5" t="n"/>
      <c r="O248" s="8">
        <f>IF($B248="","",IF(AND($A248&lt;&gt;"",COUNTIF(INV_ID,$A248)&gt;1),"⚠ this Unit ID already exists",IF(AND($H248&lt;&gt;"",COUNTIF(INV_Serial,$H248)&gt;1),"⚠ this serial already exists",IF(COUNTIFS(INV_Product,$B248,INV_No,$C248)&gt;1,"⚠ piece number reused",""))))</f>
        <v/>
      </c>
      <c r="P248" s="5" t="n"/>
    </row>
    <row r="249">
      <c r="A249" s="8">
        <f>IF(OR($B249="",$C249=""),"",IFERROR(INDEX(PM_Short,MATCH($B249,PM_ID,0))&amp;"-"&amp;TEXT($C249,"00"),"?? no such product"))</f>
        <v/>
      </c>
      <c r="B249" s="5" t="n"/>
      <c r="C249" s="5" t="n"/>
      <c r="D249" s="8">
        <f>IF($B249="","",IFERROR(INDEX(PM_Category,MATCH($B249,PM_ID,0)),""))</f>
        <v/>
      </c>
      <c r="E249" s="8">
        <f>IF($B249="","",IFERROR(INDEX(PM_Subcategory,MATCH($B249,PM_ID,0)),""))</f>
        <v/>
      </c>
      <c r="F249" s="8">
        <f>IF($B249="","",IFERROR(INDEX(PM_Brand,MATCH($B249,PM_ID,0)),""))</f>
        <v/>
      </c>
      <c r="G249" s="8">
        <f>IF($B249="","",IFERROR(INDEX(PM_Model,MATCH($B249,PM_ID,0)),""))</f>
        <v/>
      </c>
      <c r="H249" s="5" t="n"/>
      <c r="I249" s="10" t="n"/>
      <c r="J249" s="9" t="n"/>
      <c r="K249" s="5" t="n"/>
      <c r="L249" s="5" t="n"/>
      <c r="M249" s="5" t="n"/>
      <c r="N249" s="5" t="n"/>
      <c r="O249" s="8">
        <f>IF($B249="","",IF(AND($A249&lt;&gt;"",COUNTIF(INV_ID,$A249)&gt;1),"⚠ this Unit ID already exists",IF(AND($H249&lt;&gt;"",COUNTIF(INV_Serial,$H249)&gt;1),"⚠ this serial already exists",IF(COUNTIFS(INV_Product,$B249,INV_No,$C249)&gt;1,"⚠ piece number reused",""))))</f>
        <v/>
      </c>
      <c r="P249" s="5" t="n"/>
    </row>
    <row r="250">
      <c r="A250" s="8">
        <f>IF(OR($B250="",$C250=""),"",IFERROR(INDEX(PM_Short,MATCH($B250,PM_ID,0))&amp;"-"&amp;TEXT($C250,"00"),"?? no such product"))</f>
        <v/>
      </c>
      <c r="B250" s="5" t="n"/>
      <c r="C250" s="5" t="n"/>
      <c r="D250" s="8">
        <f>IF($B250="","",IFERROR(INDEX(PM_Category,MATCH($B250,PM_ID,0)),""))</f>
        <v/>
      </c>
      <c r="E250" s="8">
        <f>IF($B250="","",IFERROR(INDEX(PM_Subcategory,MATCH($B250,PM_ID,0)),""))</f>
        <v/>
      </c>
      <c r="F250" s="8">
        <f>IF($B250="","",IFERROR(INDEX(PM_Brand,MATCH($B250,PM_ID,0)),""))</f>
        <v/>
      </c>
      <c r="G250" s="8">
        <f>IF($B250="","",IFERROR(INDEX(PM_Model,MATCH($B250,PM_ID,0)),""))</f>
        <v/>
      </c>
      <c r="H250" s="5" t="n"/>
      <c r="I250" s="10" t="n"/>
      <c r="J250" s="9" t="n"/>
      <c r="K250" s="5" t="n"/>
      <c r="L250" s="5" t="n"/>
      <c r="M250" s="5" t="n"/>
      <c r="N250" s="5" t="n"/>
      <c r="O250" s="8">
        <f>IF($B250="","",IF(AND($A250&lt;&gt;"",COUNTIF(INV_ID,$A250)&gt;1),"⚠ this Unit ID already exists",IF(AND($H250&lt;&gt;"",COUNTIF(INV_Serial,$H250)&gt;1),"⚠ this serial already exists",IF(COUNTIFS(INV_Product,$B250,INV_No,$C250)&gt;1,"⚠ piece number reused",""))))</f>
        <v/>
      </c>
      <c r="P250" s="5" t="n"/>
    </row>
    <row r="251">
      <c r="A251" s="8">
        <f>IF(OR($B251="",$C251=""),"",IFERROR(INDEX(PM_Short,MATCH($B251,PM_ID,0))&amp;"-"&amp;TEXT($C251,"00"),"?? no such product"))</f>
        <v/>
      </c>
      <c r="B251" s="5" t="n"/>
      <c r="C251" s="5" t="n"/>
      <c r="D251" s="8">
        <f>IF($B251="","",IFERROR(INDEX(PM_Category,MATCH($B251,PM_ID,0)),""))</f>
        <v/>
      </c>
      <c r="E251" s="8">
        <f>IF($B251="","",IFERROR(INDEX(PM_Subcategory,MATCH($B251,PM_ID,0)),""))</f>
        <v/>
      </c>
      <c r="F251" s="8">
        <f>IF($B251="","",IFERROR(INDEX(PM_Brand,MATCH($B251,PM_ID,0)),""))</f>
        <v/>
      </c>
      <c r="G251" s="8">
        <f>IF($B251="","",IFERROR(INDEX(PM_Model,MATCH($B251,PM_ID,0)),""))</f>
        <v/>
      </c>
      <c r="H251" s="5" t="n"/>
      <c r="I251" s="10" t="n"/>
      <c r="J251" s="9" t="n"/>
      <c r="K251" s="5" t="n"/>
      <c r="L251" s="5" t="n"/>
      <c r="M251" s="5" t="n"/>
      <c r="N251" s="5" t="n"/>
      <c r="O251" s="8">
        <f>IF($B251="","",IF(AND($A251&lt;&gt;"",COUNTIF(INV_ID,$A251)&gt;1),"⚠ this Unit ID already exists",IF(AND($H251&lt;&gt;"",COUNTIF(INV_Serial,$H251)&gt;1),"⚠ this serial already exists",IF(COUNTIFS(INV_Product,$B251,INV_No,$C251)&gt;1,"⚠ piece number reused",""))))</f>
        <v/>
      </c>
      <c r="P251" s="5" t="n"/>
    </row>
    <row r="252">
      <c r="A252" s="8">
        <f>IF(OR($B252="",$C252=""),"",IFERROR(INDEX(PM_Short,MATCH($B252,PM_ID,0))&amp;"-"&amp;TEXT($C252,"00"),"?? no such product"))</f>
        <v/>
      </c>
      <c r="B252" s="5" t="n"/>
      <c r="C252" s="5" t="n"/>
      <c r="D252" s="8">
        <f>IF($B252="","",IFERROR(INDEX(PM_Category,MATCH($B252,PM_ID,0)),""))</f>
        <v/>
      </c>
      <c r="E252" s="8">
        <f>IF($B252="","",IFERROR(INDEX(PM_Subcategory,MATCH($B252,PM_ID,0)),""))</f>
        <v/>
      </c>
      <c r="F252" s="8">
        <f>IF($B252="","",IFERROR(INDEX(PM_Brand,MATCH($B252,PM_ID,0)),""))</f>
        <v/>
      </c>
      <c r="G252" s="8">
        <f>IF($B252="","",IFERROR(INDEX(PM_Model,MATCH($B252,PM_ID,0)),""))</f>
        <v/>
      </c>
      <c r="H252" s="5" t="n"/>
      <c r="I252" s="10" t="n"/>
      <c r="J252" s="9" t="n"/>
      <c r="K252" s="5" t="n"/>
      <c r="L252" s="5" t="n"/>
      <c r="M252" s="5" t="n"/>
      <c r="N252" s="5" t="n"/>
      <c r="O252" s="8">
        <f>IF($B252="","",IF(AND($A252&lt;&gt;"",COUNTIF(INV_ID,$A252)&gt;1),"⚠ this Unit ID already exists",IF(AND($H252&lt;&gt;"",COUNTIF(INV_Serial,$H252)&gt;1),"⚠ this serial already exists",IF(COUNTIFS(INV_Product,$B252,INV_No,$C252)&gt;1,"⚠ piece number reused",""))))</f>
        <v/>
      </c>
      <c r="P252" s="5" t="n"/>
    </row>
    <row r="253">
      <c r="A253" s="8">
        <f>IF(OR($B253="",$C253=""),"",IFERROR(INDEX(PM_Short,MATCH($B253,PM_ID,0))&amp;"-"&amp;TEXT($C253,"00"),"?? no such product"))</f>
        <v/>
      </c>
      <c r="B253" s="5" t="n"/>
      <c r="C253" s="5" t="n"/>
      <c r="D253" s="8">
        <f>IF($B253="","",IFERROR(INDEX(PM_Category,MATCH($B253,PM_ID,0)),""))</f>
        <v/>
      </c>
      <c r="E253" s="8">
        <f>IF($B253="","",IFERROR(INDEX(PM_Subcategory,MATCH($B253,PM_ID,0)),""))</f>
        <v/>
      </c>
      <c r="F253" s="8">
        <f>IF($B253="","",IFERROR(INDEX(PM_Brand,MATCH($B253,PM_ID,0)),""))</f>
        <v/>
      </c>
      <c r="G253" s="8">
        <f>IF($B253="","",IFERROR(INDEX(PM_Model,MATCH($B253,PM_ID,0)),""))</f>
        <v/>
      </c>
      <c r="H253" s="5" t="n"/>
      <c r="I253" s="10" t="n"/>
      <c r="J253" s="9" t="n"/>
      <c r="K253" s="5" t="n"/>
      <c r="L253" s="5" t="n"/>
      <c r="M253" s="5" t="n"/>
      <c r="N253" s="5" t="n"/>
      <c r="O253" s="8">
        <f>IF($B253="","",IF(AND($A253&lt;&gt;"",COUNTIF(INV_ID,$A253)&gt;1),"⚠ this Unit ID already exists",IF(AND($H253&lt;&gt;"",COUNTIF(INV_Serial,$H253)&gt;1),"⚠ this serial already exists",IF(COUNTIFS(INV_Product,$B253,INV_No,$C253)&gt;1,"⚠ piece number reused",""))))</f>
        <v/>
      </c>
      <c r="P253" s="5" t="n"/>
    </row>
    <row r="254">
      <c r="A254" s="8">
        <f>IF(OR($B254="",$C254=""),"",IFERROR(INDEX(PM_Short,MATCH($B254,PM_ID,0))&amp;"-"&amp;TEXT($C254,"00"),"?? no such product"))</f>
        <v/>
      </c>
      <c r="B254" s="5" t="n"/>
      <c r="C254" s="5" t="n"/>
      <c r="D254" s="8">
        <f>IF($B254="","",IFERROR(INDEX(PM_Category,MATCH($B254,PM_ID,0)),""))</f>
        <v/>
      </c>
      <c r="E254" s="8">
        <f>IF($B254="","",IFERROR(INDEX(PM_Subcategory,MATCH($B254,PM_ID,0)),""))</f>
        <v/>
      </c>
      <c r="F254" s="8">
        <f>IF($B254="","",IFERROR(INDEX(PM_Brand,MATCH($B254,PM_ID,0)),""))</f>
        <v/>
      </c>
      <c r="G254" s="8">
        <f>IF($B254="","",IFERROR(INDEX(PM_Model,MATCH($B254,PM_ID,0)),""))</f>
        <v/>
      </c>
      <c r="H254" s="5" t="n"/>
      <c r="I254" s="10" t="n"/>
      <c r="J254" s="9" t="n"/>
      <c r="K254" s="5" t="n"/>
      <c r="L254" s="5" t="n"/>
      <c r="M254" s="5" t="n"/>
      <c r="N254" s="5" t="n"/>
      <c r="O254" s="8">
        <f>IF($B254="","",IF(AND($A254&lt;&gt;"",COUNTIF(INV_ID,$A254)&gt;1),"⚠ this Unit ID already exists",IF(AND($H254&lt;&gt;"",COUNTIF(INV_Serial,$H254)&gt;1),"⚠ this serial already exists",IF(COUNTIFS(INV_Product,$B254,INV_No,$C254)&gt;1,"⚠ piece number reused",""))))</f>
        <v/>
      </c>
      <c r="P254" s="5" t="n"/>
    </row>
    <row r="255">
      <c r="A255" s="8">
        <f>IF(OR($B255="",$C255=""),"",IFERROR(INDEX(PM_Short,MATCH($B255,PM_ID,0))&amp;"-"&amp;TEXT($C255,"00"),"?? no such product"))</f>
        <v/>
      </c>
      <c r="B255" s="5" t="n"/>
      <c r="C255" s="5" t="n"/>
      <c r="D255" s="8">
        <f>IF($B255="","",IFERROR(INDEX(PM_Category,MATCH($B255,PM_ID,0)),""))</f>
        <v/>
      </c>
      <c r="E255" s="8">
        <f>IF($B255="","",IFERROR(INDEX(PM_Subcategory,MATCH($B255,PM_ID,0)),""))</f>
        <v/>
      </c>
      <c r="F255" s="8">
        <f>IF($B255="","",IFERROR(INDEX(PM_Brand,MATCH($B255,PM_ID,0)),""))</f>
        <v/>
      </c>
      <c r="G255" s="8">
        <f>IF($B255="","",IFERROR(INDEX(PM_Model,MATCH($B255,PM_ID,0)),""))</f>
        <v/>
      </c>
      <c r="H255" s="5" t="n"/>
      <c r="I255" s="10" t="n"/>
      <c r="J255" s="9" t="n"/>
      <c r="K255" s="5" t="n"/>
      <c r="L255" s="5" t="n"/>
      <c r="M255" s="5" t="n"/>
      <c r="N255" s="5" t="n"/>
      <c r="O255" s="8">
        <f>IF($B255="","",IF(AND($A255&lt;&gt;"",COUNTIF(INV_ID,$A255)&gt;1),"⚠ this Unit ID already exists",IF(AND($H255&lt;&gt;"",COUNTIF(INV_Serial,$H255)&gt;1),"⚠ this serial already exists",IF(COUNTIFS(INV_Product,$B255,INV_No,$C255)&gt;1,"⚠ piece number reused",""))))</f>
        <v/>
      </c>
      <c r="P255" s="5" t="n"/>
    </row>
    <row r="256">
      <c r="A256" s="8">
        <f>IF(OR($B256="",$C256=""),"",IFERROR(INDEX(PM_Short,MATCH($B256,PM_ID,0))&amp;"-"&amp;TEXT($C256,"00"),"?? no such product"))</f>
        <v/>
      </c>
      <c r="B256" s="5" t="n"/>
      <c r="C256" s="5" t="n"/>
      <c r="D256" s="8">
        <f>IF($B256="","",IFERROR(INDEX(PM_Category,MATCH($B256,PM_ID,0)),""))</f>
        <v/>
      </c>
      <c r="E256" s="8">
        <f>IF($B256="","",IFERROR(INDEX(PM_Subcategory,MATCH($B256,PM_ID,0)),""))</f>
        <v/>
      </c>
      <c r="F256" s="8">
        <f>IF($B256="","",IFERROR(INDEX(PM_Brand,MATCH($B256,PM_ID,0)),""))</f>
        <v/>
      </c>
      <c r="G256" s="8">
        <f>IF($B256="","",IFERROR(INDEX(PM_Model,MATCH($B256,PM_ID,0)),""))</f>
        <v/>
      </c>
      <c r="H256" s="5" t="n"/>
      <c r="I256" s="10" t="n"/>
      <c r="J256" s="9" t="n"/>
      <c r="K256" s="5" t="n"/>
      <c r="L256" s="5" t="n"/>
      <c r="M256" s="5" t="n"/>
      <c r="N256" s="5" t="n"/>
      <c r="O256" s="8">
        <f>IF($B256="","",IF(AND($A256&lt;&gt;"",COUNTIF(INV_ID,$A256)&gt;1),"⚠ this Unit ID already exists",IF(AND($H256&lt;&gt;"",COUNTIF(INV_Serial,$H256)&gt;1),"⚠ this serial already exists",IF(COUNTIFS(INV_Product,$B256,INV_No,$C256)&gt;1,"⚠ piece number reused",""))))</f>
        <v/>
      </c>
      <c r="P256" s="5" t="n"/>
    </row>
    <row r="257">
      <c r="A257" s="8">
        <f>IF(OR($B257="",$C257=""),"",IFERROR(INDEX(PM_Short,MATCH($B257,PM_ID,0))&amp;"-"&amp;TEXT($C257,"00"),"?? no such product"))</f>
        <v/>
      </c>
      <c r="B257" s="5" t="n"/>
      <c r="C257" s="5" t="n"/>
      <c r="D257" s="8">
        <f>IF($B257="","",IFERROR(INDEX(PM_Category,MATCH($B257,PM_ID,0)),""))</f>
        <v/>
      </c>
      <c r="E257" s="8">
        <f>IF($B257="","",IFERROR(INDEX(PM_Subcategory,MATCH($B257,PM_ID,0)),""))</f>
        <v/>
      </c>
      <c r="F257" s="8">
        <f>IF($B257="","",IFERROR(INDEX(PM_Brand,MATCH($B257,PM_ID,0)),""))</f>
        <v/>
      </c>
      <c r="G257" s="8">
        <f>IF($B257="","",IFERROR(INDEX(PM_Model,MATCH($B257,PM_ID,0)),""))</f>
        <v/>
      </c>
      <c r="H257" s="5" t="n"/>
      <c r="I257" s="10" t="n"/>
      <c r="J257" s="9" t="n"/>
      <c r="K257" s="5" t="n"/>
      <c r="L257" s="5" t="n"/>
      <c r="M257" s="5" t="n"/>
      <c r="N257" s="5" t="n"/>
      <c r="O257" s="8">
        <f>IF($B257="","",IF(AND($A257&lt;&gt;"",COUNTIF(INV_ID,$A257)&gt;1),"⚠ this Unit ID already exists",IF(AND($H257&lt;&gt;"",COUNTIF(INV_Serial,$H257)&gt;1),"⚠ this serial already exists",IF(COUNTIFS(INV_Product,$B257,INV_No,$C257)&gt;1,"⚠ piece number reused",""))))</f>
        <v/>
      </c>
      <c r="P257" s="5" t="n"/>
    </row>
    <row r="258">
      <c r="A258" s="8">
        <f>IF(OR($B258="",$C258=""),"",IFERROR(INDEX(PM_Short,MATCH($B258,PM_ID,0))&amp;"-"&amp;TEXT($C258,"00"),"?? no such product"))</f>
        <v/>
      </c>
      <c r="B258" s="5" t="n"/>
      <c r="C258" s="5" t="n"/>
      <c r="D258" s="8">
        <f>IF($B258="","",IFERROR(INDEX(PM_Category,MATCH($B258,PM_ID,0)),""))</f>
        <v/>
      </c>
      <c r="E258" s="8">
        <f>IF($B258="","",IFERROR(INDEX(PM_Subcategory,MATCH($B258,PM_ID,0)),""))</f>
        <v/>
      </c>
      <c r="F258" s="8">
        <f>IF($B258="","",IFERROR(INDEX(PM_Brand,MATCH($B258,PM_ID,0)),""))</f>
        <v/>
      </c>
      <c r="G258" s="8">
        <f>IF($B258="","",IFERROR(INDEX(PM_Model,MATCH($B258,PM_ID,0)),""))</f>
        <v/>
      </c>
      <c r="H258" s="5" t="n"/>
      <c r="I258" s="10" t="n"/>
      <c r="J258" s="9" t="n"/>
      <c r="K258" s="5" t="n"/>
      <c r="L258" s="5" t="n"/>
      <c r="M258" s="5" t="n"/>
      <c r="N258" s="5" t="n"/>
      <c r="O258" s="8">
        <f>IF($B258="","",IF(AND($A258&lt;&gt;"",COUNTIF(INV_ID,$A258)&gt;1),"⚠ this Unit ID already exists",IF(AND($H258&lt;&gt;"",COUNTIF(INV_Serial,$H258)&gt;1),"⚠ this serial already exists",IF(COUNTIFS(INV_Product,$B258,INV_No,$C258)&gt;1,"⚠ piece number reused",""))))</f>
        <v/>
      </c>
      <c r="P258" s="5" t="n"/>
    </row>
    <row r="259">
      <c r="A259" s="8">
        <f>IF(OR($B259="",$C259=""),"",IFERROR(INDEX(PM_Short,MATCH($B259,PM_ID,0))&amp;"-"&amp;TEXT($C259,"00"),"?? no such product"))</f>
        <v/>
      </c>
      <c r="B259" s="5" t="n"/>
      <c r="C259" s="5" t="n"/>
      <c r="D259" s="8">
        <f>IF($B259="","",IFERROR(INDEX(PM_Category,MATCH($B259,PM_ID,0)),""))</f>
        <v/>
      </c>
      <c r="E259" s="8">
        <f>IF($B259="","",IFERROR(INDEX(PM_Subcategory,MATCH($B259,PM_ID,0)),""))</f>
        <v/>
      </c>
      <c r="F259" s="8">
        <f>IF($B259="","",IFERROR(INDEX(PM_Brand,MATCH($B259,PM_ID,0)),""))</f>
        <v/>
      </c>
      <c r="G259" s="8">
        <f>IF($B259="","",IFERROR(INDEX(PM_Model,MATCH($B259,PM_ID,0)),""))</f>
        <v/>
      </c>
      <c r="H259" s="5" t="n"/>
      <c r="I259" s="10" t="n"/>
      <c r="J259" s="9" t="n"/>
      <c r="K259" s="5" t="n"/>
      <c r="L259" s="5" t="n"/>
      <c r="M259" s="5" t="n"/>
      <c r="N259" s="5" t="n"/>
      <c r="O259" s="8">
        <f>IF($B259="","",IF(AND($A259&lt;&gt;"",COUNTIF(INV_ID,$A259)&gt;1),"⚠ this Unit ID already exists",IF(AND($H259&lt;&gt;"",COUNTIF(INV_Serial,$H259)&gt;1),"⚠ this serial already exists",IF(COUNTIFS(INV_Product,$B259,INV_No,$C259)&gt;1,"⚠ piece number reused",""))))</f>
        <v/>
      </c>
      <c r="P259" s="5" t="n"/>
    </row>
    <row r="260">
      <c r="A260" s="8">
        <f>IF(OR($B260="",$C260=""),"",IFERROR(INDEX(PM_Short,MATCH($B260,PM_ID,0))&amp;"-"&amp;TEXT($C260,"00"),"?? no such product"))</f>
        <v/>
      </c>
      <c r="B260" s="5" t="n"/>
      <c r="C260" s="5" t="n"/>
      <c r="D260" s="8">
        <f>IF($B260="","",IFERROR(INDEX(PM_Category,MATCH($B260,PM_ID,0)),""))</f>
        <v/>
      </c>
      <c r="E260" s="8">
        <f>IF($B260="","",IFERROR(INDEX(PM_Subcategory,MATCH($B260,PM_ID,0)),""))</f>
        <v/>
      </c>
      <c r="F260" s="8">
        <f>IF($B260="","",IFERROR(INDEX(PM_Brand,MATCH($B260,PM_ID,0)),""))</f>
        <v/>
      </c>
      <c r="G260" s="8">
        <f>IF($B260="","",IFERROR(INDEX(PM_Model,MATCH($B260,PM_ID,0)),""))</f>
        <v/>
      </c>
      <c r="H260" s="5" t="n"/>
      <c r="I260" s="10" t="n"/>
      <c r="J260" s="9" t="n"/>
      <c r="K260" s="5" t="n"/>
      <c r="L260" s="5" t="n"/>
      <c r="M260" s="5" t="n"/>
      <c r="N260" s="5" t="n"/>
      <c r="O260" s="8">
        <f>IF($B260="","",IF(AND($A260&lt;&gt;"",COUNTIF(INV_ID,$A260)&gt;1),"⚠ this Unit ID already exists",IF(AND($H260&lt;&gt;"",COUNTIF(INV_Serial,$H260)&gt;1),"⚠ this serial already exists",IF(COUNTIFS(INV_Product,$B260,INV_No,$C260)&gt;1,"⚠ piece number reused",""))))</f>
        <v/>
      </c>
      <c r="P260" s="5" t="n"/>
    </row>
    <row r="261">
      <c r="A261" s="8">
        <f>IF(OR($B261="",$C261=""),"",IFERROR(INDEX(PM_Short,MATCH($B261,PM_ID,0))&amp;"-"&amp;TEXT($C261,"00"),"?? no such product"))</f>
        <v/>
      </c>
      <c r="B261" s="5" t="n"/>
      <c r="C261" s="5" t="n"/>
      <c r="D261" s="8">
        <f>IF($B261="","",IFERROR(INDEX(PM_Category,MATCH($B261,PM_ID,0)),""))</f>
        <v/>
      </c>
      <c r="E261" s="8">
        <f>IF($B261="","",IFERROR(INDEX(PM_Subcategory,MATCH($B261,PM_ID,0)),""))</f>
        <v/>
      </c>
      <c r="F261" s="8">
        <f>IF($B261="","",IFERROR(INDEX(PM_Brand,MATCH($B261,PM_ID,0)),""))</f>
        <v/>
      </c>
      <c r="G261" s="8">
        <f>IF($B261="","",IFERROR(INDEX(PM_Model,MATCH($B261,PM_ID,0)),""))</f>
        <v/>
      </c>
      <c r="H261" s="5" t="n"/>
      <c r="I261" s="10" t="n"/>
      <c r="J261" s="9" t="n"/>
      <c r="K261" s="5" t="n"/>
      <c r="L261" s="5" t="n"/>
      <c r="M261" s="5" t="n"/>
      <c r="N261" s="5" t="n"/>
      <c r="O261" s="8">
        <f>IF($B261="","",IF(AND($A261&lt;&gt;"",COUNTIF(INV_ID,$A261)&gt;1),"⚠ this Unit ID already exists",IF(AND($H261&lt;&gt;"",COUNTIF(INV_Serial,$H261)&gt;1),"⚠ this serial already exists",IF(COUNTIFS(INV_Product,$B261,INV_No,$C261)&gt;1,"⚠ piece number reused",""))))</f>
        <v/>
      </c>
      <c r="P261" s="5" t="n"/>
    </row>
    <row r="262">
      <c r="A262" s="8">
        <f>IF(OR($B262="",$C262=""),"",IFERROR(INDEX(PM_Short,MATCH($B262,PM_ID,0))&amp;"-"&amp;TEXT($C262,"00"),"?? no such product"))</f>
        <v/>
      </c>
      <c r="B262" s="5" t="n"/>
      <c r="C262" s="5" t="n"/>
      <c r="D262" s="8">
        <f>IF($B262="","",IFERROR(INDEX(PM_Category,MATCH($B262,PM_ID,0)),""))</f>
        <v/>
      </c>
      <c r="E262" s="8">
        <f>IF($B262="","",IFERROR(INDEX(PM_Subcategory,MATCH($B262,PM_ID,0)),""))</f>
        <v/>
      </c>
      <c r="F262" s="8">
        <f>IF($B262="","",IFERROR(INDEX(PM_Brand,MATCH($B262,PM_ID,0)),""))</f>
        <v/>
      </c>
      <c r="G262" s="8">
        <f>IF($B262="","",IFERROR(INDEX(PM_Model,MATCH($B262,PM_ID,0)),""))</f>
        <v/>
      </c>
      <c r="H262" s="5" t="n"/>
      <c r="I262" s="10" t="n"/>
      <c r="J262" s="9" t="n"/>
      <c r="K262" s="5" t="n"/>
      <c r="L262" s="5" t="n"/>
      <c r="M262" s="5" t="n"/>
      <c r="N262" s="5" t="n"/>
      <c r="O262" s="8">
        <f>IF($B262="","",IF(AND($A262&lt;&gt;"",COUNTIF(INV_ID,$A262)&gt;1),"⚠ this Unit ID already exists",IF(AND($H262&lt;&gt;"",COUNTIF(INV_Serial,$H262)&gt;1),"⚠ this serial already exists",IF(COUNTIFS(INV_Product,$B262,INV_No,$C262)&gt;1,"⚠ piece number reused",""))))</f>
        <v/>
      </c>
      <c r="P262" s="5" t="n"/>
    </row>
    <row r="263">
      <c r="A263" s="8">
        <f>IF(OR($B263="",$C263=""),"",IFERROR(INDEX(PM_Short,MATCH($B263,PM_ID,0))&amp;"-"&amp;TEXT($C263,"00"),"?? no such product"))</f>
        <v/>
      </c>
      <c r="B263" s="5" t="n"/>
      <c r="C263" s="5" t="n"/>
      <c r="D263" s="8">
        <f>IF($B263="","",IFERROR(INDEX(PM_Category,MATCH($B263,PM_ID,0)),""))</f>
        <v/>
      </c>
      <c r="E263" s="8">
        <f>IF($B263="","",IFERROR(INDEX(PM_Subcategory,MATCH($B263,PM_ID,0)),""))</f>
        <v/>
      </c>
      <c r="F263" s="8">
        <f>IF($B263="","",IFERROR(INDEX(PM_Brand,MATCH($B263,PM_ID,0)),""))</f>
        <v/>
      </c>
      <c r="G263" s="8">
        <f>IF($B263="","",IFERROR(INDEX(PM_Model,MATCH($B263,PM_ID,0)),""))</f>
        <v/>
      </c>
      <c r="H263" s="5" t="n"/>
      <c r="I263" s="10" t="n"/>
      <c r="J263" s="9" t="n"/>
      <c r="K263" s="5" t="n"/>
      <c r="L263" s="5" t="n"/>
      <c r="M263" s="5" t="n"/>
      <c r="N263" s="5" t="n"/>
      <c r="O263" s="8">
        <f>IF($B263="","",IF(AND($A263&lt;&gt;"",COUNTIF(INV_ID,$A263)&gt;1),"⚠ this Unit ID already exists",IF(AND($H263&lt;&gt;"",COUNTIF(INV_Serial,$H263)&gt;1),"⚠ this serial already exists",IF(COUNTIFS(INV_Product,$B263,INV_No,$C263)&gt;1,"⚠ piece number reused",""))))</f>
        <v/>
      </c>
      <c r="P263" s="5" t="n"/>
    </row>
    <row r="264">
      <c r="A264" s="8">
        <f>IF(OR($B264="",$C264=""),"",IFERROR(INDEX(PM_Short,MATCH($B264,PM_ID,0))&amp;"-"&amp;TEXT($C264,"00"),"?? no such product"))</f>
        <v/>
      </c>
      <c r="B264" s="5" t="n"/>
      <c r="C264" s="5" t="n"/>
      <c r="D264" s="8">
        <f>IF($B264="","",IFERROR(INDEX(PM_Category,MATCH($B264,PM_ID,0)),""))</f>
        <v/>
      </c>
      <c r="E264" s="8">
        <f>IF($B264="","",IFERROR(INDEX(PM_Subcategory,MATCH($B264,PM_ID,0)),""))</f>
        <v/>
      </c>
      <c r="F264" s="8">
        <f>IF($B264="","",IFERROR(INDEX(PM_Brand,MATCH($B264,PM_ID,0)),""))</f>
        <v/>
      </c>
      <c r="G264" s="8">
        <f>IF($B264="","",IFERROR(INDEX(PM_Model,MATCH($B264,PM_ID,0)),""))</f>
        <v/>
      </c>
      <c r="H264" s="5" t="n"/>
      <c r="I264" s="10" t="n"/>
      <c r="J264" s="9" t="n"/>
      <c r="K264" s="5" t="n"/>
      <c r="L264" s="5" t="n"/>
      <c r="M264" s="5" t="n"/>
      <c r="N264" s="5" t="n"/>
      <c r="O264" s="8">
        <f>IF($B264="","",IF(AND($A264&lt;&gt;"",COUNTIF(INV_ID,$A264)&gt;1),"⚠ this Unit ID already exists",IF(AND($H264&lt;&gt;"",COUNTIF(INV_Serial,$H264)&gt;1),"⚠ this serial already exists",IF(COUNTIFS(INV_Product,$B264,INV_No,$C264)&gt;1,"⚠ piece number reused",""))))</f>
        <v/>
      </c>
      <c r="P264" s="5" t="n"/>
    </row>
    <row r="265">
      <c r="A265" s="8">
        <f>IF(OR($B265="",$C265=""),"",IFERROR(INDEX(PM_Short,MATCH($B265,PM_ID,0))&amp;"-"&amp;TEXT($C265,"00"),"?? no such product"))</f>
        <v/>
      </c>
      <c r="B265" s="5" t="n"/>
      <c r="C265" s="5" t="n"/>
      <c r="D265" s="8">
        <f>IF($B265="","",IFERROR(INDEX(PM_Category,MATCH($B265,PM_ID,0)),""))</f>
        <v/>
      </c>
      <c r="E265" s="8">
        <f>IF($B265="","",IFERROR(INDEX(PM_Subcategory,MATCH($B265,PM_ID,0)),""))</f>
        <v/>
      </c>
      <c r="F265" s="8">
        <f>IF($B265="","",IFERROR(INDEX(PM_Brand,MATCH($B265,PM_ID,0)),""))</f>
        <v/>
      </c>
      <c r="G265" s="8">
        <f>IF($B265="","",IFERROR(INDEX(PM_Model,MATCH($B265,PM_ID,0)),""))</f>
        <v/>
      </c>
      <c r="H265" s="5" t="n"/>
      <c r="I265" s="10" t="n"/>
      <c r="J265" s="9" t="n"/>
      <c r="K265" s="5" t="n"/>
      <c r="L265" s="5" t="n"/>
      <c r="M265" s="5" t="n"/>
      <c r="N265" s="5" t="n"/>
      <c r="O265" s="8">
        <f>IF($B265="","",IF(AND($A265&lt;&gt;"",COUNTIF(INV_ID,$A265)&gt;1),"⚠ this Unit ID already exists",IF(AND($H265&lt;&gt;"",COUNTIF(INV_Serial,$H265)&gt;1),"⚠ this serial already exists",IF(COUNTIFS(INV_Product,$B265,INV_No,$C265)&gt;1,"⚠ piece number reused",""))))</f>
        <v/>
      </c>
      <c r="P265" s="5" t="n"/>
    </row>
    <row r="266">
      <c r="A266" s="8">
        <f>IF(OR($B266="",$C266=""),"",IFERROR(INDEX(PM_Short,MATCH($B266,PM_ID,0))&amp;"-"&amp;TEXT($C266,"00"),"?? no such product"))</f>
        <v/>
      </c>
      <c r="B266" s="5" t="n"/>
      <c r="C266" s="5" t="n"/>
      <c r="D266" s="8">
        <f>IF($B266="","",IFERROR(INDEX(PM_Category,MATCH($B266,PM_ID,0)),""))</f>
        <v/>
      </c>
      <c r="E266" s="8">
        <f>IF($B266="","",IFERROR(INDEX(PM_Subcategory,MATCH($B266,PM_ID,0)),""))</f>
        <v/>
      </c>
      <c r="F266" s="8">
        <f>IF($B266="","",IFERROR(INDEX(PM_Brand,MATCH($B266,PM_ID,0)),""))</f>
        <v/>
      </c>
      <c r="G266" s="8">
        <f>IF($B266="","",IFERROR(INDEX(PM_Model,MATCH($B266,PM_ID,0)),""))</f>
        <v/>
      </c>
      <c r="H266" s="5" t="n"/>
      <c r="I266" s="10" t="n"/>
      <c r="J266" s="9" t="n"/>
      <c r="K266" s="5" t="n"/>
      <c r="L266" s="5" t="n"/>
      <c r="M266" s="5" t="n"/>
      <c r="N266" s="5" t="n"/>
      <c r="O266" s="8">
        <f>IF($B266="","",IF(AND($A266&lt;&gt;"",COUNTIF(INV_ID,$A266)&gt;1),"⚠ this Unit ID already exists",IF(AND($H266&lt;&gt;"",COUNTIF(INV_Serial,$H266)&gt;1),"⚠ this serial already exists",IF(COUNTIFS(INV_Product,$B266,INV_No,$C266)&gt;1,"⚠ piece number reused",""))))</f>
        <v/>
      </c>
      <c r="P266" s="5" t="n"/>
    </row>
    <row r="267">
      <c r="A267" s="8">
        <f>IF(OR($B267="",$C267=""),"",IFERROR(INDEX(PM_Short,MATCH($B267,PM_ID,0))&amp;"-"&amp;TEXT($C267,"00"),"?? no such product"))</f>
        <v/>
      </c>
      <c r="B267" s="5" t="n"/>
      <c r="C267" s="5" t="n"/>
      <c r="D267" s="8">
        <f>IF($B267="","",IFERROR(INDEX(PM_Category,MATCH($B267,PM_ID,0)),""))</f>
        <v/>
      </c>
      <c r="E267" s="8">
        <f>IF($B267="","",IFERROR(INDEX(PM_Subcategory,MATCH($B267,PM_ID,0)),""))</f>
        <v/>
      </c>
      <c r="F267" s="8">
        <f>IF($B267="","",IFERROR(INDEX(PM_Brand,MATCH($B267,PM_ID,0)),""))</f>
        <v/>
      </c>
      <c r="G267" s="8">
        <f>IF($B267="","",IFERROR(INDEX(PM_Model,MATCH($B267,PM_ID,0)),""))</f>
        <v/>
      </c>
      <c r="H267" s="5" t="n"/>
      <c r="I267" s="10" t="n"/>
      <c r="J267" s="9" t="n"/>
      <c r="K267" s="5" t="n"/>
      <c r="L267" s="5" t="n"/>
      <c r="M267" s="5" t="n"/>
      <c r="N267" s="5" t="n"/>
      <c r="O267" s="8">
        <f>IF($B267="","",IF(AND($A267&lt;&gt;"",COUNTIF(INV_ID,$A267)&gt;1),"⚠ this Unit ID already exists",IF(AND($H267&lt;&gt;"",COUNTIF(INV_Serial,$H267)&gt;1),"⚠ this serial already exists",IF(COUNTIFS(INV_Product,$B267,INV_No,$C267)&gt;1,"⚠ piece number reused",""))))</f>
        <v/>
      </c>
      <c r="P267" s="5" t="n"/>
    </row>
    <row r="268">
      <c r="A268" s="8">
        <f>IF(OR($B268="",$C268=""),"",IFERROR(INDEX(PM_Short,MATCH($B268,PM_ID,0))&amp;"-"&amp;TEXT($C268,"00"),"?? no such product"))</f>
        <v/>
      </c>
      <c r="B268" s="5" t="n"/>
      <c r="C268" s="5" t="n"/>
      <c r="D268" s="8">
        <f>IF($B268="","",IFERROR(INDEX(PM_Category,MATCH($B268,PM_ID,0)),""))</f>
        <v/>
      </c>
      <c r="E268" s="8">
        <f>IF($B268="","",IFERROR(INDEX(PM_Subcategory,MATCH($B268,PM_ID,0)),""))</f>
        <v/>
      </c>
      <c r="F268" s="8">
        <f>IF($B268="","",IFERROR(INDEX(PM_Brand,MATCH($B268,PM_ID,0)),""))</f>
        <v/>
      </c>
      <c r="G268" s="8">
        <f>IF($B268="","",IFERROR(INDEX(PM_Model,MATCH($B268,PM_ID,0)),""))</f>
        <v/>
      </c>
      <c r="H268" s="5" t="n"/>
      <c r="I268" s="10" t="n"/>
      <c r="J268" s="9" t="n"/>
      <c r="K268" s="5" t="n"/>
      <c r="L268" s="5" t="n"/>
      <c r="M268" s="5" t="n"/>
      <c r="N268" s="5" t="n"/>
      <c r="O268" s="8">
        <f>IF($B268="","",IF(AND($A268&lt;&gt;"",COUNTIF(INV_ID,$A268)&gt;1),"⚠ this Unit ID already exists",IF(AND($H268&lt;&gt;"",COUNTIF(INV_Serial,$H268)&gt;1),"⚠ this serial already exists",IF(COUNTIFS(INV_Product,$B268,INV_No,$C268)&gt;1,"⚠ piece number reused",""))))</f>
        <v/>
      </c>
      <c r="P268" s="5" t="n"/>
    </row>
    <row r="269">
      <c r="A269" s="8">
        <f>IF(OR($B269="",$C269=""),"",IFERROR(INDEX(PM_Short,MATCH($B269,PM_ID,0))&amp;"-"&amp;TEXT($C269,"00"),"?? no such product"))</f>
        <v/>
      </c>
      <c r="B269" s="5" t="n"/>
      <c r="C269" s="5" t="n"/>
      <c r="D269" s="8">
        <f>IF($B269="","",IFERROR(INDEX(PM_Category,MATCH($B269,PM_ID,0)),""))</f>
        <v/>
      </c>
      <c r="E269" s="8">
        <f>IF($B269="","",IFERROR(INDEX(PM_Subcategory,MATCH($B269,PM_ID,0)),""))</f>
        <v/>
      </c>
      <c r="F269" s="8">
        <f>IF($B269="","",IFERROR(INDEX(PM_Brand,MATCH($B269,PM_ID,0)),""))</f>
        <v/>
      </c>
      <c r="G269" s="8">
        <f>IF($B269="","",IFERROR(INDEX(PM_Model,MATCH($B269,PM_ID,0)),""))</f>
        <v/>
      </c>
      <c r="H269" s="5" t="n"/>
      <c r="I269" s="10" t="n"/>
      <c r="J269" s="9" t="n"/>
      <c r="K269" s="5" t="n"/>
      <c r="L269" s="5" t="n"/>
      <c r="M269" s="5" t="n"/>
      <c r="N269" s="5" t="n"/>
      <c r="O269" s="8">
        <f>IF($B269="","",IF(AND($A269&lt;&gt;"",COUNTIF(INV_ID,$A269)&gt;1),"⚠ this Unit ID already exists",IF(AND($H269&lt;&gt;"",COUNTIF(INV_Serial,$H269)&gt;1),"⚠ this serial already exists",IF(COUNTIFS(INV_Product,$B269,INV_No,$C269)&gt;1,"⚠ piece number reused",""))))</f>
        <v/>
      </c>
      <c r="P269" s="5" t="n"/>
    </row>
    <row r="270">
      <c r="A270" s="8">
        <f>IF(OR($B270="",$C270=""),"",IFERROR(INDEX(PM_Short,MATCH($B270,PM_ID,0))&amp;"-"&amp;TEXT($C270,"00"),"?? no such product"))</f>
        <v/>
      </c>
      <c r="B270" s="5" t="n"/>
      <c r="C270" s="5" t="n"/>
      <c r="D270" s="8">
        <f>IF($B270="","",IFERROR(INDEX(PM_Category,MATCH($B270,PM_ID,0)),""))</f>
        <v/>
      </c>
      <c r="E270" s="8">
        <f>IF($B270="","",IFERROR(INDEX(PM_Subcategory,MATCH($B270,PM_ID,0)),""))</f>
        <v/>
      </c>
      <c r="F270" s="8">
        <f>IF($B270="","",IFERROR(INDEX(PM_Brand,MATCH($B270,PM_ID,0)),""))</f>
        <v/>
      </c>
      <c r="G270" s="8">
        <f>IF($B270="","",IFERROR(INDEX(PM_Model,MATCH($B270,PM_ID,0)),""))</f>
        <v/>
      </c>
      <c r="H270" s="5" t="n"/>
      <c r="I270" s="10" t="n"/>
      <c r="J270" s="9" t="n"/>
      <c r="K270" s="5" t="n"/>
      <c r="L270" s="5" t="n"/>
      <c r="M270" s="5" t="n"/>
      <c r="N270" s="5" t="n"/>
      <c r="O270" s="8">
        <f>IF($B270="","",IF(AND($A270&lt;&gt;"",COUNTIF(INV_ID,$A270)&gt;1),"⚠ this Unit ID already exists",IF(AND($H270&lt;&gt;"",COUNTIF(INV_Serial,$H270)&gt;1),"⚠ this serial already exists",IF(COUNTIFS(INV_Product,$B270,INV_No,$C270)&gt;1,"⚠ piece number reused",""))))</f>
        <v/>
      </c>
      <c r="P270" s="5" t="n"/>
    </row>
    <row r="271">
      <c r="A271" s="8">
        <f>IF(OR($B271="",$C271=""),"",IFERROR(INDEX(PM_Short,MATCH($B271,PM_ID,0))&amp;"-"&amp;TEXT($C271,"00"),"?? no such product"))</f>
        <v/>
      </c>
      <c r="B271" s="5" t="n"/>
      <c r="C271" s="5" t="n"/>
      <c r="D271" s="8">
        <f>IF($B271="","",IFERROR(INDEX(PM_Category,MATCH($B271,PM_ID,0)),""))</f>
        <v/>
      </c>
      <c r="E271" s="8">
        <f>IF($B271="","",IFERROR(INDEX(PM_Subcategory,MATCH($B271,PM_ID,0)),""))</f>
        <v/>
      </c>
      <c r="F271" s="8">
        <f>IF($B271="","",IFERROR(INDEX(PM_Brand,MATCH($B271,PM_ID,0)),""))</f>
        <v/>
      </c>
      <c r="G271" s="8">
        <f>IF($B271="","",IFERROR(INDEX(PM_Model,MATCH($B271,PM_ID,0)),""))</f>
        <v/>
      </c>
      <c r="H271" s="5" t="n"/>
      <c r="I271" s="10" t="n"/>
      <c r="J271" s="9" t="n"/>
      <c r="K271" s="5" t="n"/>
      <c r="L271" s="5" t="n"/>
      <c r="M271" s="5" t="n"/>
      <c r="N271" s="5" t="n"/>
      <c r="O271" s="8">
        <f>IF($B271="","",IF(AND($A271&lt;&gt;"",COUNTIF(INV_ID,$A271)&gt;1),"⚠ this Unit ID already exists",IF(AND($H271&lt;&gt;"",COUNTIF(INV_Serial,$H271)&gt;1),"⚠ this serial already exists",IF(COUNTIFS(INV_Product,$B271,INV_No,$C271)&gt;1,"⚠ piece number reused",""))))</f>
        <v/>
      </c>
      <c r="P271" s="5" t="n"/>
    </row>
    <row r="272">
      <c r="A272" s="8">
        <f>IF(OR($B272="",$C272=""),"",IFERROR(INDEX(PM_Short,MATCH($B272,PM_ID,0))&amp;"-"&amp;TEXT($C272,"00"),"?? no such product"))</f>
        <v/>
      </c>
      <c r="B272" s="5" t="n"/>
      <c r="C272" s="5" t="n"/>
      <c r="D272" s="8">
        <f>IF($B272="","",IFERROR(INDEX(PM_Category,MATCH($B272,PM_ID,0)),""))</f>
        <v/>
      </c>
      <c r="E272" s="8">
        <f>IF($B272="","",IFERROR(INDEX(PM_Subcategory,MATCH($B272,PM_ID,0)),""))</f>
        <v/>
      </c>
      <c r="F272" s="8">
        <f>IF($B272="","",IFERROR(INDEX(PM_Brand,MATCH($B272,PM_ID,0)),""))</f>
        <v/>
      </c>
      <c r="G272" s="8">
        <f>IF($B272="","",IFERROR(INDEX(PM_Model,MATCH($B272,PM_ID,0)),""))</f>
        <v/>
      </c>
      <c r="H272" s="5" t="n"/>
      <c r="I272" s="10" t="n"/>
      <c r="J272" s="9" t="n"/>
      <c r="K272" s="5" t="n"/>
      <c r="L272" s="5" t="n"/>
      <c r="M272" s="5" t="n"/>
      <c r="N272" s="5" t="n"/>
      <c r="O272" s="8">
        <f>IF($B272="","",IF(AND($A272&lt;&gt;"",COUNTIF(INV_ID,$A272)&gt;1),"⚠ this Unit ID already exists",IF(AND($H272&lt;&gt;"",COUNTIF(INV_Serial,$H272)&gt;1),"⚠ this serial already exists",IF(COUNTIFS(INV_Product,$B272,INV_No,$C272)&gt;1,"⚠ piece number reused",""))))</f>
        <v/>
      </c>
      <c r="P272" s="5" t="n"/>
    </row>
    <row r="273">
      <c r="A273" s="8">
        <f>IF(OR($B273="",$C273=""),"",IFERROR(INDEX(PM_Short,MATCH($B273,PM_ID,0))&amp;"-"&amp;TEXT($C273,"00"),"?? no such product"))</f>
        <v/>
      </c>
      <c r="B273" s="5" t="n"/>
      <c r="C273" s="5" t="n"/>
      <c r="D273" s="8">
        <f>IF($B273="","",IFERROR(INDEX(PM_Category,MATCH($B273,PM_ID,0)),""))</f>
        <v/>
      </c>
      <c r="E273" s="8">
        <f>IF($B273="","",IFERROR(INDEX(PM_Subcategory,MATCH($B273,PM_ID,0)),""))</f>
        <v/>
      </c>
      <c r="F273" s="8">
        <f>IF($B273="","",IFERROR(INDEX(PM_Brand,MATCH($B273,PM_ID,0)),""))</f>
        <v/>
      </c>
      <c r="G273" s="8">
        <f>IF($B273="","",IFERROR(INDEX(PM_Model,MATCH($B273,PM_ID,0)),""))</f>
        <v/>
      </c>
      <c r="H273" s="5" t="n"/>
      <c r="I273" s="10" t="n"/>
      <c r="J273" s="9" t="n"/>
      <c r="K273" s="5" t="n"/>
      <c r="L273" s="5" t="n"/>
      <c r="M273" s="5" t="n"/>
      <c r="N273" s="5" t="n"/>
      <c r="O273" s="8">
        <f>IF($B273="","",IF(AND($A273&lt;&gt;"",COUNTIF(INV_ID,$A273)&gt;1),"⚠ this Unit ID already exists",IF(AND($H273&lt;&gt;"",COUNTIF(INV_Serial,$H273)&gt;1),"⚠ this serial already exists",IF(COUNTIFS(INV_Product,$B273,INV_No,$C273)&gt;1,"⚠ piece number reused",""))))</f>
        <v/>
      </c>
      <c r="P273" s="5" t="n"/>
    </row>
    <row r="274">
      <c r="A274" s="8">
        <f>IF(OR($B274="",$C274=""),"",IFERROR(INDEX(PM_Short,MATCH($B274,PM_ID,0))&amp;"-"&amp;TEXT($C274,"00"),"?? no such product"))</f>
        <v/>
      </c>
      <c r="B274" s="5" t="n"/>
      <c r="C274" s="5" t="n"/>
      <c r="D274" s="8">
        <f>IF($B274="","",IFERROR(INDEX(PM_Category,MATCH($B274,PM_ID,0)),""))</f>
        <v/>
      </c>
      <c r="E274" s="8">
        <f>IF($B274="","",IFERROR(INDEX(PM_Subcategory,MATCH($B274,PM_ID,0)),""))</f>
        <v/>
      </c>
      <c r="F274" s="8">
        <f>IF($B274="","",IFERROR(INDEX(PM_Brand,MATCH($B274,PM_ID,0)),""))</f>
        <v/>
      </c>
      <c r="G274" s="8">
        <f>IF($B274="","",IFERROR(INDEX(PM_Model,MATCH($B274,PM_ID,0)),""))</f>
        <v/>
      </c>
      <c r="H274" s="5" t="n"/>
      <c r="I274" s="10" t="n"/>
      <c r="J274" s="9" t="n"/>
      <c r="K274" s="5" t="n"/>
      <c r="L274" s="5" t="n"/>
      <c r="M274" s="5" t="n"/>
      <c r="N274" s="5" t="n"/>
      <c r="O274" s="8">
        <f>IF($B274="","",IF(AND($A274&lt;&gt;"",COUNTIF(INV_ID,$A274)&gt;1),"⚠ this Unit ID already exists",IF(AND($H274&lt;&gt;"",COUNTIF(INV_Serial,$H274)&gt;1),"⚠ this serial already exists",IF(COUNTIFS(INV_Product,$B274,INV_No,$C274)&gt;1,"⚠ piece number reused",""))))</f>
        <v/>
      </c>
      <c r="P274" s="5" t="n"/>
    </row>
    <row r="275">
      <c r="A275" s="8">
        <f>IF(OR($B275="",$C275=""),"",IFERROR(INDEX(PM_Short,MATCH($B275,PM_ID,0))&amp;"-"&amp;TEXT($C275,"00"),"?? no such product"))</f>
        <v/>
      </c>
      <c r="B275" s="5" t="n"/>
      <c r="C275" s="5" t="n"/>
      <c r="D275" s="8">
        <f>IF($B275="","",IFERROR(INDEX(PM_Category,MATCH($B275,PM_ID,0)),""))</f>
        <v/>
      </c>
      <c r="E275" s="8">
        <f>IF($B275="","",IFERROR(INDEX(PM_Subcategory,MATCH($B275,PM_ID,0)),""))</f>
        <v/>
      </c>
      <c r="F275" s="8">
        <f>IF($B275="","",IFERROR(INDEX(PM_Brand,MATCH($B275,PM_ID,0)),""))</f>
        <v/>
      </c>
      <c r="G275" s="8">
        <f>IF($B275="","",IFERROR(INDEX(PM_Model,MATCH($B275,PM_ID,0)),""))</f>
        <v/>
      </c>
      <c r="H275" s="5" t="n"/>
      <c r="I275" s="10" t="n"/>
      <c r="J275" s="9" t="n"/>
      <c r="K275" s="5" t="n"/>
      <c r="L275" s="5" t="n"/>
      <c r="M275" s="5" t="n"/>
      <c r="N275" s="5" t="n"/>
      <c r="O275" s="8">
        <f>IF($B275="","",IF(AND($A275&lt;&gt;"",COUNTIF(INV_ID,$A275)&gt;1),"⚠ this Unit ID already exists",IF(AND($H275&lt;&gt;"",COUNTIF(INV_Serial,$H275)&gt;1),"⚠ this serial already exists",IF(COUNTIFS(INV_Product,$B275,INV_No,$C275)&gt;1,"⚠ piece number reused",""))))</f>
        <v/>
      </c>
      <c r="P275" s="5" t="n"/>
    </row>
    <row r="276">
      <c r="A276" s="8">
        <f>IF(OR($B276="",$C276=""),"",IFERROR(INDEX(PM_Short,MATCH($B276,PM_ID,0))&amp;"-"&amp;TEXT($C276,"00"),"?? no such product"))</f>
        <v/>
      </c>
      <c r="B276" s="5" t="n"/>
      <c r="C276" s="5" t="n"/>
      <c r="D276" s="8">
        <f>IF($B276="","",IFERROR(INDEX(PM_Category,MATCH($B276,PM_ID,0)),""))</f>
        <v/>
      </c>
      <c r="E276" s="8">
        <f>IF($B276="","",IFERROR(INDEX(PM_Subcategory,MATCH($B276,PM_ID,0)),""))</f>
        <v/>
      </c>
      <c r="F276" s="8">
        <f>IF($B276="","",IFERROR(INDEX(PM_Brand,MATCH($B276,PM_ID,0)),""))</f>
        <v/>
      </c>
      <c r="G276" s="8">
        <f>IF($B276="","",IFERROR(INDEX(PM_Model,MATCH($B276,PM_ID,0)),""))</f>
        <v/>
      </c>
      <c r="H276" s="5" t="n"/>
      <c r="I276" s="10" t="n"/>
      <c r="J276" s="9" t="n"/>
      <c r="K276" s="5" t="n"/>
      <c r="L276" s="5" t="n"/>
      <c r="M276" s="5" t="n"/>
      <c r="N276" s="5" t="n"/>
      <c r="O276" s="8">
        <f>IF($B276="","",IF(AND($A276&lt;&gt;"",COUNTIF(INV_ID,$A276)&gt;1),"⚠ this Unit ID already exists",IF(AND($H276&lt;&gt;"",COUNTIF(INV_Serial,$H276)&gt;1),"⚠ this serial already exists",IF(COUNTIFS(INV_Product,$B276,INV_No,$C276)&gt;1,"⚠ piece number reused",""))))</f>
        <v/>
      </c>
      <c r="P276" s="5" t="n"/>
    </row>
    <row r="277">
      <c r="A277" s="8">
        <f>IF(OR($B277="",$C277=""),"",IFERROR(INDEX(PM_Short,MATCH($B277,PM_ID,0))&amp;"-"&amp;TEXT($C277,"00"),"?? no such product"))</f>
        <v/>
      </c>
      <c r="B277" s="5" t="n"/>
      <c r="C277" s="5" t="n"/>
      <c r="D277" s="8">
        <f>IF($B277="","",IFERROR(INDEX(PM_Category,MATCH($B277,PM_ID,0)),""))</f>
        <v/>
      </c>
      <c r="E277" s="8">
        <f>IF($B277="","",IFERROR(INDEX(PM_Subcategory,MATCH($B277,PM_ID,0)),""))</f>
        <v/>
      </c>
      <c r="F277" s="8">
        <f>IF($B277="","",IFERROR(INDEX(PM_Brand,MATCH($B277,PM_ID,0)),""))</f>
        <v/>
      </c>
      <c r="G277" s="8">
        <f>IF($B277="","",IFERROR(INDEX(PM_Model,MATCH($B277,PM_ID,0)),""))</f>
        <v/>
      </c>
      <c r="H277" s="5" t="n"/>
      <c r="I277" s="10" t="n"/>
      <c r="J277" s="9" t="n"/>
      <c r="K277" s="5" t="n"/>
      <c r="L277" s="5" t="n"/>
      <c r="M277" s="5" t="n"/>
      <c r="N277" s="5" t="n"/>
      <c r="O277" s="8">
        <f>IF($B277="","",IF(AND($A277&lt;&gt;"",COUNTIF(INV_ID,$A277)&gt;1),"⚠ this Unit ID already exists",IF(AND($H277&lt;&gt;"",COUNTIF(INV_Serial,$H277)&gt;1),"⚠ this serial already exists",IF(COUNTIFS(INV_Product,$B277,INV_No,$C277)&gt;1,"⚠ piece number reused",""))))</f>
        <v/>
      </c>
      <c r="P277" s="5" t="n"/>
    </row>
    <row r="278">
      <c r="A278" s="8">
        <f>IF(OR($B278="",$C278=""),"",IFERROR(INDEX(PM_Short,MATCH($B278,PM_ID,0))&amp;"-"&amp;TEXT($C278,"00"),"?? no such product"))</f>
        <v/>
      </c>
      <c r="B278" s="5" t="n"/>
      <c r="C278" s="5" t="n"/>
      <c r="D278" s="8">
        <f>IF($B278="","",IFERROR(INDEX(PM_Category,MATCH($B278,PM_ID,0)),""))</f>
        <v/>
      </c>
      <c r="E278" s="8">
        <f>IF($B278="","",IFERROR(INDEX(PM_Subcategory,MATCH($B278,PM_ID,0)),""))</f>
        <v/>
      </c>
      <c r="F278" s="8">
        <f>IF($B278="","",IFERROR(INDEX(PM_Brand,MATCH($B278,PM_ID,0)),""))</f>
        <v/>
      </c>
      <c r="G278" s="8">
        <f>IF($B278="","",IFERROR(INDEX(PM_Model,MATCH($B278,PM_ID,0)),""))</f>
        <v/>
      </c>
      <c r="H278" s="5" t="n"/>
      <c r="I278" s="10" t="n"/>
      <c r="J278" s="9" t="n"/>
      <c r="K278" s="5" t="n"/>
      <c r="L278" s="5" t="n"/>
      <c r="M278" s="5" t="n"/>
      <c r="N278" s="5" t="n"/>
      <c r="O278" s="8">
        <f>IF($B278="","",IF(AND($A278&lt;&gt;"",COUNTIF(INV_ID,$A278)&gt;1),"⚠ this Unit ID already exists",IF(AND($H278&lt;&gt;"",COUNTIF(INV_Serial,$H278)&gt;1),"⚠ this serial already exists",IF(COUNTIFS(INV_Product,$B278,INV_No,$C278)&gt;1,"⚠ piece number reused",""))))</f>
        <v/>
      </c>
      <c r="P278" s="5" t="n"/>
    </row>
    <row r="279">
      <c r="A279" s="8">
        <f>IF(OR($B279="",$C279=""),"",IFERROR(INDEX(PM_Short,MATCH($B279,PM_ID,0))&amp;"-"&amp;TEXT($C279,"00"),"?? no such product"))</f>
        <v/>
      </c>
      <c r="B279" s="5" t="n"/>
      <c r="C279" s="5" t="n"/>
      <c r="D279" s="8">
        <f>IF($B279="","",IFERROR(INDEX(PM_Category,MATCH($B279,PM_ID,0)),""))</f>
        <v/>
      </c>
      <c r="E279" s="8">
        <f>IF($B279="","",IFERROR(INDEX(PM_Subcategory,MATCH($B279,PM_ID,0)),""))</f>
        <v/>
      </c>
      <c r="F279" s="8">
        <f>IF($B279="","",IFERROR(INDEX(PM_Brand,MATCH($B279,PM_ID,0)),""))</f>
        <v/>
      </c>
      <c r="G279" s="8">
        <f>IF($B279="","",IFERROR(INDEX(PM_Model,MATCH($B279,PM_ID,0)),""))</f>
        <v/>
      </c>
      <c r="H279" s="5" t="n"/>
      <c r="I279" s="10" t="n"/>
      <c r="J279" s="9" t="n"/>
      <c r="K279" s="5" t="n"/>
      <c r="L279" s="5" t="n"/>
      <c r="M279" s="5" t="n"/>
      <c r="N279" s="5" t="n"/>
      <c r="O279" s="8">
        <f>IF($B279="","",IF(AND($A279&lt;&gt;"",COUNTIF(INV_ID,$A279)&gt;1),"⚠ this Unit ID already exists",IF(AND($H279&lt;&gt;"",COUNTIF(INV_Serial,$H279)&gt;1),"⚠ this serial already exists",IF(COUNTIFS(INV_Product,$B279,INV_No,$C279)&gt;1,"⚠ piece number reused",""))))</f>
        <v/>
      </c>
      <c r="P279" s="5" t="n"/>
    </row>
    <row r="280">
      <c r="A280" s="8">
        <f>IF(OR($B280="",$C280=""),"",IFERROR(INDEX(PM_Short,MATCH($B280,PM_ID,0))&amp;"-"&amp;TEXT($C280,"00"),"?? no such product"))</f>
        <v/>
      </c>
      <c r="B280" s="5" t="n"/>
      <c r="C280" s="5" t="n"/>
      <c r="D280" s="8">
        <f>IF($B280="","",IFERROR(INDEX(PM_Category,MATCH($B280,PM_ID,0)),""))</f>
        <v/>
      </c>
      <c r="E280" s="8">
        <f>IF($B280="","",IFERROR(INDEX(PM_Subcategory,MATCH($B280,PM_ID,0)),""))</f>
        <v/>
      </c>
      <c r="F280" s="8">
        <f>IF($B280="","",IFERROR(INDEX(PM_Brand,MATCH($B280,PM_ID,0)),""))</f>
        <v/>
      </c>
      <c r="G280" s="8">
        <f>IF($B280="","",IFERROR(INDEX(PM_Model,MATCH($B280,PM_ID,0)),""))</f>
        <v/>
      </c>
      <c r="H280" s="5" t="n"/>
      <c r="I280" s="10" t="n"/>
      <c r="J280" s="9" t="n"/>
      <c r="K280" s="5" t="n"/>
      <c r="L280" s="5" t="n"/>
      <c r="M280" s="5" t="n"/>
      <c r="N280" s="5" t="n"/>
      <c r="O280" s="8">
        <f>IF($B280="","",IF(AND($A280&lt;&gt;"",COUNTIF(INV_ID,$A280)&gt;1),"⚠ this Unit ID already exists",IF(AND($H280&lt;&gt;"",COUNTIF(INV_Serial,$H280)&gt;1),"⚠ this serial already exists",IF(COUNTIFS(INV_Product,$B280,INV_No,$C280)&gt;1,"⚠ piece number reused",""))))</f>
        <v/>
      </c>
      <c r="P280" s="5" t="n"/>
    </row>
    <row r="281">
      <c r="A281" s="8">
        <f>IF(OR($B281="",$C281=""),"",IFERROR(INDEX(PM_Short,MATCH($B281,PM_ID,0))&amp;"-"&amp;TEXT($C281,"00"),"?? no such product"))</f>
        <v/>
      </c>
      <c r="B281" s="5" t="n"/>
      <c r="C281" s="5" t="n"/>
      <c r="D281" s="8">
        <f>IF($B281="","",IFERROR(INDEX(PM_Category,MATCH($B281,PM_ID,0)),""))</f>
        <v/>
      </c>
      <c r="E281" s="8">
        <f>IF($B281="","",IFERROR(INDEX(PM_Subcategory,MATCH($B281,PM_ID,0)),""))</f>
        <v/>
      </c>
      <c r="F281" s="8">
        <f>IF($B281="","",IFERROR(INDEX(PM_Brand,MATCH($B281,PM_ID,0)),""))</f>
        <v/>
      </c>
      <c r="G281" s="8">
        <f>IF($B281="","",IFERROR(INDEX(PM_Model,MATCH($B281,PM_ID,0)),""))</f>
        <v/>
      </c>
      <c r="H281" s="5" t="n"/>
      <c r="I281" s="10" t="n"/>
      <c r="J281" s="9" t="n"/>
      <c r="K281" s="5" t="n"/>
      <c r="L281" s="5" t="n"/>
      <c r="M281" s="5" t="n"/>
      <c r="N281" s="5" t="n"/>
      <c r="O281" s="8">
        <f>IF($B281="","",IF(AND($A281&lt;&gt;"",COUNTIF(INV_ID,$A281)&gt;1),"⚠ this Unit ID already exists",IF(AND($H281&lt;&gt;"",COUNTIF(INV_Serial,$H281)&gt;1),"⚠ this serial already exists",IF(COUNTIFS(INV_Product,$B281,INV_No,$C281)&gt;1,"⚠ piece number reused",""))))</f>
        <v/>
      </c>
      <c r="P281" s="5" t="n"/>
    </row>
    <row r="282">
      <c r="A282" s="8">
        <f>IF(OR($B282="",$C282=""),"",IFERROR(INDEX(PM_Short,MATCH($B282,PM_ID,0))&amp;"-"&amp;TEXT($C282,"00"),"?? no such product"))</f>
        <v/>
      </c>
      <c r="B282" s="5" t="n"/>
      <c r="C282" s="5" t="n"/>
      <c r="D282" s="8">
        <f>IF($B282="","",IFERROR(INDEX(PM_Category,MATCH($B282,PM_ID,0)),""))</f>
        <v/>
      </c>
      <c r="E282" s="8">
        <f>IF($B282="","",IFERROR(INDEX(PM_Subcategory,MATCH($B282,PM_ID,0)),""))</f>
        <v/>
      </c>
      <c r="F282" s="8">
        <f>IF($B282="","",IFERROR(INDEX(PM_Brand,MATCH($B282,PM_ID,0)),""))</f>
        <v/>
      </c>
      <c r="G282" s="8">
        <f>IF($B282="","",IFERROR(INDEX(PM_Model,MATCH($B282,PM_ID,0)),""))</f>
        <v/>
      </c>
      <c r="H282" s="5" t="n"/>
      <c r="I282" s="10" t="n"/>
      <c r="J282" s="9" t="n"/>
      <c r="K282" s="5" t="n"/>
      <c r="L282" s="5" t="n"/>
      <c r="M282" s="5" t="n"/>
      <c r="N282" s="5" t="n"/>
      <c r="O282" s="8">
        <f>IF($B282="","",IF(AND($A282&lt;&gt;"",COUNTIF(INV_ID,$A282)&gt;1),"⚠ this Unit ID already exists",IF(AND($H282&lt;&gt;"",COUNTIF(INV_Serial,$H282)&gt;1),"⚠ this serial already exists",IF(COUNTIFS(INV_Product,$B282,INV_No,$C282)&gt;1,"⚠ piece number reused",""))))</f>
        <v/>
      </c>
      <c r="P282" s="5" t="n"/>
    </row>
    <row r="283">
      <c r="A283" s="8">
        <f>IF(OR($B283="",$C283=""),"",IFERROR(INDEX(PM_Short,MATCH($B283,PM_ID,0))&amp;"-"&amp;TEXT($C283,"00"),"?? no such product"))</f>
        <v/>
      </c>
      <c r="B283" s="5" t="n"/>
      <c r="C283" s="5" t="n"/>
      <c r="D283" s="8">
        <f>IF($B283="","",IFERROR(INDEX(PM_Category,MATCH($B283,PM_ID,0)),""))</f>
        <v/>
      </c>
      <c r="E283" s="8">
        <f>IF($B283="","",IFERROR(INDEX(PM_Subcategory,MATCH($B283,PM_ID,0)),""))</f>
        <v/>
      </c>
      <c r="F283" s="8">
        <f>IF($B283="","",IFERROR(INDEX(PM_Brand,MATCH($B283,PM_ID,0)),""))</f>
        <v/>
      </c>
      <c r="G283" s="8">
        <f>IF($B283="","",IFERROR(INDEX(PM_Model,MATCH($B283,PM_ID,0)),""))</f>
        <v/>
      </c>
      <c r="H283" s="5" t="n"/>
      <c r="I283" s="10" t="n"/>
      <c r="J283" s="9" t="n"/>
      <c r="K283" s="5" t="n"/>
      <c r="L283" s="5" t="n"/>
      <c r="M283" s="5" t="n"/>
      <c r="N283" s="5" t="n"/>
      <c r="O283" s="8">
        <f>IF($B283="","",IF(AND($A283&lt;&gt;"",COUNTIF(INV_ID,$A283)&gt;1),"⚠ this Unit ID already exists",IF(AND($H283&lt;&gt;"",COUNTIF(INV_Serial,$H283)&gt;1),"⚠ this serial already exists",IF(COUNTIFS(INV_Product,$B283,INV_No,$C283)&gt;1,"⚠ piece number reused",""))))</f>
        <v/>
      </c>
      <c r="P283" s="5" t="n"/>
    </row>
    <row r="284">
      <c r="A284" s="8">
        <f>IF(OR($B284="",$C284=""),"",IFERROR(INDEX(PM_Short,MATCH($B284,PM_ID,0))&amp;"-"&amp;TEXT($C284,"00"),"?? no such product"))</f>
        <v/>
      </c>
      <c r="B284" s="5" t="n"/>
      <c r="C284" s="5" t="n"/>
      <c r="D284" s="8">
        <f>IF($B284="","",IFERROR(INDEX(PM_Category,MATCH($B284,PM_ID,0)),""))</f>
        <v/>
      </c>
      <c r="E284" s="8">
        <f>IF($B284="","",IFERROR(INDEX(PM_Subcategory,MATCH($B284,PM_ID,0)),""))</f>
        <v/>
      </c>
      <c r="F284" s="8">
        <f>IF($B284="","",IFERROR(INDEX(PM_Brand,MATCH($B284,PM_ID,0)),""))</f>
        <v/>
      </c>
      <c r="G284" s="8">
        <f>IF($B284="","",IFERROR(INDEX(PM_Model,MATCH($B284,PM_ID,0)),""))</f>
        <v/>
      </c>
      <c r="H284" s="5" t="n"/>
      <c r="I284" s="10" t="n"/>
      <c r="J284" s="9" t="n"/>
      <c r="K284" s="5" t="n"/>
      <c r="L284" s="5" t="n"/>
      <c r="M284" s="5" t="n"/>
      <c r="N284" s="5" t="n"/>
      <c r="O284" s="8">
        <f>IF($B284="","",IF(AND($A284&lt;&gt;"",COUNTIF(INV_ID,$A284)&gt;1),"⚠ this Unit ID already exists",IF(AND($H284&lt;&gt;"",COUNTIF(INV_Serial,$H284)&gt;1),"⚠ this serial already exists",IF(COUNTIFS(INV_Product,$B284,INV_No,$C284)&gt;1,"⚠ piece number reused",""))))</f>
        <v/>
      </c>
      <c r="P284" s="5" t="n"/>
    </row>
    <row r="285">
      <c r="A285" s="8">
        <f>IF(OR($B285="",$C285=""),"",IFERROR(INDEX(PM_Short,MATCH($B285,PM_ID,0))&amp;"-"&amp;TEXT($C285,"00"),"?? no such product"))</f>
        <v/>
      </c>
      <c r="B285" s="5" t="n"/>
      <c r="C285" s="5" t="n"/>
      <c r="D285" s="8">
        <f>IF($B285="","",IFERROR(INDEX(PM_Category,MATCH($B285,PM_ID,0)),""))</f>
        <v/>
      </c>
      <c r="E285" s="8">
        <f>IF($B285="","",IFERROR(INDEX(PM_Subcategory,MATCH($B285,PM_ID,0)),""))</f>
        <v/>
      </c>
      <c r="F285" s="8">
        <f>IF($B285="","",IFERROR(INDEX(PM_Brand,MATCH($B285,PM_ID,0)),""))</f>
        <v/>
      </c>
      <c r="G285" s="8">
        <f>IF($B285="","",IFERROR(INDEX(PM_Model,MATCH($B285,PM_ID,0)),""))</f>
        <v/>
      </c>
      <c r="H285" s="5" t="n"/>
      <c r="I285" s="10" t="n"/>
      <c r="J285" s="9" t="n"/>
      <c r="K285" s="5" t="n"/>
      <c r="L285" s="5" t="n"/>
      <c r="M285" s="5" t="n"/>
      <c r="N285" s="5" t="n"/>
      <c r="O285" s="8">
        <f>IF($B285="","",IF(AND($A285&lt;&gt;"",COUNTIF(INV_ID,$A285)&gt;1),"⚠ this Unit ID already exists",IF(AND($H285&lt;&gt;"",COUNTIF(INV_Serial,$H285)&gt;1),"⚠ this serial already exists",IF(COUNTIFS(INV_Product,$B285,INV_No,$C285)&gt;1,"⚠ piece number reused",""))))</f>
        <v/>
      </c>
      <c r="P285" s="5" t="n"/>
    </row>
    <row r="286">
      <c r="A286" s="8">
        <f>IF(OR($B286="",$C286=""),"",IFERROR(INDEX(PM_Short,MATCH($B286,PM_ID,0))&amp;"-"&amp;TEXT($C286,"00"),"?? no such product"))</f>
        <v/>
      </c>
      <c r="B286" s="5" t="n"/>
      <c r="C286" s="5" t="n"/>
      <c r="D286" s="8">
        <f>IF($B286="","",IFERROR(INDEX(PM_Category,MATCH($B286,PM_ID,0)),""))</f>
        <v/>
      </c>
      <c r="E286" s="8">
        <f>IF($B286="","",IFERROR(INDEX(PM_Subcategory,MATCH($B286,PM_ID,0)),""))</f>
        <v/>
      </c>
      <c r="F286" s="8">
        <f>IF($B286="","",IFERROR(INDEX(PM_Brand,MATCH($B286,PM_ID,0)),""))</f>
        <v/>
      </c>
      <c r="G286" s="8">
        <f>IF($B286="","",IFERROR(INDEX(PM_Model,MATCH($B286,PM_ID,0)),""))</f>
        <v/>
      </c>
      <c r="H286" s="5" t="n"/>
      <c r="I286" s="10" t="n"/>
      <c r="J286" s="9" t="n"/>
      <c r="K286" s="5" t="n"/>
      <c r="L286" s="5" t="n"/>
      <c r="M286" s="5" t="n"/>
      <c r="N286" s="5" t="n"/>
      <c r="O286" s="8">
        <f>IF($B286="","",IF(AND($A286&lt;&gt;"",COUNTIF(INV_ID,$A286)&gt;1),"⚠ this Unit ID already exists",IF(AND($H286&lt;&gt;"",COUNTIF(INV_Serial,$H286)&gt;1),"⚠ this serial already exists",IF(COUNTIFS(INV_Product,$B286,INV_No,$C286)&gt;1,"⚠ piece number reused",""))))</f>
        <v/>
      </c>
      <c r="P286" s="5" t="n"/>
    </row>
    <row r="287">
      <c r="A287" s="8">
        <f>IF(OR($B287="",$C287=""),"",IFERROR(INDEX(PM_Short,MATCH($B287,PM_ID,0))&amp;"-"&amp;TEXT($C287,"00"),"?? no such product"))</f>
        <v/>
      </c>
      <c r="B287" s="5" t="n"/>
      <c r="C287" s="5" t="n"/>
      <c r="D287" s="8">
        <f>IF($B287="","",IFERROR(INDEX(PM_Category,MATCH($B287,PM_ID,0)),""))</f>
        <v/>
      </c>
      <c r="E287" s="8">
        <f>IF($B287="","",IFERROR(INDEX(PM_Subcategory,MATCH($B287,PM_ID,0)),""))</f>
        <v/>
      </c>
      <c r="F287" s="8">
        <f>IF($B287="","",IFERROR(INDEX(PM_Brand,MATCH($B287,PM_ID,0)),""))</f>
        <v/>
      </c>
      <c r="G287" s="8">
        <f>IF($B287="","",IFERROR(INDEX(PM_Model,MATCH($B287,PM_ID,0)),""))</f>
        <v/>
      </c>
      <c r="H287" s="5" t="n"/>
      <c r="I287" s="10" t="n"/>
      <c r="J287" s="9" t="n"/>
      <c r="K287" s="5" t="n"/>
      <c r="L287" s="5" t="n"/>
      <c r="M287" s="5" t="n"/>
      <c r="N287" s="5" t="n"/>
      <c r="O287" s="8">
        <f>IF($B287="","",IF(AND($A287&lt;&gt;"",COUNTIF(INV_ID,$A287)&gt;1),"⚠ this Unit ID already exists",IF(AND($H287&lt;&gt;"",COUNTIF(INV_Serial,$H287)&gt;1),"⚠ this serial already exists",IF(COUNTIFS(INV_Product,$B287,INV_No,$C287)&gt;1,"⚠ piece number reused",""))))</f>
        <v/>
      </c>
      <c r="P287" s="5" t="n"/>
    </row>
    <row r="288">
      <c r="A288" s="8">
        <f>IF(OR($B288="",$C288=""),"",IFERROR(INDEX(PM_Short,MATCH($B288,PM_ID,0))&amp;"-"&amp;TEXT($C288,"00"),"?? no such product"))</f>
        <v/>
      </c>
      <c r="B288" s="5" t="n"/>
      <c r="C288" s="5" t="n"/>
      <c r="D288" s="8">
        <f>IF($B288="","",IFERROR(INDEX(PM_Category,MATCH($B288,PM_ID,0)),""))</f>
        <v/>
      </c>
      <c r="E288" s="8">
        <f>IF($B288="","",IFERROR(INDEX(PM_Subcategory,MATCH($B288,PM_ID,0)),""))</f>
        <v/>
      </c>
      <c r="F288" s="8">
        <f>IF($B288="","",IFERROR(INDEX(PM_Brand,MATCH($B288,PM_ID,0)),""))</f>
        <v/>
      </c>
      <c r="G288" s="8">
        <f>IF($B288="","",IFERROR(INDEX(PM_Model,MATCH($B288,PM_ID,0)),""))</f>
        <v/>
      </c>
      <c r="H288" s="5" t="n"/>
      <c r="I288" s="10" t="n"/>
      <c r="J288" s="9" t="n"/>
      <c r="K288" s="5" t="n"/>
      <c r="L288" s="5" t="n"/>
      <c r="M288" s="5" t="n"/>
      <c r="N288" s="5" t="n"/>
      <c r="O288" s="8">
        <f>IF($B288="","",IF(AND($A288&lt;&gt;"",COUNTIF(INV_ID,$A288)&gt;1),"⚠ this Unit ID already exists",IF(AND($H288&lt;&gt;"",COUNTIF(INV_Serial,$H288)&gt;1),"⚠ this serial already exists",IF(COUNTIFS(INV_Product,$B288,INV_No,$C288)&gt;1,"⚠ piece number reused",""))))</f>
        <v/>
      </c>
      <c r="P288" s="5" t="n"/>
    </row>
    <row r="289">
      <c r="A289" s="8">
        <f>IF(OR($B289="",$C289=""),"",IFERROR(INDEX(PM_Short,MATCH($B289,PM_ID,0))&amp;"-"&amp;TEXT($C289,"00"),"?? no such product"))</f>
        <v/>
      </c>
      <c r="B289" s="5" t="n"/>
      <c r="C289" s="5" t="n"/>
      <c r="D289" s="8">
        <f>IF($B289="","",IFERROR(INDEX(PM_Category,MATCH($B289,PM_ID,0)),""))</f>
        <v/>
      </c>
      <c r="E289" s="8">
        <f>IF($B289="","",IFERROR(INDEX(PM_Subcategory,MATCH($B289,PM_ID,0)),""))</f>
        <v/>
      </c>
      <c r="F289" s="8">
        <f>IF($B289="","",IFERROR(INDEX(PM_Brand,MATCH($B289,PM_ID,0)),""))</f>
        <v/>
      </c>
      <c r="G289" s="8">
        <f>IF($B289="","",IFERROR(INDEX(PM_Model,MATCH($B289,PM_ID,0)),""))</f>
        <v/>
      </c>
      <c r="H289" s="5" t="n"/>
      <c r="I289" s="10" t="n"/>
      <c r="J289" s="9" t="n"/>
      <c r="K289" s="5" t="n"/>
      <c r="L289" s="5" t="n"/>
      <c r="M289" s="5" t="n"/>
      <c r="N289" s="5" t="n"/>
      <c r="O289" s="8">
        <f>IF($B289="","",IF(AND($A289&lt;&gt;"",COUNTIF(INV_ID,$A289)&gt;1),"⚠ this Unit ID already exists",IF(AND($H289&lt;&gt;"",COUNTIF(INV_Serial,$H289)&gt;1),"⚠ this serial already exists",IF(COUNTIFS(INV_Product,$B289,INV_No,$C289)&gt;1,"⚠ piece number reused",""))))</f>
        <v/>
      </c>
      <c r="P289" s="5" t="n"/>
    </row>
    <row r="290">
      <c r="A290" s="8">
        <f>IF(OR($B290="",$C290=""),"",IFERROR(INDEX(PM_Short,MATCH($B290,PM_ID,0))&amp;"-"&amp;TEXT($C290,"00"),"?? no such product"))</f>
        <v/>
      </c>
      <c r="B290" s="5" t="n"/>
      <c r="C290" s="5" t="n"/>
      <c r="D290" s="8">
        <f>IF($B290="","",IFERROR(INDEX(PM_Category,MATCH($B290,PM_ID,0)),""))</f>
        <v/>
      </c>
      <c r="E290" s="8">
        <f>IF($B290="","",IFERROR(INDEX(PM_Subcategory,MATCH($B290,PM_ID,0)),""))</f>
        <v/>
      </c>
      <c r="F290" s="8">
        <f>IF($B290="","",IFERROR(INDEX(PM_Brand,MATCH($B290,PM_ID,0)),""))</f>
        <v/>
      </c>
      <c r="G290" s="8">
        <f>IF($B290="","",IFERROR(INDEX(PM_Model,MATCH($B290,PM_ID,0)),""))</f>
        <v/>
      </c>
      <c r="H290" s="5" t="n"/>
      <c r="I290" s="10" t="n"/>
      <c r="J290" s="9" t="n"/>
      <c r="K290" s="5" t="n"/>
      <c r="L290" s="5" t="n"/>
      <c r="M290" s="5" t="n"/>
      <c r="N290" s="5" t="n"/>
      <c r="O290" s="8">
        <f>IF($B290="","",IF(AND($A290&lt;&gt;"",COUNTIF(INV_ID,$A290)&gt;1),"⚠ this Unit ID already exists",IF(AND($H290&lt;&gt;"",COUNTIF(INV_Serial,$H290)&gt;1),"⚠ this serial already exists",IF(COUNTIFS(INV_Product,$B290,INV_No,$C290)&gt;1,"⚠ piece number reused",""))))</f>
        <v/>
      </c>
      <c r="P290" s="5" t="n"/>
    </row>
    <row r="291">
      <c r="A291" s="8">
        <f>IF(OR($B291="",$C291=""),"",IFERROR(INDEX(PM_Short,MATCH($B291,PM_ID,0))&amp;"-"&amp;TEXT($C291,"00"),"?? no such product"))</f>
        <v/>
      </c>
      <c r="B291" s="5" t="n"/>
      <c r="C291" s="5" t="n"/>
      <c r="D291" s="8">
        <f>IF($B291="","",IFERROR(INDEX(PM_Category,MATCH($B291,PM_ID,0)),""))</f>
        <v/>
      </c>
      <c r="E291" s="8">
        <f>IF($B291="","",IFERROR(INDEX(PM_Subcategory,MATCH($B291,PM_ID,0)),""))</f>
        <v/>
      </c>
      <c r="F291" s="8">
        <f>IF($B291="","",IFERROR(INDEX(PM_Brand,MATCH($B291,PM_ID,0)),""))</f>
        <v/>
      </c>
      <c r="G291" s="8">
        <f>IF($B291="","",IFERROR(INDEX(PM_Model,MATCH($B291,PM_ID,0)),""))</f>
        <v/>
      </c>
      <c r="H291" s="5" t="n"/>
      <c r="I291" s="10" t="n"/>
      <c r="J291" s="9" t="n"/>
      <c r="K291" s="5" t="n"/>
      <c r="L291" s="5" t="n"/>
      <c r="M291" s="5" t="n"/>
      <c r="N291" s="5" t="n"/>
      <c r="O291" s="8">
        <f>IF($B291="","",IF(AND($A291&lt;&gt;"",COUNTIF(INV_ID,$A291)&gt;1),"⚠ this Unit ID already exists",IF(AND($H291&lt;&gt;"",COUNTIF(INV_Serial,$H291)&gt;1),"⚠ this serial already exists",IF(COUNTIFS(INV_Product,$B291,INV_No,$C291)&gt;1,"⚠ piece number reused",""))))</f>
        <v/>
      </c>
      <c r="P291" s="5" t="n"/>
    </row>
    <row r="292">
      <c r="A292" s="8">
        <f>IF(OR($B292="",$C292=""),"",IFERROR(INDEX(PM_Short,MATCH($B292,PM_ID,0))&amp;"-"&amp;TEXT($C292,"00"),"?? no such product"))</f>
        <v/>
      </c>
      <c r="B292" s="5" t="n"/>
      <c r="C292" s="5" t="n"/>
      <c r="D292" s="8">
        <f>IF($B292="","",IFERROR(INDEX(PM_Category,MATCH($B292,PM_ID,0)),""))</f>
        <v/>
      </c>
      <c r="E292" s="8">
        <f>IF($B292="","",IFERROR(INDEX(PM_Subcategory,MATCH($B292,PM_ID,0)),""))</f>
        <v/>
      </c>
      <c r="F292" s="8">
        <f>IF($B292="","",IFERROR(INDEX(PM_Brand,MATCH($B292,PM_ID,0)),""))</f>
        <v/>
      </c>
      <c r="G292" s="8">
        <f>IF($B292="","",IFERROR(INDEX(PM_Model,MATCH($B292,PM_ID,0)),""))</f>
        <v/>
      </c>
      <c r="H292" s="5" t="n"/>
      <c r="I292" s="10" t="n"/>
      <c r="J292" s="9" t="n"/>
      <c r="K292" s="5" t="n"/>
      <c r="L292" s="5" t="n"/>
      <c r="M292" s="5" t="n"/>
      <c r="N292" s="5" t="n"/>
      <c r="O292" s="8">
        <f>IF($B292="","",IF(AND($A292&lt;&gt;"",COUNTIF(INV_ID,$A292)&gt;1),"⚠ this Unit ID already exists",IF(AND($H292&lt;&gt;"",COUNTIF(INV_Serial,$H292)&gt;1),"⚠ this serial already exists",IF(COUNTIFS(INV_Product,$B292,INV_No,$C292)&gt;1,"⚠ piece number reused",""))))</f>
        <v/>
      </c>
      <c r="P292" s="5" t="n"/>
    </row>
    <row r="293">
      <c r="A293" s="8">
        <f>IF(OR($B293="",$C293=""),"",IFERROR(INDEX(PM_Short,MATCH($B293,PM_ID,0))&amp;"-"&amp;TEXT($C293,"00"),"?? no such product"))</f>
        <v/>
      </c>
      <c r="B293" s="5" t="n"/>
      <c r="C293" s="5" t="n"/>
      <c r="D293" s="8">
        <f>IF($B293="","",IFERROR(INDEX(PM_Category,MATCH($B293,PM_ID,0)),""))</f>
        <v/>
      </c>
      <c r="E293" s="8">
        <f>IF($B293="","",IFERROR(INDEX(PM_Subcategory,MATCH($B293,PM_ID,0)),""))</f>
        <v/>
      </c>
      <c r="F293" s="8">
        <f>IF($B293="","",IFERROR(INDEX(PM_Brand,MATCH($B293,PM_ID,0)),""))</f>
        <v/>
      </c>
      <c r="G293" s="8">
        <f>IF($B293="","",IFERROR(INDEX(PM_Model,MATCH($B293,PM_ID,0)),""))</f>
        <v/>
      </c>
      <c r="H293" s="5" t="n"/>
      <c r="I293" s="10" t="n"/>
      <c r="J293" s="9" t="n"/>
      <c r="K293" s="5" t="n"/>
      <c r="L293" s="5" t="n"/>
      <c r="M293" s="5" t="n"/>
      <c r="N293" s="5" t="n"/>
      <c r="O293" s="8">
        <f>IF($B293="","",IF(AND($A293&lt;&gt;"",COUNTIF(INV_ID,$A293)&gt;1),"⚠ this Unit ID already exists",IF(AND($H293&lt;&gt;"",COUNTIF(INV_Serial,$H293)&gt;1),"⚠ this serial already exists",IF(COUNTIFS(INV_Product,$B293,INV_No,$C293)&gt;1,"⚠ piece number reused",""))))</f>
        <v/>
      </c>
      <c r="P293" s="5" t="n"/>
    </row>
    <row r="294">
      <c r="A294" s="8">
        <f>IF(OR($B294="",$C294=""),"",IFERROR(INDEX(PM_Short,MATCH($B294,PM_ID,0))&amp;"-"&amp;TEXT($C294,"00"),"?? no such product"))</f>
        <v/>
      </c>
      <c r="B294" s="5" t="n"/>
      <c r="C294" s="5" t="n"/>
      <c r="D294" s="8">
        <f>IF($B294="","",IFERROR(INDEX(PM_Category,MATCH($B294,PM_ID,0)),""))</f>
        <v/>
      </c>
      <c r="E294" s="8">
        <f>IF($B294="","",IFERROR(INDEX(PM_Subcategory,MATCH($B294,PM_ID,0)),""))</f>
        <v/>
      </c>
      <c r="F294" s="8">
        <f>IF($B294="","",IFERROR(INDEX(PM_Brand,MATCH($B294,PM_ID,0)),""))</f>
        <v/>
      </c>
      <c r="G294" s="8">
        <f>IF($B294="","",IFERROR(INDEX(PM_Model,MATCH($B294,PM_ID,0)),""))</f>
        <v/>
      </c>
      <c r="H294" s="5" t="n"/>
      <c r="I294" s="10" t="n"/>
      <c r="J294" s="9" t="n"/>
      <c r="K294" s="5" t="n"/>
      <c r="L294" s="5" t="n"/>
      <c r="M294" s="5" t="n"/>
      <c r="N294" s="5" t="n"/>
      <c r="O294" s="8">
        <f>IF($B294="","",IF(AND($A294&lt;&gt;"",COUNTIF(INV_ID,$A294)&gt;1),"⚠ this Unit ID already exists",IF(AND($H294&lt;&gt;"",COUNTIF(INV_Serial,$H294)&gt;1),"⚠ this serial already exists",IF(COUNTIFS(INV_Product,$B294,INV_No,$C294)&gt;1,"⚠ piece number reused",""))))</f>
        <v/>
      </c>
      <c r="P294" s="5" t="n"/>
    </row>
    <row r="295">
      <c r="A295" s="8">
        <f>IF(OR($B295="",$C295=""),"",IFERROR(INDEX(PM_Short,MATCH($B295,PM_ID,0))&amp;"-"&amp;TEXT($C295,"00"),"?? no such product"))</f>
        <v/>
      </c>
      <c r="B295" s="5" t="n"/>
      <c r="C295" s="5" t="n"/>
      <c r="D295" s="8">
        <f>IF($B295="","",IFERROR(INDEX(PM_Category,MATCH($B295,PM_ID,0)),""))</f>
        <v/>
      </c>
      <c r="E295" s="8">
        <f>IF($B295="","",IFERROR(INDEX(PM_Subcategory,MATCH($B295,PM_ID,0)),""))</f>
        <v/>
      </c>
      <c r="F295" s="8">
        <f>IF($B295="","",IFERROR(INDEX(PM_Brand,MATCH($B295,PM_ID,0)),""))</f>
        <v/>
      </c>
      <c r="G295" s="8">
        <f>IF($B295="","",IFERROR(INDEX(PM_Model,MATCH($B295,PM_ID,0)),""))</f>
        <v/>
      </c>
      <c r="H295" s="5" t="n"/>
      <c r="I295" s="10" t="n"/>
      <c r="J295" s="9" t="n"/>
      <c r="K295" s="5" t="n"/>
      <c r="L295" s="5" t="n"/>
      <c r="M295" s="5" t="n"/>
      <c r="N295" s="5" t="n"/>
      <c r="O295" s="8">
        <f>IF($B295="","",IF(AND($A295&lt;&gt;"",COUNTIF(INV_ID,$A295)&gt;1),"⚠ this Unit ID already exists",IF(AND($H295&lt;&gt;"",COUNTIF(INV_Serial,$H295)&gt;1),"⚠ this serial already exists",IF(COUNTIFS(INV_Product,$B295,INV_No,$C295)&gt;1,"⚠ piece number reused",""))))</f>
        <v/>
      </c>
      <c r="P295" s="5" t="n"/>
    </row>
    <row r="296">
      <c r="A296" s="8">
        <f>IF(OR($B296="",$C296=""),"",IFERROR(INDEX(PM_Short,MATCH($B296,PM_ID,0))&amp;"-"&amp;TEXT($C296,"00"),"?? no such product"))</f>
        <v/>
      </c>
      <c r="B296" s="5" t="n"/>
      <c r="C296" s="5" t="n"/>
      <c r="D296" s="8">
        <f>IF($B296="","",IFERROR(INDEX(PM_Category,MATCH($B296,PM_ID,0)),""))</f>
        <v/>
      </c>
      <c r="E296" s="8">
        <f>IF($B296="","",IFERROR(INDEX(PM_Subcategory,MATCH($B296,PM_ID,0)),""))</f>
        <v/>
      </c>
      <c r="F296" s="8">
        <f>IF($B296="","",IFERROR(INDEX(PM_Brand,MATCH($B296,PM_ID,0)),""))</f>
        <v/>
      </c>
      <c r="G296" s="8">
        <f>IF($B296="","",IFERROR(INDEX(PM_Model,MATCH($B296,PM_ID,0)),""))</f>
        <v/>
      </c>
      <c r="H296" s="5" t="n"/>
      <c r="I296" s="10" t="n"/>
      <c r="J296" s="9" t="n"/>
      <c r="K296" s="5" t="n"/>
      <c r="L296" s="5" t="n"/>
      <c r="M296" s="5" t="n"/>
      <c r="N296" s="5" t="n"/>
      <c r="O296" s="8">
        <f>IF($B296="","",IF(AND($A296&lt;&gt;"",COUNTIF(INV_ID,$A296)&gt;1),"⚠ this Unit ID already exists",IF(AND($H296&lt;&gt;"",COUNTIF(INV_Serial,$H296)&gt;1),"⚠ this serial already exists",IF(COUNTIFS(INV_Product,$B296,INV_No,$C296)&gt;1,"⚠ piece number reused",""))))</f>
        <v/>
      </c>
      <c r="P296" s="5" t="n"/>
    </row>
    <row r="297">
      <c r="A297" s="8">
        <f>IF(OR($B297="",$C297=""),"",IFERROR(INDEX(PM_Short,MATCH($B297,PM_ID,0))&amp;"-"&amp;TEXT($C297,"00"),"?? no such product"))</f>
        <v/>
      </c>
      <c r="B297" s="5" t="n"/>
      <c r="C297" s="5" t="n"/>
      <c r="D297" s="8">
        <f>IF($B297="","",IFERROR(INDEX(PM_Category,MATCH($B297,PM_ID,0)),""))</f>
        <v/>
      </c>
      <c r="E297" s="8">
        <f>IF($B297="","",IFERROR(INDEX(PM_Subcategory,MATCH($B297,PM_ID,0)),""))</f>
        <v/>
      </c>
      <c r="F297" s="8">
        <f>IF($B297="","",IFERROR(INDEX(PM_Brand,MATCH($B297,PM_ID,0)),""))</f>
        <v/>
      </c>
      <c r="G297" s="8">
        <f>IF($B297="","",IFERROR(INDEX(PM_Model,MATCH($B297,PM_ID,0)),""))</f>
        <v/>
      </c>
      <c r="H297" s="5" t="n"/>
      <c r="I297" s="10" t="n"/>
      <c r="J297" s="9" t="n"/>
      <c r="K297" s="5" t="n"/>
      <c r="L297" s="5" t="n"/>
      <c r="M297" s="5" t="n"/>
      <c r="N297" s="5" t="n"/>
      <c r="O297" s="8">
        <f>IF($B297="","",IF(AND($A297&lt;&gt;"",COUNTIF(INV_ID,$A297)&gt;1),"⚠ this Unit ID already exists",IF(AND($H297&lt;&gt;"",COUNTIF(INV_Serial,$H297)&gt;1),"⚠ this serial already exists",IF(COUNTIFS(INV_Product,$B297,INV_No,$C297)&gt;1,"⚠ piece number reused",""))))</f>
        <v/>
      </c>
      <c r="P297" s="5" t="n"/>
    </row>
    <row r="298">
      <c r="A298" s="8">
        <f>IF(OR($B298="",$C298=""),"",IFERROR(INDEX(PM_Short,MATCH($B298,PM_ID,0))&amp;"-"&amp;TEXT($C298,"00"),"?? no such product"))</f>
        <v/>
      </c>
      <c r="B298" s="5" t="n"/>
      <c r="C298" s="5" t="n"/>
      <c r="D298" s="8">
        <f>IF($B298="","",IFERROR(INDEX(PM_Category,MATCH($B298,PM_ID,0)),""))</f>
        <v/>
      </c>
      <c r="E298" s="8">
        <f>IF($B298="","",IFERROR(INDEX(PM_Subcategory,MATCH($B298,PM_ID,0)),""))</f>
        <v/>
      </c>
      <c r="F298" s="8">
        <f>IF($B298="","",IFERROR(INDEX(PM_Brand,MATCH($B298,PM_ID,0)),""))</f>
        <v/>
      </c>
      <c r="G298" s="8">
        <f>IF($B298="","",IFERROR(INDEX(PM_Model,MATCH($B298,PM_ID,0)),""))</f>
        <v/>
      </c>
      <c r="H298" s="5" t="n"/>
      <c r="I298" s="10" t="n"/>
      <c r="J298" s="9" t="n"/>
      <c r="K298" s="5" t="n"/>
      <c r="L298" s="5" t="n"/>
      <c r="M298" s="5" t="n"/>
      <c r="N298" s="5" t="n"/>
      <c r="O298" s="8">
        <f>IF($B298="","",IF(AND($A298&lt;&gt;"",COUNTIF(INV_ID,$A298)&gt;1),"⚠ this Unit ID already exists",IF(AND($H298&lt;&gt;"",COUNTIF(INV_Serial,$H298)&gt;1),"⚠ this serial already exists",IF(COUNTIFS(INV_Product,$B298,INV_No,$C298)&gt;1,"⚠ piece number reused",""))))</f>
        <v/>
      </c>
      <c r="P298" s="5" t="n"/>
    </row>
    <row r="299">
      <c r="A299" s="8">
        <f>IF(OR($B299="",$C299=""),"",IFERROR(INDEX(PM_Short,MATCH($B299,PM_ID,0))&amp;"-"&amp;TEXT($C299,"00"),"?? no such product"))</f>
        <v/>
      </c>
      <c r="B299" s="5" t="n"/>
      <c r="C299" s="5" t="n"/>
      <c r="D299" s="8">
        <f>IF($B299="","",IFERROR(INDEX(PM_Category,MATCH($B299,PM_ID,0)),""))</f>
        <v/>
      </c>
      <c r="E299" s="8">
        <f>IF($B299="","",IFERROR(INDEX(PM_Subcategory,MATCH($B299,PM_ID,0)),""))</f>
        <v/>
      </c>
      <c r="F299" s="8">
        <f>IF($B299="","",IFERROR(INDEX(PM_Brand,MATCH($B299,PM_ID,0)),""))</f>
        <v/>
      </c>
      <c r="G299" s="8">
        <f>IF($B299="","",IFERROR(INDEX(PM_Model,MATCH($B299,PM_ID,0)),""))</f>
        <v/>
      </c>
      <c r="H299" s="5" t="n"/>
      <c r="I299" s="10" t="n"/>
      <c r="J299" s="9" t="n"/>
      <c r="K299" s="5" t="n"/>
      <c r="L299" s="5" t="n"/>
      <c r="M299" s="5" t="n"/>
      <c r="N299" s="5" t="n"/>
      <c r="O299" s="8">
        <f>IF($B299="","",IF(AND($A299&lt;&gt;"",COUNTIF(INV_ID,$A299)&gt;1),"⚠ this Unit ID already exists",IF(AND($H299&lt;&gt;"",COUNTIF(INV_Serial,$H299)&gt;1),"⚠ this serial already exists",IF(COUNTIFS(INV_Product,$B299,INV_No,$C299)&gt;1,"⚠ piece number reused",""))))</f>
        <v/>
      </c>
      <c r="P299" s="5" t="n"/>
    </row>
    <row r="300">
      <c r="A300" s="8">
        <f>IF(OR($B300="",$C300=""),"",IFERROR(INDEX(PM_Short,MATCH($B300,PM_ID,0))&amp;"-"&amp;TEXT($C300,"00"),"?? no such product"))</f>
        <v/>
      </c>
      <c r="B300" s="5" t="n"/>
      <c r="C300" s="5" t="n"/>
      <c r="D300" s="8">
        <f>IF($B300="","",IFERROR(INDEX(PM_Category,MATCH($B300,PM_ID,0)),""))</f>
        <v/>
      </c>
      <c r="E300" s="8">
        <f>IF($B300="","",IFERROR(INDEX(PM_Subcategory,MATCH($B300,PM_ID,0)),""))</f>
        <v/>
      </c>
      <c r="F300" s="8">
        <f>IF($B300="","",IFERROR(INDEX(PM_Brand,MATCH($B300,PM_ID,0)),""))</f>
        <v/>
      </c>
      <c r="G300" s="8">
        <f>IF($B300="","",IFERROR(INDEX(PM_Model,MATCH($B300,PM_ID,0)),""))</f>
        <v/>
      </c>
      <c r="H300" s="5" t="n"/>
      <c r="I300" s="10" t="n"/>
      <c r="J300" s="9" t="n"/>
      <c r="K300" s="5" t="n"/>
      <c r="L300" s="5" t="n"/>
      <c r="M300" s="5" t="n"/>
      <c r="N300" s="5" t="n"/>
      <c r="O300" s="8">
        <f>IF($B300="","",IF(AND($A300&lt;&gt;"",COUNTIF(INV_ID,$A300)&gt;1),"⚠ this Unit ID already exists",IF(AND($H300&lt;&gt;"",COUNTIF(INV_Serial,$H300)&gt;1),"⚠ this serial already exists",IF(COUNTIFS(INV_Product,$B300,INV_No,$C300)&gt;1,"⚠ piece number reused",""))))</f>
        <v/>
      </c>
      <c r="P300" s="5" t="n"/>
    </row>
    <row r="301">
      <c r="A301" s="8">
        <f>IF(OR($B301="",$C301=""),"",IFERROR(INDEX(PM_Short,MATCH($B301,PM_ID,0))&amp;"-"&amp;TEXT($C301,"00"),"?? no such product"))</f>
        <v/>
      </c>
      <c r="B301" s="5" t="n"/>
      <c r="C301" s="5" t="n"/>
      <c r="D301" s="8">
        <f>IF($B301="","",IFERROR(INDEX(PM_Category,MATCH($B301,PM_ID,0)),""))</f>
        <v/>
      </c>
      <c r="E301" s="8">
        <f>IF($B301="","",IFERROR(INDEX(PM_Subcategory,MATCH($B301,PM_ID,0)),""))</f>
        <v/>
      </c>
      <c r="F301" s="8">
        <f>IF($B301="","",IFERROR(INDEX(PM_Brand,MATCH($B301,PM_ID,0)),""))</f>
        <v/>
      </c>
      <c r="G301" s="8">
        <f>IF($B301="","",IFERROR(INDEX(PM_Model,MATCH($B301,PM_ID,0)),""))</f>
        <v/>
      </c>
      <c r="H301" s="5" t="n"/>
      <c r="I301" s="10" t="n"/>
      <c r="J301" s="9" t="n"/>
      <c r="K301" s="5" t="n"/>
      <c r="L301" s="5" t="n"/>
      <c r="M301" s="5" t="n"/>
      <c r="N301" s="5" t="n"/>
      <c r="O301" s="8">
        <f>IF($B301="","",IF(AND($A301&lt;&gt;"",COUNTIF(INV_ID,$A301)&gt;1),"⚠ this Unit ID already exists",IF(AND($H301&lt;&gt;"",COUNTIF(INV_Serial,$H301)&gt;1),"⚠ this serial already exists",IF(COUNTIFS(INV_Product,$B301,INV_No,$C301)&gt;1,"⚠ piece number reused",""))))</f>
        <v/>
      </c>
      <c r="P301" s="5" t="n"/>
    </row>
    <row r="302">
      <c r="A302" s="8">
        <f>IF(OR($B302="",$C302=""),"",IFERROR(INDEX(PM_Short,MATCH($B302,PM_ID,0))&amp;"-"&amp;TEXT($C302,"00"),"?? no such product"))</f>
        <v/>
      </c>
      <c r="B302" s="5" t="n"/>
      <c r="C302" s="5" t="n"/>
      <c r="D302" s="8">
        <f>IF($B302="","",IFERROR(INDEX(PM_Category,MATCH($B302,PM_ID,0)),""))</f>
        <v/>
      </c>
      <c r="E302" s="8">
        <f>IF($B302="","",IFERROR(INDEX(PM_Subcategory,MATCH($B302,PM_ID,0)),""))</f>
        <v/>
      </c>
      <c r="F302" s="8">
        <f>IF($B302="","",IFERROR(INDEX(PM_Brand,MATCH($B302,PM_ID,0)),""))</f>
        <v/>
      </c>
      <c r="G302" s="8">
        <f>IF($B302="","",IFERROR(INDEX(PM_Model,MATCH($B302,PM_ID,0)),""))</f>
        <v/>
      </c>
      <c r="H302" s="5" t="n"/>
      <c r="I302" s="10" t="n"/>
      <c r="J302" s="9" t="n"/>
      <c r="K302" s="5" t="n"/>
      <c r="L302" s="5" t="n"/>
      <c r="M302" s="5" t="n"/>
      <c r="N302" s="5" t="n"/>
      <c r="O302" s="8">
        <f>IF($B302="","",IF(AND($A302&lt;&gt;"",COUNTIF(INV_ID,$A302)&gt;1),"⚠ this Unit ID already exists",IF(AND($H302&lt;&gt;"",COUNTIF(INV_Serial,$H302)&gt;1),"⚠ this serial already exists",IF(COUNTIFS(INV_Product,$B302,INV_No,$C302)&gt;1,"⚠ piece number reused",""))))</f>
        <v/>
      </c>
      <c r="P302" s="5" t="n"/>
    </row>
    <row r="303">
      <c r="A303" s="8">
        <f>IF(OR($B303="",$C303=""),"",IFERROR(INDEX(PM_Short,MATCH($B303,PM_ID,0))&amp;"-"&amp;TEXT($C303,"00"),"?? no such product"))</f>
        <v/>
      </c>
      <c r="B303" s="5" t="n"/>
      <c r="C303" s="5" t="n"/>
      <c r="D303" s="8">
        <f>IF($B303="","",IFERROR(INDEX(PM_Category,MATCH($B303,PM_ID,0)),""))</f>
        <v/>
      </c>
      <c r="E303" s="8">
        <f>IF($B303="","",IFERROR(INDEX(PM_Subcategory,MATCH($B303,PM_ID,0)),""))</f>
        <v/>
      </c>
      <c r="F303" s="8">
        <f>IF($B303="","",IFERROR(INDEX(PM_Brand,MATCH($B303,PM_ID,0)),""))</f>
        <v/>
      </c>
      <c r="G303" s="8">
        <f>IF($B303="","",IFERROR(INDEX(PM_Model,MATCH($B303,PM_ID,0)),""))</f>
        <v/>
      </c>
      <c r="H303" s="5" t="n"/>
      <c r="I303" s="10" t="n"/>
      <c r="J303" s="9" t="n"/>
      <c r="K303" s="5" t="n"/>
      <c r="L303" s="5" t="n"/>
      <c r="M303" s="5" t="n"/>
      <c r="N303" s="5" t="n"/>
      <c r="O303" s="8">
        <f>IF($B303="","",IF(AND($A303&lt;&gt;"",COUNTIF(INV_ID,$A303)&gt;1),"⚠ this Unit ID already exists",IF(AND($H303&lt;&gt;"",COUNTIF(INV_Serial,$H303)&gt;1),"⚠ this serial already exists",IF(COUNTIFS(INV_Product,$B303,INV_No,$C303)&gt;1,"⚠ piece number reused",""))))</f>
        <v/>
      </c>
      <c r="P303" s="5" t="n"/>
    </row>
    <row r="304">
      <c r="A304" s="8">
        <f>IF(OR($B304="",$C304=""),"",IFERROR(INDEX(PM_Short,MATCH($B304,PM_ID,0))&amp;"-"&amp;TEXT($C304,"00"),"?? no such product"))</f>
        <v/>
      </c>
      <c r="B304" s="5" t="n"/>
      <c r="C304" s="5" t="n"/>
      <c r="D304" s="8">
        <f>IF($B304="","",IFERROR(INDEX(PM_Category,MATCH($B304,PM_ID,0)),""))</f>
        <v/>
      </c>
      <c r="E304" s="8">
        <f>IF($B304="","",IFERROR(INDEX(PM_Subcategory,MATCH($B304,PM_ID,0)),""))</f>
        <v/>
      </c>
      <c r="F304" s="8">
        <f>IF($B304="","",IFERROR(INDEX(PM_Brand,MATCH($B304,PM_ID,0)),""))</f>
        <v/>
      </c>
      <c r="G304" s="8">
        <f>IF($B304="","",IFERROR(INDEX(PM_Model,MATCH($B304,PM_ID,0)),""))</f>
        <v/>
      </c>
      <c r="H304" s="5" t="n"/>
      <c r="I304" s="10" t="n"/>
      <c r="J304" s="9" t="n"/>
      <c r="K304" s="5" t="n"/>
      <c r="L304" s="5" t="n"/>
      <c r="M304" s="5" t="n"/>
      <c r="N304" s="5" t="n"/>
      <c r="O304" s="8">
        <f>IF($B304="","",IF(AND($A304&lt;&gt;"",COUNTIF(INV_ID,$A304)&gt;1),"⚠ this Unit ID already exists",IF(AND($H304&lt;&gt;"",COUNTIF(INV_Serial,$H304)&gt;1),"⚠ this serial already exists",IF(COUNTIFS(INV_Product,$B304,INV_No,$C304)&gt;1,"⚠ piece number reused",""))))</f>
        <v/>
      </c>
      <c r="P304" s="5" t="n"/>
    </row>
    <row r="305">
      <c r="A305" s="8">
        <f>IF(OR($B305="",$C305=""),"",IFERROR(INDEX(PM_Short,MATCH($B305,PM_ID,0))&amp;"-"&amp;TEXT($C305,"00"),"?? no such product"))</f>
        <v/>
      </c>
      <c r="B305" s="5" t="n"/>
      <c r="C305" s="5" t="n"/>
      <c r="D305" s="8">
        <f>IF($B305="","",IFERROR(INDEX(PM_Category,MATCH($B305,PM_ID,0)),""))</f>
        <v/>
      </c>
      <c r="E305" s="8">
        <f>IF($B305="","",IFERROR(INDEX(PM_Subcategory,MATCH($B305,PM_ID,0)),""))</f>
        <v/>
      </c>
      <c r="F305" s="8">
        <f>IF($B305="","",IFERROR(INDEX(PM_Brand,MATCH($B305,PM_ID,0)),""))</f>
        <v/>
      </c>
      <c r="G305" s="8">
        <f>IF($B305="","",IFERROR(INDEX(PM_Model,MATCH($B305,PM_ID,0)),""))</f>
        <v/>
      </c>
      <c r="H305" s="5" t="n"/>
      <c r="I305" s="10" t="n"/>
      <c r="J305" s="9" t="n"/>
      <c r="K305" s="5" t="n"/>
      <c r="L305" s="5" t="n"/>
      <c r="M305" s="5" t="n"/>
      <c r="N305" s="5" t="n"/>
      <c r="O305" s="8">
        <f>IF($B305="","",IF(AND($A305&lt;&gt;"",COUNTIF(INV_ID,$A305)&gt;1),"⚠ this Unit ID already exists",IF(AND($H305&lt;&gt;"",COUNTIF(INV_Serial,$H305)&gt;1),"⚠ this serial already exists",IF(COUNTIFS(INV_Product,$B305,INV_No,$C305)&gt;1,"⚠ piece number reused",""))))</f>
        <v/>
      </c>
      <c r="P305" s="5" t="n"/>
    </row>
    <row r="306">
      <c r="A306" s="8">
        <f>IF(OR($B306="",$C306=""),"",IFERROR(INDEX(PM_Short,MATCH($B306,PM_ID,0))&amp;"-"&amp;TEXT($C306,"00"),"?? no such product"))</f>
        <v/>
      </c>
      <c r="B306" s="5" t="n"/>
      <c r="C306" s="5" t="n"/>
      <c r="D306" s="8">
        <f>IF($B306="","",IFERROR(INDEX(PM_Category,MATCH($B306,PM_ID,0)),""))</f>
        <v/>
      </c>
      <c r="E306" s="8">
        <f>IF($B306="","",IFERROR(INDEX(PM_Subcategory,MATCH($B306,PM_ID,0)),""))</f>
        <v/>
      </c>
      <c r="F306" s="8">
        <f>IF($B306="","",IFERROR(INDEX(PM_Brand,MATCH($B306,PM_ID,0)),""))</f>
        <v/>
      </c>
      <c r="G306" s="8">
        <f>IF($B306="","",IFERROR(INDEX(PM_Model,MATCH($B306,PM_ID,0)),""))</f>
        <v/>
      </c>
      <c r="H306" s="5" t="n"/>
      <c r="I306" s="10" t="n"/>
      <c r="J306" s="9" t="n"/>
      <c r="K306" s="5" t="n"/>
      <c r="L306" s="5" t="n"/>
      <c r="M306" s="5" t="n"/>
      <c r="N306" s="5" t="n"/>
      <c r="O306" s="8">
        <f>IF($B306="","",IF(AND($A306&lt;&gt;"",COUNTIF(INV_ID,$A306)&gt;1),"⚠ this Unit ID already exists",IF(AND($H306&lt;&gt;"",COUNTIF(INV_Serial,$H306)&gt;1),"⚠ this serial already exists",IF(COUNTIFS(INV_Product,$B306,INV_No,$C306)&gt;1,"⚠ piece number reused",""))))</f>
        <v/>
      </c>
      <c r="P306" s="5" t="n"/>
    </row>
    <row r="307">
      <c r="A307" s="8">
        <f>IF(OR($B307="",$C307=""),"",IFERROR(INDEX(PM_Short,MATCH($B307,PM_ID,0))&amp;"-"&amp;TEXT($C307,"00"),"?? no such product"))</f>
        <v/>
      </c>
      <c r="B307" s="5" t="n"/>
      <c r="C307" s="5" t="n"/>
      <c r="D307" s="8">
        <f>IF($B307="","",IFERROR(INDEX(PM_Category,MATCH($B307,PM_ID,0)),""))</f>
        <v/>
      </c>
      <c r="E307" s="8">
        <f>IF($B307="","",IFERROR(INDEX(PM_Subcategory,MATCH($B307,PM_ID,0)),""))</f>
        <v/>
      </c>
      <c r="F307" s="8">
        <f>IF($B307="","",IFERROR(INDEX(PM_Brand,MATCH($B307,PM_ID,0)),""))</f>
        <v/>
      </c>
      <c r="G307" s="8">
        <f>IF($B307="","",IFERROR(INDEX(PM_Model,MATCH($B307,PM_ID,0)),""))</f>
        <v/>
      </c>
      <c r="H307" s="5" t="n"/>
      <c r="I307" s="10" t="n"/>
      <c r="J307" s="9" t="n"/>
      <c r="K307" s="5" t="n"/>
      <c r="L307" s="5" t="n"/>
      <c r="M307" s="5" t="n"/>
      <c r="N307" s="5" t="n"/>
      <c r="O307" s="8">
        <f>IF($B307="","",IF(AND($A307&lt;&gt;"",COUNTIF(INV_ID,$A307)&gt;1),"⚠ this Unit ID already exists",IF(AND($H307&lt;&gt;"",COUNTIF(INV_Serial,$H307)&gt;1),"⚠ this serial already exists",IF(COUNTIFS(INV_Product,$B307,INV_No,$C307)&gt;1,"⚠ piece number reused",""))))</f>
        <v/>
      </c>
      <c r="P307" s="5" t="n"/>
    </row>
    <row r="308">
      <c r="A308" s="8">
        <f>IF(OR($B308="",$C308=""),"",IFERROR(INDEX(PM_Short,MATCH($B308,PM_ID,0))&amp;"-"&amp;TEXT($C308,"00"),"?? no such product"))</f>
        <v/>
      </c>
      <c r="B308" s="5" t="n"/>
      <c r="C308" s="5" t="n"/>
      <c r="D308" s="8">
        <f>IF($B308="","",IFERROR(INDEX(PM_Category,MATCH($B308,PM_ID,0)),""))</f>
        <v/>
      </c>
      <c r="E308" s="8">
        <f>IF($B308="","",IFERROR(INDEX(PM_Subcategory,MATCH($B308,PM_ID,0)),""))</f>
        <v/>
      </c>
      <c r="F308" s="8">
        <f>IF($B308="","",IFERROR(INDEX(PM_Brand,MATCH($B308,PM_ID,0)),""))</f>
        <v/>
      </c>
      <c r="G308" s="8">
        <f>IF($B308="","",IFERROR(INDEX(PM_Model,MATCH($B308,PM_ID,0)),""))</f>
        <v/>
      </c>
      <c r="H308" s="5" t="n"/>
      <c r="I308" s="10" t="n"/>
      <c r="J308" s="9" t="n"/>
      <c r="K308" s="5" t="n"/>
      <c r="L308" s="5" t="n"/>
      <c r="M308" s="5" t="n"/>
      <c r="N308" s="5" t="n"/>
      <c r="O308" s="8">
        <f>IF($B308="","",IF(AND($A308&lt;&gt;"",COUNTIF(INV_ID,$A308)&gt;1),"⚠ this Unit ID already exists",IF(AND($H308&lt;&gt;"",COUNTIF(INV_Serial,$H308)&gt;1),"⚠ this serial already exists",IF(COUNTIFS(INV_Product,$B308,INV_No,$C308)&gt;1,"⚠ piece number reused",""))))</f>
        <v/>
      </c>
      <c r="P308" s="5" t="n"/>
    </row>
    <row r="309">
      <c r="A309" s="8">
        <f>IF(OR($B309="",$C309=""),"",IFERROR(INDEX(PM_Short,MATCH($B309,PM_ID,0))&amp;"-"&amp;TEXT($C309,"00"),"?? no such product"))</f>
        <v/>
      </c>
      <c r="B309" s="5" t="n"/>
      <c r="C309" s="5" t="n"/>
      <c r="D309" s="8">
        <f>IF($B309="","",IFERROR(INDEX(PM_Category,MATCH($B309,PM_ID,0)),""))</f>
        <v/>
      </c>
      <c r="E309" s="8">
        <f>IF($B309="","",IFERROR(INDEX(PM_Subcategory,MATCH($B309,PM_ID,0)),""))</f>
        <v/>
      </c>
      <c r="F309" s="8">
        <f>IF($B309="","",IFERROR(INDEX(PM_Brand,MATCH($B309,PM_ID,0)),""))</f>
        <v/>
      </c>
      <c r="G309" s="8">
        <f>IF($B309="","",IFERROR(INDEX(PM_Model,MATCH($B309,PM_ID,0)),""))</f>
        <v/>
      </c>
      <c r="H309" s="5" t="n"/>
      <c r="I309" s="10" t="n"/>
      <c r="J309" s="9" t="n"/>
      <c r="K309" s="5" t="n"/>
      <c r="L309" s="5" t="n"/>
      <c r="M309" s="5" t="n"/>
      <c r="N309" s="5" t="n"/>
      <c r="O309" s="8">
        <f>IF($B309="","",IF(AND($A309&lt;&gt;"",COUNTIF(INV_ID,$A309)&gt;1),"⚠ this Unit ID already exists",IF(AND($H309&lt;&gt;"",COUNTIF(INV_Serial,$H309)&gt;1),"⚠ this serial already exists",IF(COUNTIFS(INV_Product,$B309,INV_No,$C309)&gt;1,"⚠ piece number reused",""))))</f>
        <v/>
      </c>
      <c r="P309" s="5" t="n"/>
    </row>
    <row r="310">
      <c r="A310" s="8">
        <f>IF(OR($B310="",$C310=""),"",IFERROR(INDEX(PM_Short,MATCH($B310,PM_ID,0))&amp;"-"&amp;TEXT($C310,"00"),"?? no such product"))</f>
        <v/>
      </c>
      <c r="B310" s="5" t="n"/>
      <c r="C310" s="5" t="n"/>
      <c r="D310" s="8">
        <f>IF($B310="","",IFERROR(INDEX(PM_Category,MATCH($B310,PM_ID,0)),""))</f>
        <v/>
      </c>
      <c r="E310" s="8">
        <f>IF($B310="","",IFERROR(INDEX(PM_Subcategory,MATCH($B310,PM_ID,0)),""))</f>
        <v/>
      </c>
      <c r="F310" s="8">
        <f>IF($B310="","",IFERROR(INDEX(PM_Brand,MATCH($B310,PM_ID,0)),""))</f>
        <v/>
      </c>
      <c r="G310" s="8">
        <f>IF($B310="","",IFERROR(INDEX(PM_Model,MATCH($B310,PM_ID,0)),""))</f>
        <v/>
      </c>
      <c r="H310" s="5" t="n"/>
      <c r="I310" s="10" t="n"/>
      <c r="J310" s="9" t="n"/>
      <c r="K310" s="5" t="n"/>
      <c r="L310" s="5" t="n"/>
      <c r="M310" s="5" t="n"/>
      <c r="N310" s="5" t="n"/>
      <c r="O310" s="8">
        <f>IF($B310="","",IF(AND($A310&lt;&gt;"",COUNTIF(INV_ID,$A310)&gt;1),"⚠ this Unit ID already exists",IF(AND($H310&lt;&gt;"",COUNTIF(INV_Serial,$H310)&gt;1),"⚠ this serial already exists",IF(COUNTIFS(INV_Product,$B310,INV_No,$C310)&gt;1,"⚠ piece number reused",""))))</f>
        <v/>
      </c>
      <c r="P310" s="5" t="n"/>
    </row>
    <row r="311">
      <c r="A311" s="8">
        <f>IF(OR($B311="",$C311=""),"",IFERROR(INDEX(PM_Short,MATCH($B311,PM_ID,0))&amp;"-"&amp;TEXT($C311,"00"),"?? no such product"))</f>
        <v/>
      </c>
      <c r="B311" s="5" t="n"/>
      <c r="C311" s="5" t="n"/>
      <c r="D311" s="8">
        <f>IF($B311="","",IFERROR(INDEX(PM_Category,MATCH($B311,PM_ID,0)),""))</f>
        <v/>
      </c>
      <c r="E311" s="8">
        <f>IF($B311="","",IFERROR(INDEX(PM_Subcategory,MATCH($B311,PM_ID,0)),""))</f>
        <v/>
      </c>
      <c r="F311" s="8">
        <f>IF($B311="","",IFERROR(INDEX(PM_Brand,MATCH($B311,PM_ID,0)),""))</f>
        <v/>
      </c>
      <c r="G311" s="8">
        <f>IF($B311="","",IFERROR(INDEX(PM_Model,MATCH($B311,PM_ID,0)),""))</f>
        <v/>
      </c>
      <c r="H311" s="5" t="n"/>
      <c r="I311" s="10" t="n"/>
      <c r="J311" s="9" t="n"/>
      <c r="K311" s="5" t="n"/>
      <c r="L311" s="5" t="n"/>
      <c r="M311" s="5" t="n"/>
      <c r="N311" s="5" t="n"/>
      <c r="O311" s="8">
        <f>IF($B311="","",IF(AND($A311&lt;&gt;"",COUNTIF(INV_ID,$A311)&gt;1),"⚠ this Unit ID already exists",IF(AND($H311&lt;&gt;"",COUNTIF(INV_Serial,$H311)&gt;1),"⚠ this serial already exists",IF(COUNTIFS(INV_Product,$B311,INV_No,$C311)&gt;1,"⚠ piece number reused",""))))</f>
        <v/>
      </c>
      <c r="P311" s="5" t="n"/>
    </row>
    <row r="312">
      <c r="A312" s="8">
        <f>IF(OR($B312="",$C312=""),"",IFERROR(INDEX(PM_Short,MATCH($B312,PM_ID,0))&amp;"-"&amp;TEXT($C312,"00"),"?? no such product"))</f>
        <v/>
      </c>
      <c r="B312" s="5" t="n"/>
      <c r="C312" s="5" t="n"/>
      <c r="D312" s="8">
        <f>IF($B312="","",IFERROR(INDEX(PM_Category,MATCH($B312,PM_ID,0)),""))</f>
        <v/>
      </c>
      <c r="E312" s="8">
        <f>IF($B312="","",IFERROR(INDEX(PM_Subcategory,MATCH($B312,PM_ID,0)),""))</f>
        <v/>
      </c>
      <c r="F312" s="8">
        <f>IF($B312="","",IFERROR(INDEX(PM_Brand,MATCH($B312,PM_ID,0)),""))</f>
        <v/>
      </c>
      <c r="G312" s="8">
        <f>IF($B312="","",IFERROR(INDEX(PM_Model,MATCH($B312,PM_ID,0)),""))</f>
        <v/>
      </c>
      <c r="H312" s="5" t="n"/>
      <c r="I312" s="10" t="n"/>
      <c r="J312" s="9" t="n"/>
      <c r="K312" s="5" t="n"/>
      <c r="L312" s="5" t="n"/>
      <c r="M312" s="5" t="n"/>
      <c r="N312" s="5" t="n"/>
      <c r="O312" s="8">
        <f>IF($B312="","",IF(AND($A312&lt;&gt;"",COUNTIF(INV_ID,$A312)&gt;1),"⚠ this Unit ID already exists",IF(AND($H312&lt;&gt;"",COUNTIF(INV_Serial,$H312)&gt;1),"⚠ this serial already exists",IF(COUNTIFS(INV_Product,$B312,INV_No,$C312)&gt;1,"⚠ piece number reused",""))))</f>
        <v/>
      </c>
      <c r="P312" s="5" t="n"/>
    </row>
    <row r="313">
      <c r="A313" s="8">
        <f>IF(OR($B313="",$C313=""),"",IFERROR(INDEX(PM_Short,MATCH($B313,PM_ID,0))&amp;"-"&amp;TEXT($C313,"00"),"?? no such product"))</f>
        <v/>
      </c>
      <c r="B313" s="5" t="n"/>
      <c r="C313" s="5" t="n"/>
      <c r="D313" s="8">
        <f>IF($B313="","",IFERROR(INDEX(PM_Category,MATCH($B313,PM_ID,0)),""))</f>
        <v/>
      </c>
      <c r="E313" s="8">
        <f>IF($B313="","",IFERROR(INDEX(PM_Subcategory,MATCH($B313,PM_ID,0)),""))</f>
        <v/>
      </c>
      <c r="F313" s="8">
        <f>IF($B313="","",IFERROR(INDEX(PM_Brand,MATCH($B313,PM_ID,0)),""))</f>
        <v/>
      </c>
      <c r="G313" s="8">
        <f>IF($B313="","",IFERROR(INDEX(PM_Model,MATCH($B313,PM_ID,0)),""))</f>
        <v/>
      </c>
      <c r="H313" s="5" t="n"/>
      <c r="I313" s="10" t="n"/>
      <c r="J313" s="9" t="n"/>
      <c r="K313" s="5" t="n"/>
      <c r="L313" s="5" t="n"/>
      <c r="M313" s="5" t="n"/>
      <c r="N313" s="5" t="n"/>
      <c r="O313" s="8">
        <f>IF($B313="","",IF(AND($A313&lt;&gt;"",COUNTIF(INV_ID,$A313)&gt;1),"⚠ this Unit ID already exists",IF(AND($H313&lt;&gt;"",COUNTIF(INV_Serial,$H313)&gt;1),"⚠ this serial already exists",IF(COUNTIFS(INV_Product,$B313,INV_No,$C313)&gt;1,"⚠ piece number reused",""))))</f>
        <v/>
      </c>
      <c r="P313" s="5" t="n"/>
    </row>
    <row r="314">
      <c r="A314" s="8">
        <f>IF(OR($B314="",$C314=""),"",IFERROR(INDEX(PM_Short,MATCH($B314,PM_ID,0))&amp;"-"&amp;TEXT($C314,"00"),"?? no such product"))</f>
        <v/>
      </c>
      <c r="B314" s="5" t="n"/>
      <c r="C314" s="5" t="n"/>
      <c r="D314" s="8">
        <f>IF($B314="","",IFERROR(INDEX(PM_Category,MATCH($B314,PM_ID,0)),""))</f>
        <v/>
      </c>
      <c r="E314" s="8">
        <f>IF($B314="","",IFERROR(INDEX(PM_Subcategory,MATCH($B314,PM_ID,0)),""))</f>
        <v/>
      </c>
      <c r="F314" s="8">
        <f>IF($B314="","",IFERROR(INDEX(PM_Brand,MATCH($B314,PM_ID,0)),""))</f>
        <v/>
      </c>
      <c r="G314" s="8">
        <f>IF($B314="","",IFERROR(INDEX(PM_Model,MATCH($B314,PM_ID,0)),""))</f>
        <v/>
      </c>
      <c r="H314" s="5" t="n"/>
      <c r="I314" s="10" t="n"/>
      <c r="J314" s="9" t="n"/>
      <c r="K314" s="5" t="n"/>
      <c r="L314" s="5" t="n"/>
      <c r="M314" s="5" t="n"/>
      <c r="N314" s="5" t="n"/>
      <c r="O314" s="8">
        <f>IF($B314="","",IF(AND($A314&lt;&gt;"",COUNTIF(INV_ID,$A314)&gt;1),"⚠ this Unit ID already exists",IF(AND($H314&lt;&gt;"",COUNTIF(INV_Serial,$H314)&gt;1),"⚠ this serial already exists",IF(COUNTIFS(INV_Product,$B314,INV_No,$C314)&gt;1,"⚠ piece number reused",""))))</f>
        <v/>
      </c>
      <c r="P314" s="5" t="n"/>
    </row>
    <row r="315">
      <c r="A315" s="8">
        <f>IF(OR($B315="",$C315=""),"",IFERROR(INDEX(PM_Short,MATCH($B315,PM_ID,0))&amp;"-"&amp;TEXT($C315,"00"),"?? no such product"))</f>
        <v/>
      </c>
      <c r="B315" s="5" t="n"/>
      <c r="C315" s="5" t="n"/>
      <c r="D315" s="8">
        <f>IF($B315="","",IFERROR(INDEX(PM_Category,MATCH($B315,PM_ID,0)),""))</f>
        <v/>
      </c>
      <c r="E315" s="8">
        <f>IF($B315="","",IFERROR(INDEX(PM_Subcategory,MATCH($B315,PM_ID,0)),""))</f>
        <v/>
      </c>
      <c r="F315" s="8">
        <f>IF($B315="","",IFERROR(INDEX(PM_Brand,MATCH($B315,PM_ID,0)),""))</f>
        <v/>
      </c>
      <c r="G315" s="8">
        <f>IF($B315="","",IFERROR(INDEX(PM_Model,MATCH($B315,PM_ID,0)),""))</f>
        <v/>
      </c>
      <c r="H315" s="5" t="n"/>
      <c r="I315" s="10" t="n"/>
      <c r="J315" s="9" t="n"/>
      <c r="K315" s="5" t="n"/>
      <c r="L315" s="5" t="n"/>
      <c r="M315" s="5" t="n"/>
      <c r="N315" s="5" t="n"/>
      <c r="O315" s="8">
        <f>IF($B315="","",IF(AND($A315&lt;&gt;"",COUNTIF(INV_ID,$A315)&gt;1),"⚠ this Unit ID already exists",IF(AND($H315&lt;&gt;"",COUNTIF(INV_Serial,$H315)&gt;1),"⚠ this serial already exists",IF(COUNTIFS(INV_Product,$B315,INV_No,$C315)&gt;1,"⚠ piece number reused",""))))</f>
        <v/>
      </c>
      <c r="P315" s="5" t="n"/>
    </row>
    <row r="316">
      <c r="A316" s="8">
        <f>IF(OR($B316="",$C316=""),"",IFERROR(INDEX(PM_Short,MATCH($B316,PM_ID,0))&amp;"-"&amp;TEXT($C316,"00"),"?? no such product"))</f>
        <v/>
      </c>
      <c r="B316" s="5" t="n"/>
      <c r="C316" s="5" t="n"/>
      <c r="D316" s="8">
        <f>IF($B316="","",IFERROR(INDEX(PM_Category,MATCH($B316,PM_ID,0)),""))</f>
        <v/>
      </c>
      <c r="E316" s="8">
        <f>IF($B316="","",IFERROR(INDEX(PM_Subcategory,MATCH($B316,PM_ID,0)),""))</f>
        <v/>
      </c>
      <c r="F316" s="8">
        <f>IF($B316="","",IFERROR(INDEX(PM_Brand,MATCH($B316,PM_ID,0)),""))</f>
        <v/>
      </c>
      <c r="G316" s="8">
        <f>IF($B316="","",IFERROR(INDEX(PM_Model,MATCH($B316,PM_ID,0)),""))</f>
        <v/>
      </c>
      <c r="H316" s="5" t="n"/>
      <c r="I316" s="10" t="n"/>
      <c r="J316" s="9" t="n"/>
      <c r="K316" s="5" t="n"/>
      <c r="L316" s="5" t="n"/>
      <c r="M316" s="5" t="n"/>
      <c r="N316" s="5" t="n"/>
      <c r="O316" s="8">
        <f>IF($B316="","",IF(AND($A316&lt;&gt;"",COUNTIF(INV_ID,$A316)&gt;1),"⚠ this Unit ID already exists",IF(AND($H316&lt;&gt;"",COUNTIF(INV_Serial,$H316)&gt;1),"⚠ this serial already exists",IF(COUNTIFS(INV_Product,$B316,INV_No,$C316)&gt;1,"⚠ piece number reused",""))))</f>
        <v/>
      </c>
      <c r="P316" s="5" t="n"/>
    </row>
    <row r="317">
      <c r="A317" s="8">
        <f>IF(OR($B317="",$C317=""),"",IFERROR(INDEX(PM_Short,MATCH($B317,PM_ID,0))&amp;"-"&amp;TEXT($C317,"00"),"?? no such product"))</f>
        <v/>
      </c>
      <c r="B317" s="5" t="n"/>
      <c r="C317" s="5" t="n"/>
      <c r="D317" s="8">
        <f>IF($B317="","",IFERROR(INDEX(PM_Category,MATCH($B317,PM_ID,0)),""))</f>
        <v/>
      </c>
      <c r="E317" s="8">
        <f>IF($B317="","",IFERROR(INDEX(PM_Subcategory,MATCH($B317,PM_ID,0)),""))</f>
        <v/>
      </c>
      <c r="F317" s="8">
        <f>IF($B317="","",IFERROR(INDEX(PM_Brand,MATCH($B317,PM_ID,0)),""))</f>
        <v/>
      </c>
      <c r="G317" s="8">
        <f>IF($B317="","",IFERROR(INDEX(PM_Model,MATCH($B317,PM_ID,0)),""))</f>
        <v/>
      </c>
      <c r="H317" s="5" t="n"/>
      <c r="I317" s="10" t="n"/>
      <c r="J317" s="9" t="n"/>
      <c r="K317" s="5" t="n"/>
      <c r="L317" s="5" t="n"/>
      <c r="M317" s="5" t="n"/>
      <c r="N317" s="5" t="n"/>
      <c r="O317" s="8">
        <f>IF($B317="","",IF(AND($A317&lt;&gt;"",COUNTIF(INV_ID,$A317)&gt;1),"⚠ this Unit ID already exists",IF(AND($H317&lt;&gt;"",COUNTIF(INV_Serial,$H317)&gt;1),"⚠ this serial already exists",IF(COUNTIFS(INV_Product,$B317,INV_No,$C317)&gt;1,"⚠ piece number reused",""))))</f>
        <v/>
      </c>
      <c r="P317" s="5" t="n"/>
    </row>
    <row r="318">
      <c r="A318" s="8">
        <f>IF(OR($B318="",$C318=""),"",IFERROR(INDEX(PM_Short,MATCH($B318,PM_ID,0))&amp;"-"&amp;TEXT($C318,"00"),"?? no such product"))</f>
        <v/>
      </c>
      <c r="B318" s="5" t="n"/>
      <c r="C318" s="5" t="n"/>
      <c r="D318" s="8">
        <f>IF($B318="","",IFERROR(INDEX(PM_Category,MATCH($B318,PM_ID,0)),""))</f>
        <v/>
      </c>
      <c r="E318" s="8">
        <f>IF($B318="","",IFERROR(INDEX(PM_Subcategory,MATCH($B318,PM_ID,0)),""))</f>
        <v/>
      </c>
      <c r="F318" s="8">
        <f>IF($B318="","",IFERROR(INDEX(PM_Brand,MATCH($B318,PM_ID,0)),""))</f>
        <v/>
      </c>
      <c r="G318" s="8">
        <f>IF($B318="","",IFERROR(INDEX(PM_Model,MATCH($B318,PM_ID,0)),""))</f>
        <v/>
      </c>
      <c r="H318" s="5" t="n"/>
      <c r="I318" s="10" t="n"/>
      <c r="J318" s="9" t="n"/>
      <c r="K318" s="5" t="n"/>
      <c r="L318" s="5" t="n"/>
      <c r="M318" s="5" t="n"/>
      <c r="N318" s="5" t="n"/>
      <c r="O318" s="8">
        <f>IF($B318="","",IF(AND($A318&lt;&gt;"",COUNTIF(INV_ID,$A318)&gt;1),"⚠ this Unit ID already exists",IF(AND($H318&lt;&gt;"",COUNTIF(INV_Serial,$H318)&gt;1),"⚠ this serial already exists",IF(COUNTIFS(INV_Product,$B318,INV_No,$C318)&gt;1,"⚠ piece number reused",""))))</f>
        <v/>
      </c>
      <c r="P318" s="5" t="n"/>
    </row>
    <row r="319">
      <c r="A319" s="8">
        <f>IF(OR($B319="",$C319=""),"",IFERROR(INDEX(PM_Short,MATCH($B319,PM_ID,0))&amp;"-"&amp;TEXT($C319,"00"),"?? no such product"))</f>
        <v/>
      </c>
      <c r="B319" s="5" t="n"/>
      <c r="C319" s="5" t="n"/>
      <c r="D319" s="8">
        <f>IF($B319="","",IFERROR(INDEX(PM_Category,MATCH($B319,PM_ID,0)),""))</f>
        <v/>
      </c>
      <c r="E319" s="8">
        <f>IF($B319="","",IFERROR(INDEX(PM_Subcategory,MATCH($B319,PM_ID,0)),""))</f>
        <v/>
      </c>
      <c r="F319" s="8">
        <f>IF($B319="","",IFERROR(INDEX(PM_Brand,MATCH($B319,PM_ID,0)),""))</f>
        <v/>
      </c>
      <c r="G319" s="8">
        <f>IF($B319="","",IFERROR(INDEX(PM_Model,MATCH($B319,PM_ID,0)),""))</f>
        <v/>
      </c>
      <c r="H319" s="5" t="n"/>
      <c r="I319" s="10" t="n"/>
      <c r="J319" s="9" t="n"/>
      <c r="K319" s="5" t="n"/>
      <c r="L319" s="5" t="n"/>
      <c r="M319" s="5" t="n"/>
      <c r="N319" s="5" t="n"/>
      <c r="O319" s="8">
        <f>IF($B319="","",IF(AND($A319&lt;&gt;"",COUNTIF(INV_ID,$A319)&gt;1),"⚠ this Unit ID already exists",IF(AND($H319&lt;&gt;"",COUNTIF(INV_Serial,$H319)&gt;1),"⚠ this serial already exists",IF(COUNTIFS(INV_Product,$B319,INV_No,$C319)&gt;1,"⚠ piece number reused",""))))</f>
        <v/>
      </c>
      <c r="P319" s="5" t="n"/>
    </row>
    <row r="320">
      <c r="A320" s="8">
        <f>IF(OR($B320="",$C320=""),"",IFERROR(INDEX(PM_Short,MATCH($B320,PM_ID,0))&amp;"-"&amp;TEXT($C320,"00"),"?? no such product"))</f>
        <v/>
      </c>
      <c r="B320" s="5" t="n"/>
      <c r="C320" s="5" t="n"/>
      <c r="D320" s="8">
        <f>IF($B320="","",IFERROR(INDEX(PM_Category,MATCH($B320,PM_ID,0)),""))</f>
        <v/>
      </c>
      <c r="E320" s="8">
        <f>IF($B320="","",IFERROR(INDEX(PM_Subcategory,MATCH($B320,PM_ID,0)),""))</f>
        <v/>
      </c>
      <c r="F320" s="8">
        <f>IF($B320="","",IFERROR(INDEX(PM_Brand,MATCH($B320,PM_ID,0)),""))</f>
        <v/>
      </c>
      <c r="G320" s="8">
        <f>IF($B320="","",IFERROR(INDEX(PM_Model,MATCH($B320,PM_ID,0)),""))</f>
        <v/>
      </c>
      <c r="H320" s="5" t="n"/>
      <c r="I320" s="10" t="n"/>
      <c r="J320" s="9" t="n"/>
      <c r="K320" s="5" t="n"/>
      <c r="L320" s="5" t="n"/>
      <c r="M320" s="5" t="n"/>
      <c r="N320" s="5" t="n"/>
      <c r="O320" s="8">
        <f>IF($B320="","",IF(AND($A320&lt;&gt;"",COUNTIF(INV_ID,$A320)&gt;1),"⚠ this Unit ID already exists",IF(AND($H320&lt;&gt;"",COUNTIF(INV_Serial,$H320)&gt;1),"⚠ this serial already exists",IF(COUNTIFS(INV_Product,$B320,INV_No,$C320)&gt;1,"⚠ piece number reused",""))))</f>
        <v/>
      </c>
      <c r="P320" s="5" t="n"/>
    </row>
    <row r="321">
      <c r="A321" s="8">
        <f>IF(OR($B321="",$C321=""),"",IFERROR(INDEX(PM_Short,MATCH($B321,PM_ID,0))&amp;"-"&amp;TEXT($C321,"00"),"?? no such product"))</f>
        <v/>
      </c>
      <c r="B321" s="5" t="n"/>
      <c r="C321" s="5" t="n"/>
      <c r="D321" s="8">
        <f>IF($B321="","",IFERROR(INDEX(PM_Category,MATCH($B321,PM_ID,0)),""))</f>
        <v/>
      </c>
      <c r="E321" s="8">
        <f>IF($B321="","",IFERROR(INDEX(PM_Subcategory,MATCH($B321,PM_ID,0)),""))</f>
        <v/>
      </c>
      <c r="F321" s="8">
        <f>IF($B321="","",IFERROR(INDEX(PM_Brand,MATCH($B321,PM_ID,0)),""))</f>
        <v/>
      </c>
      <c r="G321" s="8">
        <f>IF($B321="","",IFERROR(INDEX(PM_Model,MATCH($B321,PM_ID,0)),""))</f>
        <v/>
      </c>
      <c r="H321" s="5" t="n"/>
      <c r="I321" s="10" t="n"/>
      <c r="J321" s="9" t="n"/>
      <c r="K321" s="5" t="n"/>
      <c r="L321" s="5" t="n"/>
      <c r="M321" s="5" t="n"/>
      <c r="N321" s="5" t="n"/>
      <c r="O321" s="8">
        <f>IF($B321="","",IF(AND($A321&lt;&gt;"",COUNTIF(INV_ID,$A321)&gt;1),"⚠ this Unit ID already exists",IF(AND($H321&lt;&gt;"",COUNTIF(INV_Serial,$H321)&gt;1),"⚠ this serial already exists",IF(COUNTIFS(INV_Product,$B321,INV_No,$C321)&gt;1,"⚠ piece number reused",""))))</f>
        <v/>
      </c>
      <c r="P321" s="5" t="n"/>
    </row>
    <row r="322">
      <c r="A322" s="8">
        <f>IF(OR($B322="",$C322=""),"",IFERROR(INDEX(PM_Short,MATCH($B322,PM_ID,0))&amp;"-"&amp;TEXT($C322,"00"),"?? no such product"))</f>
        <v/>
      </c>
      <c r="B322" s="5" t="n"/>
      <c r="C322" s="5" t="n"/>
      <c r="D322" s="8">
        <f>IF($B322="","",IFERROR(INDEX(PM_Category,MATCH($B322,PM_ID,0)),""))</f>
        <v/>
      </c>
      <c r="E322" s="8">
        <f>IF($B322="","",IFERROR(INDEX(PM_Subcategory,MATCH($B322,PM_ID,0)),""))</f>
        <v/>
      </c>
      <c r="F322" s="8">
        <f>IF($B322="","",IFERROR(INDEX(PM_Brand,MATCH($B322,PM_ID,0)),""))</f>
        <v/>
      </c>
      <c r="G322" s="8">
        <f>IF($B322="","",IFERROR(INDEX(PM_Model,MATCH($B322,PM_ID,0)),""))</f>
        <v/>
      </c>
      <c r="H322" s="5" t="n"/>
      <c r="I322" s="10" t="n"/>
      <c r="J322" s="9" t="n"/>
      <c r="K322" s="5" t="n"/>
      <c r="L322" s="5" t="n"/>
      <c r="M322" s="5" t="n"/>
      <c r="N322" s="5" t="n"/>
      <c r="O322" s="8">
        <f>IF($B322="","",IF(AND($A322&lt;&gt;"",COUNTIF(INV_ID,$A322)&gt;1),"⚠ this Unit ID already exists",IF(AND($H322&lt;&gt;"",COUNTIF(INV_Serial,$H322)&gt;1),"⚠ this serial already exists",IF(COUNTIFS(INV_Product,$B322,INV_No,$C322)&gt;1,"⚠ piece number reused",""))))</f>
        <v/>
      </c>
      <c r="P322" s="5" t="n"/>
    </row>
    <row r="323">
      <c r="A323" s="8">
        <f>IF(OR($B323="",$C323=""),"",IFERROR(INDEX(PM_Short,MATCH($B323,PM_ID,0))&amp;"-"&amp;TEXT($C323,"00"),"?? no such product"))</f>
        <v/>
      </c>
      <c r="B323" s="5" t="n"/>
      <c r="C323" s="5" t="n"/>
      <c r="D323" s="8">
        <f>IF($B323="","",IFERROR(INDEX(PM_Category,MATCH($B323,PM_ID,0)),""))</f>
        <v/>
      </c>
      <c r="E323" s="8">
        <f>IF($B323="","",IFERROR(INDEX(PM_Subcategory,MATCH($B323,PM_ID,0)),""))</f>
        <v/>
      </c>
      <c r="F323" s="8">
        <f>IF($B323="","",IFERROR(INDEX(PM_Brand,MATCH($B323,PM_ID,0)),""))</f>
        <v/>
      </c>
      <c r="G323" s="8">
        <f>IF($B323="","",IFERROR(INDEX(PM_Model,MATCH($B323,PM_ID,0)),""))</f>
        <v/>
      </c>
      <c r="H323" s="5" t="n"/>
      <c r="I323" s="10" t="n"/>
      <c r="J323" s="9" t="n"/>
      <c r="K323" s="5" t="n"/>
      <c r="L323" s="5" t="n"/>
      <c r="M323" s="5" t="n"/>
      <c r="N323" s="5" t="n"/>
      <c r="O323" s="8">
        <f>IF($B323="","",IF(AND($A323&lt;&gt;"",COUNTIF(INV_ID,$A323)&gt;1),"⚠ this Unit ID already exists",IF(AND($H323&lt;&gt;"",COUNTIF(INV_Serial,$H323)&gt;1),"⚠ this serial already exists",IF(COUNTIFS(INV_Product,$B323,INV_No,$C323)&gt;1,"⚠ piece number reused",""))))</f>
        <v/>
      </c>
      <c r="P323" s="5" t="n"/>
    </row>
    <row r="324">
      <c r="A324" s="8">
        <f>IF(OR($B324="",$C324=""),"",IFERROR(INDEX(PM_Short,MATCH($B324,PM_ID,0))&amp;"-"&amp;TEXT($C324,"00"),"?? no such product"))</f>
        <v/>
      </c>
      <c r="B324" s="5" t="n"/>
      <c r="C324" s="5" t="n"/>
      <c r="D324" s="8">
        <f>IF($B324="","",IFERROR(INDEX(PM_Category,MATCH($B324,PM_ID,0)),""))</f>
        <v/>
      </c>
      <c r="E324" s="8">
        <f>IF($B324="","",IFERROR(INDEX(PM_Subcategory,MATCH($B324,PM_ID,0)),""))</f>
        <v/>
      </c>
      <c r="F324" s="8">
        <f>IF($B324="","",IFERROR(INDEX(PM_Brand,MATCH($B324,PM_ID,0)),""))</f>
        <v/>
      </c>
      <c r="G324" s="8">
        <f>IF($B324="","",IFERROR(INDEX(PM_Model,MATCH($B324,PM_ID,0)),""))</f>
        <v/>
      </c>
      <c r="H324" s="5" t="n"/>
      <c r="I324" s="10" t="n"/>
      <c r="J324" s="9" t="n"/>
      <c r="K324" s="5" t="n"/>
      <c r="L324" s="5" t="n"/>
      <c r="M324" s="5" t="n"/>
      <c r="N324" s="5" t="n"/>
      <c r="O324" s="8">
        <f>IF($B324="","",IF(AND($A324&lt;&gt;"",COUNTIF(INV_ID,$A324)&gt;1),"⚠ this Unit ID already exists",IF(AND($H324&lt;&gt;"",COUNTIF(INV_Serial,$H324)&gt;1),"⚠ this serial already exists",IF(COUNTIFS(INV_Product,$B324,INV_No,$C324)&gt;1,"⚠ piece number reused",""))))</f>
        <v/>
      </c>
      <c r="P324" s="5" t="n"/>
    </row>
    <row r="325">
      <c r="A325" s="8">
        <f>IF(OR($B325="",$C325=""),"",IFERROR(INDEX(PM_Short,MATCH($B325,PM_ID,0))&amp;"-"&amp;TEXT($C325,"00"),"?? no such product"))</f>
        <v/>
      </c>
      <c r="B325" s="5" t="n"/>
      <c r="C325" s="5" t="n"/>
      <c r="D325" s="8">
        <f>IF($B325="","",IFERROR(INDEX(PM_Category,MATCH($B325,PM_ID,0)),""))</f>
        <v/>
      </c>
      <c r="E325" s="8">
        <f>IF($B325="","",IFERROR(INDEX(PM_Subcategory,MATCH($B325,PM_ID,0)),""))</f>
        <v/>
      </c>
      <c r="F325" s="8">
        <f>IF($B325="","",IFERROR(INDEX(PM_Brand,MATCH($B325,PM_ID,0)),""))</f>
        <v/>
      </c>
      <c r="G325" s="8">
        <f>IF($B325="","",IFERROR(INDEX(PM_Model,MATCH($B325,PM_ID,0)),""))</f>
        <v/>
      </c>
      <c r="H325" s="5" t="n"/>
      <c r="I325" s="10" t="n"/>
      <c r="J325" s="9" t="n"/>
      <c r="K325" s="5" t="n"/>
      <c r="L325" s="5" t="n"/>
      <c r="M325" s="5" t="n"/>
      <c r="N325" s="5" t="n"/>
      <c r="O325" s="8">
        <f>IF($B325="","",IF(AND($A325&lt;&gt;"",COUNTIF(INV_ID,$A325)&gt;1),"⚠ this Unit ID already exists",IF(AND($H325&lt;&gt;"",COUNTIF(INV_Serial,$H325)&gt;1),"⚠ this serial already exists",IF(COUNTIFS(INV_Product,$B325,INV_No,$C325)&gt;1,"⚠ piece number reused",""))))</f>
        <v/>
      </c>
      <c r="P325" s="5" t="n"/>
    </row>
    <row r="326">
      <c r="A326" s="8">
        <f>IF(OR($B326="",$C326=""),"",IFERROR(INDEX(PM_Short,MATCH($B326,PM_ID,0))&amp;"-"&amp;TEXT($C326,"00"),"?? no such product"))</f>
        <v/>
      </c>
      <c r="B326" s="5" t="n"/>
      <c r="C326" s="5" t="n"/>
      <c r="D326" s="8">
        <f>IF($B326="","",IFERROR(INDEX(PM_Category,MATCH($B326,PM_ID,0)),""))</f>
        <v/>
      </c>
      <c r="E326" s="8">
        <f>IF($B326="","",IFERROR(INDEX(PM_Subcategory,MATCH($B326,PM_ID,0)),""))</f>
        <v/>
      </c>
      <c r="F326" s="8">
        <f>IF($B326="","",IFERROR(INDEX(PM_Brand,MATCH($B326,PM_ID,0)),""))</f>
        <v/>
      </c>
      <c r="G326" s="8">
        <f>IF($B326="","",IFERROR(INDEX(PM_Model,MATCH($B326,PM_ID,0)),""))</f>
        <v/>
      </c>
      <c r="H326" s="5" t="n"/>
      <c r="I326" s="10" t="n"/>
      <c r="J326" s="9" t="n"/>
      <c r="K326" s="5" t="n"/>
      <c r="L326" s="5" t="n"/>
      <c r="M326" s="5" t="n"/>
      <c r="N326" s="5" t="n"/>
      <c r="O326" s="8">
        <f>IF($B326="","",IF(AND($A326&lt;&gt;"",COUNTIF(INV_ID,$A326)&gt;1),"⚠ this Unit ID already exists",IF(AND($H326&lt;&gt;"",COUNTIF(INV_Serial,$H326)&gt;1),"⚠ this serial already exists",IF(COUNTIFS(INV_Product,$B326,INV_No,$C326)&gt;1,"⚠ piece number reused",""))))</f>
        <v/>
      </c>
      <c r="P326" s="5" t="n"/>
    </row>
    <row r="327">
      <c r="A327" s="8">
        <f>IF(OR($B327="",$C327=""),"",IFERROR(INDEX(PM_Short,MATCH($B327,PM_ID,0))&amp;"-"&amp;TEXT($C327,"00"),"?? no such product"))</f>
        <v/>
      </c>
      <c r="B327" s="5" t="n"/>
      <c r="C327" s="5" t="n"/>
      <c r="D327" s="8">
        <f>IF($B327="","",IFERROR(INDEX(PM_Category,MATCH($B327,PM_ID,0)),""))</f>
        <v/>
      </c>
      <c r="E327" s="8">
        <f>IF($B327="","",IFERROR(INDEX(PM_Subcategory,MATCH($B327,PM_ID,0)),""))</f>
        <v/>
      </c>
      <c r="F327" s="8">
        <f>IF($B327="","",IFERROR(INDEX(PM_Brand,MATCH($B327,PM_ID,0)),""))</f>
        <v/>
      </c>
      <c r="G327" s="8">
        <f>IF($B327="","",IFERROR(INDEX(PM_Model,MATCH($B327,PM_ID,0)),""))</f>
        <v/>
      </c>
      <c r="H327" s="5" t="n"/>
      <c r="I327" s="10" t="n"/>
      <c r="J327" s="9" t="n"/>
      <c r="K327" s="5" t="n"/>
      <c r="L327" s="5" t="n"/>
      <c r="M327" s="5" t="n"/>
      <c r="N327" s="5" t="n"/>
      <c r="O327" s="8">
        <f>IF($B327="","",IF(AND($A327&lt;&gt;"",COUNTIF(INV_ID,$A327)&gt;1),"⚠ this Unit ID already exists",IF(AND($H327&lt;&gt;"",COUNTIF(INV_Serial,$H327)&gt;1),"⚠ this serial already exists",IF(COUNTIFS(INV_Product,$B327,INV_No,$C327)&gt;1,"⚠ piece number reused",""))))</f>
        <v/>
      </c>
      <c r="P327" s="5" t="n"/>
    </row>
    <row r="328">
      <c r="A328" s="8">
        <f>IF(OR($B328="",$C328=""),"",IFERROR(INDEX(PM_Short,MATCH($B328,PM_ID,0))&amp;"-"&amp;TEXT($C328,"00"),"?? no such product"))</f>
        <v/>
      </c>
      <c r="B328" s="5" t="n"/>
      <c r="C328" s="5" t="n"/>
      <c r="D328" s="8">
        <f>IF($B328="","",IFERROR(INDEX(PM_Category,MATCH($B328,PM_ID,0)),""))</f>
        <v/>
      </c>
      <c r="E328" s="8">
        <f>IF($B328="","",IFERROR(INDEX(PM_Subcategory,MATCH($B328,PM_ID,0)),""))</f>
        <v/>
      </c>
      <c r="F328" s="8">
        <f>IF($B328="","",IFERROR(INDEX(PM_Brand,MATCH($B328,PM_ID,0)),""))</f>
        <v/>
      </c>
      <c r="G328" s="8">
        <f>IF($B328="","",IFERROR(INDEX(PM_Model,MATCH($B328,PM_ID,0)),""))</f>
        <v/>
      </c>
      <c r="H328" s="5" t="n"/>
      <c r="I328" s="10" t="n"/>
      <c r="J328" s="9" t="n"/>
      <c r="K328" s="5" t="n"/>
      <c r="L328" s="5" t="n"/>
      <c r="M328" s="5" t="n"/>
      <c r="N328" s="5" t="n"/>
      <c r="O328" s="8">
        <f>IF($B328="","",IF(AND($A328&lt;&gt;"",COUNTIF(INV_ID,$A328)&gt;1),"⚠ this Unit ID already exists",IF(AND($H328&lt;&gt;"",COUNTIF(INV_Serial,$H328)&gt;1),"⚠ this serial already exists",IF(COUNTIFS(INV_Product,$B328,INV_No,$C328)&gt;1,"⚠ piece number reused",""))))</f>
        <v/>
      </c>
      <c r="P328" s="5" t="n"/>
    </row>
    <row r="329">
      <c r="A329" s="8">
        <f>IF(OR($B329="",$C329=""),"",IFERROR(INDEX(PM_Short,MATCH($B329,PM_ID,0))&amp;"-"&amp;TEXT($C329,"00"),"?? no such product"))</f>
        <v/>
      </c>
      <c r="B329" s="5" t="n"/>
      <c r="C329" s="5" t="n"/>
      <c r="D329" s="8">
        <f>IF($B329="","",IFERROR(INDEX(PM_Category,MATCH($B329,PM_ID,0)),""))</f>
        <v/>
      </c>
      <c r="E329" s="8">
        <f>IF($B329="","",IFERROR(INDEX(PM_Subcategory,MATCH($B329,PM_ID,0)),""))</f>
        <v/>
      </c>
      <c r="F329" s="8">
        <f>IF($B329="","",IFERROR(INDEX(PM_Brand,MATCH($B329,PM_ID,0)),""))</f>
        <v/>
      </c>
      <c r="G329" s="8">
        <f>IF($B329="","",IFERROR(INDEX(PM_Model,MATCH($B329,PM_ID,0)),""))</f>
        <v/>
      </c>
      <c r="H329" s="5" t="n"/>
      <c r="I329" s="10" t="n"/>
      <c r="J329" s="9" t="n"/>
      <c r="K329" s="5" t="n"/>
      <c r="L329" s="5" t="n"/>
      <c r="M329" s="5" t="n"/>
      <c r="N329" s="5" t="n"/>
      <c r="O329" s="8">
        <f>IF($B329="","",IF(AND($A329&lt;&gt;"",COUNTIF(INV_ID,$A329)&gt;1),"⚠ this Unit ID already exists",IF(AND($H329&lt;&gt;"",COUNTIF(INV_Serial,$H329)&gt;1),"⚠ this serial already exists",IF(COUNTIFS(INV_Product,$B329,INV_No,$C329)&gt;1,"⚠ piece number reused",""))))</f>
        <v/>
      </c>
      <c r="P329" s="5" t="n"/>
    </row>
    <row r="330">
      <c r="A330" s="8">
        <f>IF(OR($B330="",$C330=""),"",IFERROR(INDEX(PM_Short,MATCH($B330,PM_ID,0))&amp;"-"&amp;TEXT($C330,"00"),"?? no such product"))</f>
        <v/>
      </c>
      <c r="B330" s="5" t="n"/>
      <c r="C330" s="5" t="n"/>
      <c r="D330" s="8">
        <f>IF($B330="","",IFERROR(INDEX(PM_Category,MATCH($B330,PM_ID,0)),""))</f>
        <v/>
      </c>
      <c r="E330" s="8">
        <f>IF($B330="","",IFERROR(INDEX(PM_Subcategory,MATCH($B330,PM_ID,0)),""))</f>
        <v/>
      </c>
      <c r="F330" s="8">
        <f>IF($B330="","",IFERROR(INDEX(PM_Brand,MATCH($B330,PM_ID,0)),""))</f>
        <v/>
      </c>
      <c r="G330" s="8">
        <f>IF($B330="","",IFERROR(INDEX(PM_Model,MATCH($B330,PM_ID,0)),""))</f>
        <v/>
      </c>
      <c r="H330" s="5" t="n"/>
      <c r="I330" s="10" t="n"/>
      <c r="J330" s="9" t="n"/>
      <c r="K330" s="5" t="n"/>
      <c r="L330" s="5" t="n"/>
      <c r="M330" s="5" t="n"/>
      <c r="N330" s="5" t="n"/>
      <c r="O330" s="8">
        <f>IF($B330="","",IF(AND($A330&lt;&gt;"",COUNTIF(INV_ID,$A330)&gt;1),"⚠ this Unit ID already exists",IF(AND($H330&lt;&gt;"",COUNTIF(INV_Serial,$H330)&gt;1),"⚠ this serial already exists",IF(COUNTIFS(INV_Product,$B330,INV_No,$C330)&gt;1,"⚠ piece number reused",""))))</f>
        <v/>
      </c>
      <c r="P330" s="5" t="n"/>
    </row>
    <row r="331">
      <c r="A331" s="8">
        <f>IF(OR($B331="",$C331=""),"",IFERROR(INDEX(PM_Short,MATCH($B331,PM_ID,0))&amp;"-"&amp;TEXT($C331,"00"),"?? no such product"))</f>
        <v/>
      </c>
      <c r="B331" s="5" t="n"/>
      <c r="C331" s="5" t="n"/>
      <c r="D331" s="8">
        <f>IF($B331="","",IFERROR(INDEX(PM_Category,MATCH($B331,PM_ID,0)),""))</f>
        <v/>
      </c>
      <c r="E331" s="8">
        <f>IF($B331="","",IFERROR(INDEX(PM_Subcategory,MATCH($B331,PM_ID,0)),""))</f>
        <v/>
      </c>
      <c r="F331" s="8">
        <f>IF($B331="","",IFERROR(INDEX(PM_Brand,MATCH($B331,PM_ID,0)),""))</f>
        <v/>
      </c>
      <c r="G331" s="8">
        <f>IF($B331="","",IFERROR(INDEX(PM_Model,MATCH($B331,PM_ID,0)),""))</f>
        <v/>
      </c>
      <c r="H331" s="5" t="n"/>
      <c r="I331" s="10" t="n"/>
      <c r="J331" s="9" t="n"/>
      <c r="K331" s="5" t="n"/>
      <c r="L331" s="5" t="n"/>
      <c r="M331" s="5" t="n"/>
      <c r="N331" s="5" t="n"/>
      <c r="O331" s="8">
        <f>IF($B331="","",IF(AND($A331&lt;&gt;"",COUNTIF(INV_ID,$A331)&gt;1),"⚠ this Unit ID already exists",IF(AND($H331&lt;&gt;"",COUNTIF(INV_Serial,$H331)&gt;1),"⚠ this serial already exists",IF(COUNTIFS(INV_Product,$B331,INV_No,$C331)&gt;1,"⚠ piece number reused",""))))</f>
        <v/>
      </c>
      <c r="P331" s="5" t="n"/>
    </row>
    <row r="332">
      <c r="A332" s="8">
        <f>IF(OR($B332="",$C332=""),"",IFERROR(INDEX(PM_Short,MATCH($B332,PM_ID,0))&amp;"-"&amp;TEXT($C332,"00"),"?? no such product"))</f>
        <v/>
      </c>
      <c r="B332" s="5" t="n"/>
      <c r="C332" s="5" t="n"/>
      <c r="D332" s="8">
        <f>IF($B332="","",IFERROR(INDEX(PM_Category,MATCH($B332,PM_ID,0)),""))</f>
        <v/>
      </c>
      <c r="E332" s="8">
        <f>IF($B332="","",IFERROR(INDEX(PM_Subcategory,MATCH($B332,PM_ID,0)),""))</f>
        <v/>
      </c>
      <c r="F332" s="8">
        <f>IF($B332="","",IFERROR(INDEX(PM_Brand,MATCH($B332,PM_ID,0)),""))</f>
        <v/>
      </c>
      <c r="G332" s="8">
        <f>IF($B332="","",IFERROR(INDEX(PM_Model,MATCH($B332,PM_ID,0)),""))</f>
        <v/>
      </c>
      <c r="H332" s="5" t="n"/>
      <c r="I332" s="10" t="n"/>
      <c r="J332" s="9" t="n"/>
      <c r="K332" s="5" t="n"/>
      <c r="L332" s="5" t="n"/>
      <c r="M332" s="5" t="n"/>
      <c r="N332" s="5" t="n"/>
      <c r="O332" s="8">
        <f>IF($B332="","",IF(AND($A332&lt;&gt;"",COUNTIF(INV_ID,$A332)&gt;1),"⚠ this Unit ID already exists",IF(AND($H332&lt;&gt;"",COUNTIF(INV_Serial,$H332)&gt;1),"⚠ this serial already exists",IF(COUNTIFS(INV_Product,$B332,INV_No,$C332)&gt;1,"⚠ piece number reused",""))))</f>
        <v/>
      </c>
      <c r="P332" s="5" t="n"/>
    </row>
    <row r="333">
      <c r="A333" s="8">
        <f>IF(OR($B333="",$C333=""),"",IFERROR(INDEX(PM_Short,MATCH($B333,PM_ID,0))&amp;"-"&amp;TEXT($C333,"00"),"?? no such product"))</f>
        <v/>
      </c>
      <c r="B333" s="5" t="n"/>
      <c r="C333" s="5" t="n"/>
      <c r="D333" s="8">
        <f>IF($B333="","",IFERROR(INDEX(PM_Category,MATCH($B333,PM_ID,0)),""))</f>
        <v/>
      </c>
      <c r="E333" s="8">
        <f>IF($B333="","",IFERROR(INDEX(PM_Subcategory,MATCH($B333,PM_ID,0)),""))</f>
        <v/>
      </c>
      <c r="F333" s="8">
        <f>IF($B333="","",IFERROR(INDEX(PM_Brand,MATCH($B333,PM_ID,0)),""))</f>
        <v/>
      </c>
      <c r="G333" s="8">
        <f>IF($B333="","",IFERROR(INDEX(PM_Model,MATCH($B333,PM_ID,0)),""))</f>
        <v/>
      </c>
      <c r="H333" s="5" t="n"/>
      <c r="I333" s="10" t="n"/>
      <c r="J333" s="9" t="n"/>
      <c r="K333" s="5" t="n"/>
      <c r="L333" s="5" t="n"/>
      <c r="M333" s="5" t="n"/>
      <c r="N333" s="5" t="n"/>
      <c r="O333" s="8">
        <f>IF($B333="","",IF(AND($A333&lt;&gt;"",COUNTIF(INV_ID,$A333)&gt;1),"⚠ this Unit ID already exists",IF(AND($H333&lt;&gt;"",COUNTIF(INV_Serial,$H333)&gt;1),"⚠ this serial already exists",IF(COUNTIFS(INV_Product,$B333,INV_No,$C333)&gt;1,"⚠ piece number reused",""))))</f>
        <v/>
      </c>
      <c r="P333" s="5" t="n"/>
    </row>
    <row r="334">
      <c r="A334" s="8">
        <f>IF(OR($B334="",$C334=""),"",IFERROR(INDEX(PM_Short,MATCH($B334,PM_ID,0))&amp;"-"&amp;TEXT($C334,"00"),"?? no such product"))</f>
        <v/>
      </c>
      <c r="B334" s="5" t="n"/>
      <c r="C334" s="5" t="n"/>
      <c r="D334" s="8">
        <f>IF($B334="","",IFERROR(INDEX(PM_Category,MATCH($B334,PM_ID,0)),""))</f>
        <v/>
      </c>
      <c r="E334" s="8">
        <f>IF($B334="","",IFERROR(INDEX(PM_Subcategory,MATCH($B334,PM_ID,0)),""))</f>
        <v/>
      </c>
      <c r="F334" s="8">
        <f>IF($B334="","",IFERROR(INDEX(PM_Brand,MATCH($B334,PM_ID,0)),""))</f>
        <v/>
      </c>
      <c r="G334" s="8">
        <f>IF($B334="","",IFERROR(INDEX(PM_Model,MATCH($B334,PM_ID,0)),""))</f>
        <v/>
      </c>
      <c r="H334" s="5" t="n"/>
      <c r="I334" s="10" t="n"/>
      <c r="J334" s="9" t="n"/>
      <c r="K334" s="5" t="n"/>
      <c r="L334" s="5" t="n"/>
      <c r="M334" s="5" t="n"/>
      <c r="N334" s="5" t="n"/>
      <c r="O334" s="8">
        <f>IF($B334="","",IF(AND($A334&lt;&gt;"",COUNTIF(INV_ID,$A334)&gt;1),"⚠ this Unit ID already exists",IF(AND($H334&lt;&gt;"",COUNTIF(INV_Serial,$H334)&gt;1),"⚠ this serial already exists",IF(COUNTIFS(INV_Product,$B334,INV_No,$C334)&gt;1,"⚠ piece number reused",""))))</f>
        <v/>
      </c>
      <c r="P334" s="5" t="n"/>
    </row>
    <row r="335">
      <c r="A335" s="8">
        <f>IF(OR($B335="",$C335=""),"",IFERROR(INDEX(PM_Short,MATCH($B335,PM_ID,0))&amp;"-"&amp;TEXT($C335,"00"),"?? no such product"))</f>
        <v/>
      </c>
      <c r="B335" s="5" t="n"/>
      <c r="C335" s="5" t="n"/>
      <c r="D335" s="8">
        <f>IF($B335="","",IFERROR(INDEX(PM_Category,MATCH($B335,PM_ID,0)),""))</f>
        <v/>
      </c>
      <c r="E335" s="8">
        <f>IF($B335="","",IFERROR(INDEX(PM_Subcategory,MATCH($B335,PM_ID,0)),""))</f>
        <v/>
      </c>
      <c r="F335" s="8">
        <f>IF($B335="","",IFERROR(INDEX(PM_Brand,MATCH($B335,PM_ID,0)),""))</f>
        <v/>
      </c>
      <c r="G335" s="8">
        <f>IF($B335="","",IFERROR(INDEX(PM_Model,MATCH($B335,PM_ID,0)),""))</f>
        <v/>
      </c>
      <c r="H335" s="5" t="n"/>
      <c r="I335" s="10" t="n"/>
      <c r="J335" s="9" t="n"/>
      <c r="K335" s="5" t="n"/>
      <c r="L335" s="5" t="n"/>
      <c r="M335" s="5" t="n"/>
      <c r="N335" s="5" t="n"/>
      <c r="O335" s="8">
        <f>IF($B335="","",IF(AND($A335&lt;&gt;"",COUNTIF(INV_ID,$A335)&gt;1),"⚠ this Unit ID already exists",IF(AND($H335&lt;&gt;"",COUNTIF(INV_Serial,$H335)&gt;1),"⚠ this serial already exists",IF(COUNTIFS(INV_Product,$B335,INV_No,$C335)&gt;1,"⚠ piece number reused",""))))</f>
        <v/>
      </c>
      <c r="P335" s="5" t="n"/>
    </row>
    <row r="336">
      <c r="A336" s="8">
        <f>IF(OR($B336="",$C336=""),"",IFERROR(INDEX(PM_Short,MATCH($B336,PM_ID,0))&amp;"-"&amp;TEXT($C336,"00"),"?? no such product"))</f>
        <v/>
      </c>
      <c r="B336" s="5" t="n"/>
      <c r="C336" s="5" t="n"/>
      <c r="D336" s="8">
        <f>IF($B336="","",IFERROR(INDEX(PM_Category,MATCH($B336,PM_ID,0)),""))</f>
        <v/>
      </c>
      <c r="E336" s="8">
        <f>IF($B336="","",IFERROR(INDEX(PM_Subcategory,MATCH($B336,PM_ID,0)),""))</f>
        <v/>
      </c>
      <c r="F336" s="8">
        <f>IF($B336="","",IFERROR(INDEX(PM_Brand,MATCH($B336,PM_ID,0)),""))</f>
        <v/>
      </c>
      <c r="G336" s="8">
        <f>IF($B336="","",IFERROR(INDEX(PM_Model,MATCH($B336,PM_ID,0)),""))</f>
        <v/>
      </c>
      <c r="H336" s="5" t="n"/>
      <c r="I336" s="10" t="n"/>
      <c r="J336" s="9" t="n"/>
      <c r="K336" s="5" t="n"/>
      <c r="L336" s="5" t="n"/>
      <c r="M336" s="5" t="n"/>
      <c r="N336" s="5" t="n"/>
      <c r="O336" s="8">
        <f>IF($B336="","",IF(AND($A336&lt;&gt;"",COUNTIF(INV_ID,$A336)&gt;1),"⚠ this Unit ID already exists",IF(AND($H336&lt;&gt;"",COUNTIF(INV_Serial,$H336)&gt;1),"⚠ this serial already exists",IF(COUNTIFS(INV_Product,$B336,INV_No,$C336)&gt;1,"⚠ piece number reused",""))))</f>
        <v/>
      </c>
      <c r="P336" s="5" t="n"/>
    </row>
    <row r="337">
      <c r="A337" s="8">
        <f>IF(OR($B337="",$C337=""),"",IFERROR(INDEX(PM_Short,MATCH($B337,PM_ID,0))&amp;"-"&amp;TEXT($C337,"00"),"?? no such product"))</f>
        <v/>
      </c>
      <c r="B337" s="5" t="n"/>
      <c r="C337" s="5" t="n"/>
      <c r="D337" s="8">
        <f>IF($B337="","",IFERROR(INDEX(PM_Category,MATCH($B337,PM_ID,0)),""))</f>
        <v/>
      </c>
      <c r="E337" s="8">
        <f>IF($B337="","",IFERROR(INDEX(PM_Subcategory,MATCH($B337,PM_ID,0)),""))</f>
        <v/>
      </c>
      <c r="F337" s="8">
        <f>IF($B337="","",IFERROR(INDEX(PM_Brand,MATCH($B337,PM_ID,0)),""))</f>
        <v/>
      </c>
      <c r="G337" s="8">
        <f>IF($B337="","",IFERROR(INDEX(PM_Model,MATCH($B337,PM_ID,0)),""))</f>
        <v/>
      </c>
      <c r="H337" s="5" t="n"/>
      <c r="I337" s="10" t="n"/>
      <c r="J337" s="9" t="n"/>
      <c r="K337" s="5" t="n"/>
      <c r="L337" s="5" t="n"/>
      <c r="M337" s="5" t="n"/>
      <c r="N337" s="5" t="n"/>
      <c r="O337" s="8">
        <f>IF($B337="","",IF(AND($A337&lt;&gt;"",COUNTIF(INV_ID,$A337)&gt;1),"⚠ this Unit ID already exists",IF(AND($H337&lt;&gt;"",COUNTIF(INV_Serial,$H337)&gt;1),"⚠ this serial already exists",IF(COUNTIFS(INV_Product,$B337,INV_No,$C337)&gt;1,"⚠ piece number reused",""))))</f>
        <v/>
      </c>
      <c r="P337" s="5" t="n"/>
    </row>
    <row r="338">
      <c r="A338" s="8">
        <f>IF(OR($B338="",$C338=""),"",IFERROR(INDEX(PM_Short,MATCH($B338,PM_ID,0))&amp;"-"&amp;TEXT($C338,"00"),"?? no such product"))</f>
        <v/>
      </c>
      <c r="B338" s="5" t="n"/>
      <c r="C338" s="5" t="n"/>
      <c r="D338" s="8">
        <f>IF($B338="","",IFERROR(INDEX(PM_Category,MATCH($B338,PM_ID,0)),""))</f>
        <v/>
      </c>
      <c r="E338" s="8">
        <f>IF($B338="","",IFERROR(INDEX(PM_Subcategory,MATCH($B338,PM_ID,0)),""))</f>
        <v/>
      </c>
      <c r="F338" s="8">
        <f>IF($B338="","",IFERROR(INDEX(PM_Brand,MATCH($B338,PM_ID,0)),""))</f>
        <v/>
      </c>
      <c r="G338" s="8">
        <f>IF($B338="","",IFERROR(INDEX(PM_Model,MATCH($B338,PM_ID,0)),""))</f>
        <v/>
      </c>
      <c r="H338" s="5" t="n"/>
      <c r="I338" s="10" t="n"/>
      <c r="J338" s="9" t="n"/>
      <c r="K338" s="5" t="n"/>
      <c r="L338" s="5" t="n"/>
      <c r="M338" s="5" t="n"/>
      <c r="N338" s="5" t="n"/>
      <c r="O338" s="8">
        <f>IF($B338="","",IF(AND($A338&lt;&gt;"",COUNTIF(INV_ID,$A338)&gt;1),"⚠ this Unit ID already exists",IF(AND($H338&lt;&gt;"",COUNTIF(INV_Serial,$H338)&gt;1),"⚠ this serial already exists",IF(COUNTIFS(INV_Product,$B338,INV_No,$C338)&gt;1,"⚠ piece number reused",""))))</f>
        <v/>
      </c>
      <c r="P338" s="5" t="n"/>
    </row>
    <row r="339">
      <c r="A339" s="8">
        <f>IF(OR($B339="",$C339=""),"",IFERROR(INDEX(PM_Short,MATCH($B339,PM_ID,0))&amp;"-"&amp;TEXT($C339,"00"),"?? no such product"))</f>
        <v/>
      </c>
      <c r="B339" s="5" t="n"/>
      <c r="C339" s="5" t="n"/>
      <c r="D339" s="8">
        <f>IF($B339="","",IFERROR(INDEX(PM_Category,MATCH($B339,PM_ID,0)),""))</f>
        <v/>
      </c>
      <c r="E339" s="8">
        <f>IF($B339="","",IFERROR(INDEX(PM_Subcategory,MATCH($B339,PM_ID,0)),""))</f>
        <v/>
      </c>
      <c r="F339" s="8">
        <f>IF($B339="","",IFERROR(INDEX(PM_Brand,MATCH($B339,PM_ID,0)),""))</f>
        <v/>
      </c>
      <c r="G339" s="8">
        <f>IF($B339="","",IFERROR(INDEX(PM_Model,MATCH($B339,PM_ID,0)),""))</f>
        <v/>
      </c>
      <c r="H339" s="5" t="n"/>
      <c r="I339" s="10" t="n"/>
      <c r="J339" s="9" t="n"/>
      <c r="K339" s="5" t="n"/>
      <c r="L339" s="5" t="n"/>
      <c r="M339" s="5" t="n"/>
      <c r="N339" s="5" t="n"/>
      <c r="O339" s="8">
        <f>IF($B339="","",IF(AND($A339&lt;&gt;"",COUNTIF(INV_ID,$A339)&gt;1),"⚠ this Unit ID already exists",IF(AND($H339&lt;&gt;"",COUNTIF(INV_Serial,$H339)&gt;1),"⚠ this serial already exists",IF(COUNTIFS(INV_Product,$B339,INV_No,$C339)&gt;1,"⚠ piece number reused",""))))</f>
        <v/>
      </c>
      <c r="P339" s="5" t="n"/>
    </row>
    <row r="340">
      <c r="A340" s="8">
        <f>IF(OR($B340="",$C340=""),"",IFERROR(INDEX(PM_Short,MATCH($B340,PM_ID,0))&amp;"-"&amp;TEXT($C340,"00"),"?? no such product"))</f>
        <v/>
      </c>
      <c r="B340" s="5" t="n"/>
      <c r="C340" s="5" t="n"/>
      <c r="D340" s="8">
        <f>IF($B340="","",IFERROR(INDEX(PM_Category,MATCH($B340,PM_ID,0)),""))</f>
        <v/>
      </c>
      <c r="E340" s="8">
        <f>IF($B340="","",IFERROR(INDEX(PM_Subcategory,MATCH($B340,PM_ID,0)),""))</f>
        <v/>
      </c>
      <c r="F340" s="8">
        <f>IF($B340="","",IFERROR(INDEX(PM_Brand,MATCH($B340,PM_ID,0)),""))</f>
        <v/>
      </c>
      <c r="G340" s="8">
        <f>IF($B340="","",IFERROR(INDEX(PM_Model,MATCH($B340,PM_ID,0)),""))</f>
        <v/>
      </c>
      <c r="H340" s="5" t="n"/>
      <c r="I340" s="10" t="n"/>
      <c r="J340" s="9" t="n"/>
      <c r="K340" s="5" t="n"/>
      <c r="L340" s="5" t="n"/>
      <c r="M340" s="5" t="n"/>
      <c r="N340" s="5" t="n"/>
      <c r="O340" s="8">
        <f>IF($B340="","",IF(AND($A340&lt;&gt;"",COUNTIF(INV_ID,$A340)&gt;1),"⚠ this Unit ID already exists",IF(AND($H340&lt;&gt;"",COUNTIF(INV_Serial,$H340)&gt;1),"⚠ this serial already exists",IF(COUNTIFS(INV_Product,$B340,INV_No,$C340)&gt;1,"⚠ piece number reused",""))))</f>
        <v/>
      </c>
      <c r="P340" s="5" t="n"/>
    </row>
    <row r="341">
      <c r="A341" s="8">
        <f>IF(OR($B341="",$C341=""),"",IFERROR(INDEX(PM_Short,MATCH($B341,PM_ID,0))&amp;"-"&amp;TEXT($C341,"00"),"?? no such product"))</f>
        <v/>
      </c>
      <c r="B341" s="5" t="n"/>
      <c r="C341" s="5" t="n"/>
      <c r="D341" s="8">
        <f>IF($B341="","",IFERROR(INDEX(PM_Category,MATCH($B341,PM_ID,0)),""))</f>
        <v/>
      </c>
      <c r="E341" s="8">
        <f>IF($B341="","",IFERROR(INDEX(PM_Subcategory,MATCH($B341,PM_ID,0)),""))</f>
        <v/>
      </c>
      <c r="F341" s="8">
        <f>IF($B341="","",IFERROR(INDEX(PM_Brand,MATCH($B341,PM_ID,0)),""))</f>
        <v/>
      </c>
      <c r="G341" s="8">
        <f>IF($B341="","",IFERROR(INDEX(PM_Model,MATCH($B341,PM_ID,0)),""))</f>
        <v/>
      </c>
      <c r="H341" s="5" t="n"/>
      <c r="I341" s="10" t="n"/>
      <c r="J341" s="9" t="n"/>
      <c r="K341" s="5" t="n"/>
      <c r="L341" s="5" t="n"/>
      <c r="M341" s="5" t="n"/>
      <c r="N341" s="5" t="n"/>
      <c r="O341" s="8">
        <f>IF($B341="","",IF(AND($A341&lt;&gt;"",COUNTIF(INV_ID,$A341)&gt;1),"⚠ this Unit ID already exists",IF(AND($H341&lt;&gt;"",COUNTIF(INV_Serial,$H341)&gt;1),"⚠ this serial already exists",IF(COUNTIFS(INV_Product,$B341,INV_No,$C341)&gt;1,"⚠ piece number reused",""))))</f>
        <v/>
      </c>
      <c r="P341" s="5" t="n"/>
    </row>
    <row r="342">
      <c r="A342" s="8">
        <f>IF(OR($B342="",$C342=""),"",IFERROR(INDEX(PM_Short,MATCH($B342,PM_ID,0))&amp;"-"&amp;TEXT($C342,"00"),"?? no such product"))</f>
        <v/>
      </c>
      <c r="B342" s="5" t="n"/>
      <c r="C342" s="5" t="n"/>
      <c r="D342" s="8">
        <f>IF($B342="","",IFERROR(INDEX(PM_Category,MATCH($B342,PM_ID,0)),""))</f>
        <v/>
      </c>
      <c r="E342" s="8">
        <f>IF($B342="","",IFERROR(INDEX(PM_Subcategory,MATCH($B342,PM_ID,0)),""))</f>
        <v/>
      </c>
      <c r="F342" s="8">
        <f>IF($B342="","",IFERROR(INDEX(PM_Brand,MATCH($B342,PM_ID,0)),""))</f>
        <v/>
      </c>
      <c r="G342" s="8">
        <f>IF($B342="","",IFERROR(INDEX(PM_Model,MATCH($B342,PM_ID,0)),""))</f>
        <v/>
      </c>
      <c r="H342" s="5" t="n"/>
      <c r="I342" s="10" t="n"/>
      <c r="J342" s="9" t="n"/>
      <c r="K342" s="5" t="n"/>
      <c r="L342" s="5" t="n"/>
      <c r="M342" s="5" t="n"/>
      <c r="N342" s="5" t="n"/>
      <c r="O342" s="8">
        <f>IF($B342="","",IF(AND($A342&lt;&gt;"",COUNTIF(INV_ID,$A342)&gt;1),"⚠ this Unit ID already exists",IF(AND($H342&lt;&gt;"",COUNTIF(INV_Serial,$H342)&gt;1),"⚠ this serial already exists",IF(COUNTIFS(INV_Product,$B342,INV_No,$C342)&gt;1,"⚠ piece number reused",""))))</f>
        <v/>
      </c>
      <c r="P342" s="5" t="n"/>
    </row>
    <row r="343">
      <c r="A343" s="8">
        <f>IF(OR($B343="",$C343=""),"",IFERROR(INDEX(PM_Short,MATCH($B343,PM_ID,0))&amp;"-"&amp;TEXT($C343,"00"),"?? no such product"))</f>
        <v/>
      </c>
      <c r="B343" s="5" t="n"/>
      <c r="C343" s="5" t="n"/>
      <c r="D343" s="8">
        <f>IF($B343="","",IFERROR(INDEX(PM_Category,MATCH($B343,PM_ID,0)),""))</f>
        <v/>
      </c>
      <c r="E343" s="8">
        <f>IF($B343="","",IFERROR(INDEX(PM_Subcategory,MATCH($B343,PM_ID,0)),""))</f>
        <v/>
      </c>
      <c r="F343" s="8">
        <f>IF($B343="","",IFERROR(INDEX(PM_Brand,MATCH($B343,PM_ID,0)),""))</f>
        <v/>
      </c>
      <c r="G343" s="8">
        <f>IF($B343="","",IFERROR(INDEX(PM_Model,MATCH($B343,PM_ID,0)),""))</f>
        <v/>
      </c>
      <c r="H343" s="5" t="n"/>
      <c r="I343" s="10" t="n"/>
      <c r="J343" s="9" t="n"/>
      <c r="K343" s="5" t="n"/>
      <c r="L343" s="5" t="n"/>
      <c r="M343" s="5" t="n"/>
      <c r="N343" s="5" t="n"/>
      <c r="O343" s="8">
        <f>IF($B343="","",IF(AND($A343&lt;&gt;"",COUNTIF(INV_ID,$A343)&gt;1),"⚠ this Unit ID already exists",IF(AND($H343&lt;&gt;"",COUNTIF(INV_Serial,$H343)&gt;1),"⚠ this serial already exists",IF(COUNTIFS(INV_Product,$B343,INV_No,$C343)&gt;1,"⚠ piece number reused",""))))</f>
        <v/>
      </c>
      <c r="P343" s="5" t="n"/>
    </row>
    <row r="344">
      <c r="A344" s="8">
        <f>IF(OR($B344="",$C344=""),"",IFERROR(INDEX(PM_Short,MATCH($B344,PM_ID,0))&amp;"-"&amp;TEXT($C344,"00"),"?? no such product"))</f>
        <v/>
      </c>
      <c r="B344" s="5" t="n"/>
      <c r="C344" s="5" t="n"/>
      <c r="D344" s="8">
        <f>IF($B344="","",IFERROR(INDEX(PM_Category,MATCH($B344,PM_ID,0)),""))</f>
        <v/>
      </c>
      <c r="E344" s="8">
        <f>IF($B344="","",IFERROR(INDEX(PM_Subcategory,MATCH($B344,PM_ID,0)),""))</f>
        <v/>
      </c>
      <c r="F344" s="8">
        <f>IF($B344="","",IFERROR(INDEX(PM_Brand,MATCH($B344,PM_ID,0)),""))</f>
        <v/>
      </c>
      <c r="G344" s="8">
        <f>IF($B344="","",IFERROR(INDEX(PM_Model,MATCH($B344,PM_ID,0)),""))</f>
        <v/>
      </c>
      <c r="H344" s="5" t="n"/>
      <c r="I344" s="10" t="n"/>
      <c r="J344" s="9" t="n"/>
      <c r="K344" s="5" t="n"/>
      <c r="L344" s="5" t="n"/>
      <c r="M344" s="5" t="n"/>
      <c r="N344" s="5" t="n"/>
      <c r="O344" s="8">
        <f>IF($B344="","",IF(AND($A344&lt;&gt;"",COUNTIF(INV_ID,$A344)&gt;1),"⚠ this Unit ID already exists",IF(AND($H344&lt;&gt;"",COUNTIF(INV_Serial,$H344)&gt;1),"⚠ this serial already exists",IF(COUNTIFS(INV_Product,$B344,INV_No,$C344)&gt;1,"⚠ piece number reused",""))))</f>
        <v/>
      </c>
      <c r="P344" s="5" t="n"/>
    </row>
    <row r="345">
      <c r="A345" s="8">
        <f>IF(OR($B345="",$C345=""),"",IFERROR(INDEX(PM_Short,MATCH($B345,PM_ID,0))&amp;"-"&amp;TEXT($C345,"00"),"?? no such product"))</f>
        <v/>
      </c>
      <c r="B345" s="5" t="n"/>
      <c r="C345" s="5" t="n"/>
      <c r="D345" s="8">
        <f>IF($B345="","",IFERROR(INDEX(PM_Category,MATCH($B345,PM_ID,0)),""))</f>
        <v/>
      </c>
      <c r="E345" s="8">
        <f>IF($B345="","",IFERROR(INDEX(PM_Subcategory,MATCH($B345,PM_ID,0)),""))</f>
        <v/>
      </c>
      <c r="F345" s="8">
        <f>IF($B345="","",IFERROR(INDEX(PM_Brand,MATCH($B345,PM_ID,0)),""))</f>
        <v/>
      </c>
      <c r="G345" s="8">
        <f>IF($B345="","",IFERROR(INDEX(PM_Model,MATCH($B345,PM_ID,0)),""))</f>
        <v/>
      </c>
      <c r="H345" s="5" t="n"/>
      <c r="I345" s="10" t="n"/>
      <c r="J345" s="9" t="n"/>
      <c r="K345" s="5" t="n"/>
      <c r="L345" s="5" t="n"/>
      <c r="M345" s="5" t="n"/>
      <c r="N345" s="5" t="n"/>
      <c r="O345" s="8">
        <f>IF($B345="","",IF(AND($A345&lt;&gt;"",COUNTIF(INV_ID,$A345)&gt;1),"⚠ this Unit ID already exists",IF(AND($H345&lt;&gt;"",COUNTIF(INV_Serial,$H345)&gt;1),"⚠ this serial already exists",IF(COUNTIFS(INV_Product,$B345,INV_No,$C345)&gt;1,"⚠ piece number reused",""))))</f>
        <v/>
      </c>
      <c r="P345" s="5" t="n"/>
    </row>
    <row r="346">
      <c r="A346" s="8">
        <f>IF(OR($B346="",$C346=""),"",IFERROR(INDEX(PM_Short,MATCH($B346,PM_ID,0))&amp;"-"&amp;TEXT($C346,"00"),"?? no such product"))</f>
        <v/>
      </c>
      <c r="B346" s="5" t="n"/>
      <c r="C346" s="5" t="n"/>
      <c r="D346" s="8">
        <f>IF($B346="","",IFERROR(INDEX(PM_Category,MATCH($B346,PM_ID,0)),""))</f>
        <v/>
      </c>
      <c r="E346" s="8">
        <f>IF($B346="","",IFERROR(INDEX(PM_Subcategory,MATCH($B346,PM_ID,0)),""))</f>
        <v/>
      </c>
      <c r="F346" s="8">
        <f>IF($B346="","",IFERROR(INDEX(PM_Brand,MATCH($B346,PM_ID,0)),""))</f>
        <v/>
      </c>
      <c r="G346" s="8">
        <f>IF($B346="","",IFERROR(INDEX(PM_Model,MATCH($B346,PM_ID,0)),""))</f>
        <v/>
      </c>
      <c r="H346" s="5" t="n"/>
      <c r="I346" s="10" t="n"/>
      <c r="J346" s="9" t="n"/>
      <c r="K346" s="5" t="n"/>
      <c r="L346" s="5" t="n"/>
      <c r="M346" s="5" t="n"/>
      <c r="N346" s="5" t="n"/>
      <c r="O346" s="8">
        <f>IF($B346="","",IF(AND($A346&lt;&gt;"",COUNTIF(INV_ID,$A346)&gt;1),"⚠ this Unit ID already exists",IF(AND($H346&lt;&gt;"",COUNTIF(INV_Serial,$H346)&gt;1),"⚠ this serial already exists",IF(COUNTIFS(INV_Product,$B346,INV_No,$C346)&gt;1,"⚠ piece number reused",""))))</f>
        <v/>
      </c>
      <c r="P346" s="5" t="n"/>
    </row>
    <row r="347">
      <c r="A347" s="8">
        <f>IF(OR($B347="",$C347=""),"",IFERROR(INDEX(PM_Short,MATCH($B347,PM_ID,0))&amp;"-"&amp;TEXT($C347,"00"),"?? no such product"))</f>
        <v/>
      </c>
      <c r="B347" s="5" t="n"/>
      <c r="C347" s="5" t="n"/>
      <c r="D347" s="8">
        <f>IF($B347="","",IFERROR(INDEX(PM_Category,MATCH($B347,PM_ID,0)),""))</f>
        <v/>
      </c>
      <c r="E347" s="8">
        <f>IF($B347="","",IFERROR(INDEX(PM_Subcategory,MATCH($B347,PM_ID,0)),""))</f>
        <v/>
      </c>
      <c r="F347" s="8">
        <f>IF($B347="","",IFERROR(INDEX(PM_Brand,MATCH($B347,PM_ID,0)),""))</f>
        <v/>
      </c>
      <c r="G347" s="8">
        <f>IF($B347="","",IFERROR(INDEX(PM_Model,MATCH($B347,PM_ID,0)),""))</f>
        <v/>
      </c>
      <c r="H347" s="5" t="n"/>
      <c r="I347" s="10" t="n"/>
      <c r="J347" s="9" t="n"/>
      <c r="K347" s="5" t="n"/>
      <c r="L347" s="5" t="n"/>
      <c r="M347" s="5" t="n"/>
      <c r="N347" s="5" t="n"/>
      <c r="O347" s="8">
        <f>IF($B347="","",IF(AND($A347&lt;&gt;"",COUNTIF(INV_ID,$A347)&gt;1),"⚠ this Unit ID already exists",IF(AND($H347&lt;&gt;"",COUNTIF(INV_Serial,$H347)&gt;1),"⚠ this serial already exists",IF(COUNTIFS(INV_Product,$B347,INV_No,$C347)&gt;1,"⚠ piece number reused",""))))</f>
        <v/>
      </c>
      <c r="P347" s="5" t="n"/>
    </row>
    <row r="348">
      <c r="A348" s="8">
        <f>IF(OR($B348="",$C348=""),"",IFERROR(INDEX(PM_Short,MATCH($B348,PM_ID,0))&amp;"-"&amp;TEXT($C348,"00"),"?? no such product"))</f>
        <v/>
      </c>
      <c r="B348" s="5" t="n"/>
      <c r="C348" s="5" t="n"/>
      <c r="D348" s="8">
        <f>IF($B348="","",IFERROR(INDEX(PM_Category,MATCH($B348,PM_ID,0)),""))</f>
        <v/>
      </c>
      <c r="E348" s="8">
        <f>IF($B348="","",IFERROR(INDEX(PM_Subcategory,MATCH($B348,PM_ID,0)),""))</f>
        <v/>
      </c>
      <c r="F348" s="8">
        <f>IF($B348="","",IFERROR(INDEX(PM_Brand,MATCH($B348,PM_ID,0)),""))</f>
        <v/>
      </c>
      <c r="G348" s="8">
        <f>IF($B348="","",IFERROR(INDEX(PM_Model,MATCH($B348,PM_ID,0)),""))</f>
        <v/>
      </c>
      <c r="H348" s="5" t="n"/>
      <c r="I348" s="10" t="n"/>
      <c r="J348" s="9" t="n"/>
      <c r="K348" s="5" t="n"/>
      <c r="L348" s="5" t="n"/>
      <c r="M348" s="5" t="n"/>
      <c r="N348" s="5" t="n"/>
      <c r="O348" s="8">
        <f>IF($B348="","",IF(AND($A348&lt;&gt;"",COUNTIF(INV_ID,$A348)&gt;1),"⚠ this Unit ID already exists",IF(AND($H348&lt;&gt;"",COUNTIF(INV_Serial,$H348)&gt;1),"⚠ this serial already exists",IF(COUNTIFS(INV_Product,$B348,INV_No,$C348)&gt;1,"⚠ piece number reused",""))))</f>
        <v/>
      </c>
      <c r="P348" s="5" t="n"/>
    </row>
    <row r="349">
      <c r="A349" s="8">
        <f>IF(OR($B349="",$C349=""),"",IFERROR(INDEX(PM_Short,MATCH($B349,PM_ID,0))&amp;"-"&amp;TEXT($C349,"00"),"?? no such product"))</f>
        <v/>
      </c>
      <c r="B349" s="5" t="n"/>
      <c r="C349" s="5" t="n"/>
      <c r="D349" s="8">
        <f>IF($B349="","",IFERROR(INDEX(PM_Category,MATCH($B349,PM_ID,0)),""))</f>
        <v/>
      </c>
      <c r="E349" s="8">
        <f>IF($B349="","",IFERROR(INDEX(PM_Subcategory,MATCH($B349,PM_ID,0)),""))</f>
        <v/>
      </c>
      <c r="F349" s="8">
        <f>IF($B349="","",IFERROR(INDEX(PM_Brand,MATCH($B349,PM_ID,0)),""))</f>
        <v/>
      </c>
      <c r="G349" s="8">
        <f>IF($B349="","",IFERROR(INDEX(PM_Model,MATCH($B349,PM_ID,0)),""))</f>
        <v/>
      </c>
      <c r="H349" s="5" t="n"/>
      <c r="I349" s="10" t="n"/>
      <c r="J349" s="9" t="n"/>
      <c r="K349" s="5" t="n"/>
      <c r="L349" s="5" t="n"/>
      <c r="M349" s="5" t="n"/>
      <c r="N349" s="5" t="n"/>
      <c r="O349" s="8">
        <f>IF($B349="","",IF(AND($A349&lt;&gt;"",COUNTIF(INV_ID,$A349)&gt;1),"⚠ this Unit ID already exists",IF(AND($H349&lt;&gt;"",COUNTIF(INV_Serial,$H349)&gt;1),"⚠ this serial already exists",IF(COUNTIFS(INV_Product,$B349,INV_No,$C349)&gt;1,"⚠ piece number reused",""))))</f>
        <v/>
      </c>
      <c r="P349" s="5" t="n"/>
    </row>
    <row r="350">
      <c r="A350" s="8">
        <f>IF(OR($B350="",$C350=""),"",IFERROR(INDEX(PM_Short,MATCH($B350,PM_ID,0))&amp;"-"&amp;TEXT($C350,"00"),"?? no such product"))</f>
        <v/>
      </c>
      <c r="B350" s="5" t="n"/>
      <c r="C350" s="5" t="n"/>
      <c r="D350" s="8">
        <f>IF($B350="","",IFERROR(INDEX(PM_Category,MATCH($B350,PM_ID,0)),""))</f>
        <v/>
      </c>
      <c r="E350" s="8">
        <f>IF($B350="","",IFERROR(INDEX(PM_Subcategory,MATCH($B350,PM_ID,0)),""))</f>
        <v/>
      </c>
      <c r="F350" s="8">
        <f>IF($B350="","",IFERROR(INDEX(PM_Brand,MATCH($B350,PM_ID,0)),""))</f>
        <v/>
      </c>
      <c r="G350" s="8">
        <f>IF($B350="","",IFERROR(INDEX(PM_Model,MATCH($B350,PM_ID,0)),""))</f>
        <v/>
      </c>
      <c r="H350" s="5" t="n"/>
      <c r="I350" s="10" t="n"/>
      <c r="J350" s="9" t="n"/>
      <c r="K350" s="5" t="n"/>
      <c r="L350" s="5" t="n"/>
      <c r="M350" s="5" t="n"/>
      <c r="N350" s="5" t="n"/>
      <c r="O350" s="8">
        <f>IF($B350="","",IF(AND($A350&lt;&gt;"",COUNTIF(INV_ID,$A350)&gt;1),"⚠ this Unit ID already exists",IF(AND($H350&lt;&gt;"",COUNTIF(INV_Serial,$H350)&gt;1),"⚠ this serial already exists",IF(COUNTIFS(INV_Product,$B350,INV_No,$C350)&gt;1,"⚠ piece number reused",""))))</f>
        <v/>
      </c>
      <c r="P350" s="5" t="n"/>
    </row>
    <row r="351">
      <c r="A351" s="8">
        <f>IF(OR($B351="",$C351=""),"",IFERROR(INDEX(PM_Short,MATCH($B351,PM_ID,0))&amp;"-"&amp;TEXT($C351,"00"),"?? no such product"))</f>
        <v/>
      </c>
      <c r="B351" s="5" t="n"/>
      <c r="C351" s="5" t="n"/>
      <c r="D351" s="8">
        <f>IF($B351="","",IFERROR(INDEX(PM_Category,MATCH($B351,PM_ID,0)),""))</f>
        <v/>
      </c>
      <c r="E351" s="8">
        <f>IF($B351="","",IFERROR(INDEX(PM_Subcategory,MATCH($B351,PM_ID,0)),""))</f>
        <v/>
      </c>
      <c r="F351" s="8">
        <f>IF($B351="","",IFERROR(INDEX(PM_Brand,MATCH($B351,PM_ID,0)),""))</f>
        <v/>
      </c>
      <c r="G351" s="8">
        <f>IF($B351="","",IFERROR(INDEX(PM_Model,MATCH($B351,PM_ID,0)),""))</f>
        <v/>
      </c>
      <c r="H351" s="5" t="n"/>
      <c r="I351" s="10" t="n"/>
      <c r="J351" s="9" t="n"/>
      <c r="K351" s="5" t="n"/>
      <c r="L351" s="5" t="n"/>
      <c r="M351" s="5" t="n"/>
      <c r="N351" s="5" t="n"/>
      <c r="O351" s="8">
        <f>IF($B351="","",IF(AND($A351&lt;&gt;"",COUNTIF(INV_ID,$A351)&gt;1),"⚠ this Unit ID already exists",IF(AND($H351&lt;&gt;"",COUNTIF(INV_Serial,$H351)&gt;1),"⚠ this serial already exists",IF(COUNTIFS(INV_Product,$B351,INV_No,$C351)&gt;1,"⚠ piece number reused",""))))</f>
        <v/>
      </c>
      <c r="P351" s="5" t="n"/>
    </row>
    <row r="352">
      <c r="A352" s="8">
        <f>IF(OR($B352="",$C352=""),"",IFERROR(INDEX(PM_Short,MATCH($B352,PM_ID,0))&amp;"-"&amp;TEXT($C352,"00"),"?? no such product"))</f>
        <v/>
      </c>
      <c r="B352" s="5" t="n"/>
      <c r="C352" s="5" t="n"/>
      <c r="D352" s="8">
        <f>IF($B352="","",IFERROR(INDEX(PM_Category,MATCH($B352,PM_ID,0)),""))</f>
        <v/>
      </c>
      <c r="E352" s="8">
        <f>IF($B352="","",IFERROR(INDEX(PM_Subcategory,MATCH($B352,PM_ID,0)),""))</f>
        <v/>
      </c>
      <c r="F352" s="8">
        <f>IF($B352="","",IFERROR(INDEX(PM_Brand,MATCH($B352,PM_ID,0)),""))</f>
        <v/>
      </c>
      <c r="G352" s="8">
        <f>IF($B352="","",IFERROR(INDEX(PM_Model,MATCH($B352,PM_ID,0)),""))</f>
        <v/>
      </c>
      <c r="H352" s="5" t="n"/>
      <c r="I352" s="10" t="n"/>
      <c r="J352" s="9" t="n"/>
      <c r="K352" s="5" t="n"/>
      <c r="L352" s="5" t="n"/>
      <c r="M352" s="5" t="n"/>
      <c r="N352" s="5" t="n"/>
      <c r="O352" s="8">
        <f>IF($B352="","",IF(AND($A352&lt;&gt;"",COUNTIF(INV_ID,$A352)&gt;1),"⚠ this Unit ID already exists",IF(AND($H352&lt;&gt;"",COUNTIF(INV_Serial,$H352)&gt;1),"⚠ this serial already exists",IF(COUNTIFS(INV_Product,$B352,INV_No,$C352)&gt;1,"⚠ piece number reused",""))))</f>
        <v/>
      </c>
      <c r="P352" s="5" t="n"/>
    </row>
    <row r="353">
      <c r="A353" s="8">
        <f>IF(OR($B353="",$C353=""),"",IFERROR(INDEX(PM_Short,MATCH($B353,PM_ID,0))&amp;"-"&amp;TEXT($C353,"00"),"?? no such product"))</f>
        <v/>
      </c>
      <c r="B353" s="5" t="n"/>
      <c r="C353" s="5" t="n"/>
      <c r="D353" s="8">
        <f>IF($B353="","",IFERROR(INDEX(PM_Category,MATCH($B353,PM_ID,0)),""))</f>
        <v/>
      </c>
      <c r="E353" s="8">
        <f>IF($B353="","",IFERROR(INDEX(PM_Subcategory,MATCH($B353,PM_ID,0)),""))</f>
        <v/>
      </c>
      <c r="F353" s="8">
        <f>IF($B353="","",IFERROR(INDEX(PM_Brand,MATCH($B353,PM_ID,0)),""))</f>
        <v/>
      </c>
      <c r="G353" s="8">
        <f>IF($B353="","",IFERROR(INDEX(PM_Model,MATCH($B353,PM_ID,0)),""))</f>
        <v/>
      </c>
      <c r="H353" s="5" t="n"/>
      <c r="I353" s="10" t="n"/>
      <c r="J353" s="9" t="n"/>
      <c r="K353" s="5" t="n"/>
      <c r="L353" s="5" t="n"/>
      <c r="M353" s="5" t="n"/>
      <c r="N353" s="5" t="n"/>
      <c r="O353" s="8">
        <f>IF($B353="","",IF(AND($A353&lt;&gt;"",COUNTIF(INV_ID,$A353)&gt;1),"⚠ this Unit ID already exists",IF(AND($H353&lt;&gt;"",COUNTIF(INV_Serial,$H353)&gt;1),"⚠ this serial already exists",IF(COUNTIFS(INV_Product,$B353,INV_No,$C353)&gt;1,"⚠ piece number reused",""))))</f>
        <v/>
      </c>
      <c r="P353" s="5" t="n"/>
    </row>
    <row r="354">
      <c r="A354" s="8">
        <f>IF(OR($B354="",$C354=""),"",IFERROR(INDEX(PM_Short,MATCH($B354,PM_ID,0))&amp;"-"&amp;TEXT($C354,"00"),"?? no such product"))</f>
        <v/>
      </c>
      <c r="B354" s="5" t="n"/>
      <c r="C354" s="5" t="n"/>
      <c r="D354" s="8">
        <f>IF($B354="","",IFERROR(INDEX(PM_Category,MATCH($B354,PM_ID,0)),""))</f>
        <v/>
      </c>
      <c r="E354" s="8">
        <f>IF($B354="","",IFERROR(INDEX(PM_Subcategory,MATCH($B354,PM_ID,0)),""))</f>
        <v/>
      </c>
      <c r="F354" s="8">
        <f>IF($B354="","",IFERROR(INDEX(PM_Brand,MATCH($B354,PM_ID,0)),""))</f>
        <v/>
      </c>
      <c r="G354" s="8">
        <f>IF($B354="","",IFERROR(INDEX(PM_Model,MATCH($B354,PM_ID,0)),""))</f>
        <v/>
      </c>
      <c r="H354" s="5" t="n"/>
      <c r="I354" s="10" t="n"/>
      <c r="J354" s="9" t="n"/>
      <c r="K354" s="5" t="n"/>
      <c r="L354" s="5" t="n"/>
      <c r="M354" s="5" t="n"/>
      <c r="N354" s="5" t="n"/>
      <c r="O354" s="8">
        <f>IF($B354="","",IF(AND($A354&lt;&gt;"",COUNTIF(INV_ID,$A354)&gt;1),"⚠ this Unit ID already exists",IF(AND($H354&lt;&gt;"",COUNTIF(INV_Serial,$H354)&gt;1),"⚠ this serial already exists",IF(COUNTIFS(INV_Product,$B354,INV_No,$C354)&gt;1,"⚠ piece number reused",""))))</f>
        <v/>
      </c>
      <c r="P354" s="5" t="n"/>
    </row>
    <row r="355">
      <c r="A355" s="8">
        <f>IF(OR($B355="",$C355=""),"",IFERROR(INDEX(PM_Short,MATCH($B355,PM_ID,0))&amp;"-"&amp;TEXT($C355,"00"),"?? no such product"))</f>
        <v/>
      </c>
      <c r="B355" s="5" t="n"/>
      <c r="C355" s="5" t="n"/>
      <c r="D355" s="8">
        <f>IF($B355="","",IFERROR(INDEX(PM_Category,MATCH($B355,PM_ID,0)),""))</f>
        <v/>
      </c>
      <c r="E355" s="8">
        <f>IF($B355="","",IFERROR(INDEX(PM_Subcategory,MATCH($B355,PM_ID,0)),""))</f>
        <v/>
      </c>
      <c r="F355" s="8">
        <f>IF($B355="","",IFERROR(INDEX(PM_Brand,MATCH($B355,PM_ID,0)),""))</f>
        <v/>
      </c>
      <c r="G355" s="8">
        <f>IF($B355="","",IFERROR(INDEX(PM_Model,MATCH($B355,PM_ID,0)),""))</f>
        <v/>
      </c>
      <c r="H355" s="5" t="n"/>
      <c r="I355" s="10" t="n"/>
      <c r="J355" s="9" t="n"/>
      <c r="K355" s="5" t="n"/>
      <c r="L355" s="5" t="n"/>
      <c r="M355" s="5" t="n"/>
      <c r="N355" s="5" t="n"/>
      <c r="O355" s="8">
        <f>IF($B355="","",IF(AND($A355&lt;&gt;"",COUNTIF(INV_ID,$A355)&gt;1),"⚠ this Unit ID already exists",IF(AND($H355&lt;&gt;"",COUNTIF(INV_Serial,$H355)&gt;1),"⚠ this serial already exists",IF(COUNTIFS(INV_Product,$B355,INV_No,$C355)&gt;1,"⚠ piece number reused",""))))</f>
        <v/>
      </c>
      <c r="P355" s="5" t="n"/>
    </row>
    <row r="356">
      <c r="A356" s="8">
        <f>IF(OR($B356="",$C356=""),"",IFERROR(INDEX(PM_Short,MATCH($B356,PM_ID,0))&amp;"-"&amp;TEXT($C356,"00"),"?? no such product"))</f>
        <v/>
      </c>
      <c r="B356" s="5" t="n"/>
      <c r="C356" s="5" t="n"/>
      <c r="D356" s="8">
        <f>IF($B356="","",IFERROR(INDEX(PM_Category,MATCH($B356,PM_ID,0)),""))</f>
        <v/>
      </c>
      <c r="E356" s="8">
        <f>IF($B356="","",IFERROR(INDEX(PM_Subcategory,MATCH($B356,PM_ID,0)),""))</f>
        <v/>
      </c>
      <c r="F356" s="8">
        <f>IF($B356="","",IFERROR(INDEX(PM_Brand,MATCH($B356,PM_ID,0)),""))</f>
        <v/>
      </c>
      <c r="G356" s="8">
        <f>IF($B356="","",IFERROR(INDEX(PM_Model,MATCH($B356,PM_ID,0)),""))</f>
        <v/>
      </c>
      <c r="H356" s="5" t="n"/>
      <c r="I356" s="10" t="n"/>
      <c r="J356" s="9" t="n"/>
      <c r="K356" s="5" t="n"/>
      <c r="L356" s="5" t="n"/>
      <c r="M356" s="5" t="n"/>
      <c r="N356" s="5" t="n"/>
      <c r="O356" s="8">
        <f>IF($B356="","",IF(AND($A356&lt;&gt;"",COUNTIF(INV_ID,$A356)&gt;1),"⚠ this Unit ID already exists",IF(AND($H356&lt;&gt;"",COUNTIF(INV_Serial,$H356)&gt;1),"⚠ this serial already exists",IF(COUNTIFS(INV_Product,$B356,INV_No,$C356)&gt;1,"⚠ piece number reused",""))))</f>
        <v/>
      </c>
      <c r="P356" s="5" t="n"/>
    </row>
    <row r="357">
      <c r="A357" s="8">
        <f>IF(OR($B357="",$C357=""),"",IFERROR(INDEX(PM_Short,MATCH($B357,PM_ID,0))&amp;"-"&amp;TEXT($C357,"00"),"?? no such product"))</f>
        <v/>
      </c>
      <c r="B357" s="5" t="n"/>
      <c r="C357" s="5" t="n"/>
      <c r="D357" s="8">
        <f>IF($B357="","",IFERROR(INDEX(PM_Category,MATCH($B357,PM_ID,0)),""))</f>
        <v/>
      </c>
      <c r="E357" s="8">
        <f>IF($B357="","",IFERROR(INDEX(PM_Subcategory,MATCH($B357,PM_ID,0)),""))</f>
        <v/>
      </c>
      <c r="F357" s="8">
        <f>IF($B357="","",IFERROR(INDEX(PM_Brand,MATCH($B357,PM_ID,0)),""))</f>
        <v/>
      </c>
      <c r="G357" s="8">
        <f>IF($B357="","",IFERROR(INDEX(PM_Model,MATCH($B357,PM_ID,0)),""))</f>
        <v/>
      </c>
      <c r="H357" s="5" t="n"/>
      <c r="I357" s="10" t="n"/>
      <c r="J357" s="9" t="n"/>
      <c r="K357" s="5" t="n"/>
      <c r="L357" s="5" t="n"/>
      <c r="M357" s="5" t="n"/>
      <c r="N357" s="5" t="n"/>
      <c r="O357" s="8">
        <f>IF($B357="","",IF(AND($A357&lt;&gt;"",COUNTIF(INV_ID,$A357)&gt;1),"⚠ this Unit ID already exists",IF(AND($H357&lt;&gt;"",COUNTIF(INV_Serial,$H357)&gt;1),"⚠ this serial already exists",IF(COUNTIFS(INV_Product,$B357,INV_No,$C357)&gt;1,"⚠ piece number reused",""))))</f>
        <v/>
      </c>
      <c r="P357" s="5" t="n"/>
    </row>
    <row r="358">
      <c r="A358" s="8">
        <f>IF(OR($B358="",$C358=""),"",IFERROR(INDEX(PM_Short,MATCH($B358,PM_ID,0))&amp;"-"&amp;TEXT($C358,"00"),"?? no such product"))</f>
        <v/>
      </c>
      <c r="B358" s="5" t="n"/>
      <c r="C358" s="5" t="n"/>
      <c r="D358" s="8">
        <f>IF($B358="","",IFERROR(INDEX(PM_Category,MATCH($B358,PM_ID,0)),""))</f>
        <v/>
      </c>
      <c r="E358" s="8">
        <f>IF($B358="","",IFERROR(INDEX(PM_Subcategory,MATCH($B358,PM_ID,0)),""))</f>
        <v/>
      </c>
      <c r="F358" s="8">
        <f>IF($B358="","",IFERROR(INDEX(PM_Brand,MATCH($B358,PM_ID,0)),""))</f>
        <v/>
      </c>
      <c r="G358" s="8">
        <f>IF($B358="","",IFERROR(INDEX(PM_Model,MATCH($B358,PM_ID,0)),""))</f>
        <v/>
      </c>
      <c r="H358" s="5" t="n"/>
      <c r="I358" s="10" t="n"/>
      <c r="J358" s="9" t="n"/>
      <c r="K358" s="5" t="n"/>
      <c r="L358" s="5" t="n"/>
      <c r="M358" s="5" t="n"/>
      <c r="N358" s="5" t="n"/>
      <c r="O358" s="8">
        <f>IF($B358="","",IF(AND($A358&lt;&gt;"",COUNTIF(INV_ID,$A358)&gt;1),"⚠ this Unit ID already exists",IF(AND($H358&lt;&gt;"",COUNTIF(INV_Serial,$H358)&gt;1),"⚠ this serial already exists",IF(COUNTIFS(INV_Product,$B358,INV_No,$C358)&gt;1,"⚠ piece number reused",""))))</f>
        <v/>
      </c>
      <c r="P358" s="5" t="n"/>
    </row>
    <row r="359">
      <c r="A359" s="8">
        <f>IF(OR($B359="",$C359=""),"",IFERROR(INDEX(PM_Short,MATCH($B359,PM_ID,0))&amp;"-"&amp;TEXT($C359,"00"),"?? no such product"))</f>
        <v/>
      </c>
      <c r="B359" s="5" t="n"/>
      <c r="C359" s="5" t="n"/>
      <c r="D359" s="8">
        <f>IF($B359="","",IFERROR(INDEX(PM_Category,MATCH($B359,PM_ID,0)),""))</f>
        <v/>
      </c>
      <c r="E359" s="8">
        <f>IF($B359="","",IFERROR(INDEX(PM_Subcategory,MATCH($B359,PM_ID,0)),""))</f>
        <v/>
      </c>
      <c r="F359" s="8">
        <f>IF($B359="","",IFERROR(INDEX(PM_Brand,MATCH($B359,PM_ID,0)),""))</f>
        <v/>
      </c>
      <c r="G359" s="8">
        <f>IF($B359="","",IFERROR(INDEX(PM_Model,MATCH($B359,PM_ID,0)),""))</f>
        <v/>
      </c>
      <c r="H359" s="5" t="n"/>
      <c r="I359" s="10" t="n"/>
      <c r="J359" s="9" t="n"/>
      <c r="K359" s="5" t="n"/>
      <c r="L359" s="5" t="n"/>
      <c r="M359" s="5" t="n"/>
      <c r="N359" s="5" t="n"/>
      <c r="O359" s="8">
        <f>IF($B359="","",IF(AND($A359&lt;&gt;"",COUNTIF(INV_ID,$A359)&gt;1),"⚠ this Unit ID already exists",IF(AND($H359&lt;&gt;"",COUNTIF(INV_Serial,$H359)&gt;1),"⚠ this serial already exists",IF(COUNTIFS(INV_Product,$B359,INV_No,$C359)&gt;1,"⚠ piece number reused",""))))</f>
        <v/>
      </c>
      <c r="P359" s="5" t="n"/>
    </row>
    <row r="360">
      <c r="A360" s="8">
        <f>IF(OR($B360="",$C360=""),"",IFERROR(INDEX(PM_Short,MATCH($B360,PM_ID,0))&amp;"-"&amp;TEXT($C360,"00"),"?? no such product"))</f>
        <v/>
      </c>
      <c r="B360" s="5" t="n"/>
      <c r="C360" s="5" t="n"/>
      <c r="D360" s="8">
        <f>IF($B360="","",IFERROR(INDEX(PM_Category,MATCH($B360,PM_ID,0)),""))</f>
        <v/>
      </c>
      <c r="E360" s="8">
        <f>IF($B360="","",IFERROR(INDEX(PM_Subcategory,MATCH($B360,PM_ID,0)),""))</f>
        <v/>
      </c>
      <c r="F360" s="8">
        <f>IF($B360="","",IFERROR(INDEX(PM_Brand,MATCH($B360,PM_ID,0)),""))</f>
        <v/>
      </c>
      <c r="G360" s="8">
        <f>IF($B360="","",IFERROR(INDEX(PM_Model,MATCH($B360,PM_ID,0)),""))</f>
        <v/>
      </c>
      <c r="H360" s="5" t="n"/>
      <c r="I360" s="10" t="n"/>
      <c r="J360" s="9" t="n"/>
      <c r="K360" s="5" t="n"/>
      <c r="L360" s="5" t="n"/>
      <c r="M360" s="5" t="n"/>
      <c r="N360" s="5" t="n"/>
      <c r="O360" s="8">
        <f>IF($B360="","",IF(AND($A360&lt;&gt;"",COUNTIF(INV_ID,$A360)&gt;1),"⚠ this Unit ID already exists",IF(AND($H360&lt;&gt;"",COUNTIF(INV_Serial,$H360)&gt;1),"⚠ this serial already exists",IF(COUNTIFS(INV_Product,$B360,INV_No,$C360)&gt;1,"⚠ piece number reused",""))))</f>
        <v/>
      </c>
      <c r="P360" s="5" t="n"/>
    </row>
    <row r="361">
      <c r="A361" s="8">
        <f>IF(OR($B361="",$C361=""),"",IFERROR(INDEX(PM_Short,MATCH($B361,PM_ID,0))&amp;"-"&amp;TEXT($C361,"00"),"?? no such product"))</f>
        <v/>
      </c>
      <c r="B361" s="5" t="n"/>
      <c r="C361" s="5" t="n"/>
      <c r="D361" s="8">
        <f>IF($B361="","",IFERROR(INDEX(PM_Category,MATCH($B361,PM_ID,0)),""))</f>
        <v/>
      </c>
      <c r="E361" s="8">
        <f>IF($B361="","",IFERROR(INDEX(PM_Subcategory,MATCH($B361,PM_ID,0)),""))</f>
        <v/>
      </c>
      <c r="F361" s="8">
        <f>IF($B361="","",IFERROR(INDEX(PM_Brand,MATCH($B361,PM_ID,0)),""))</f>
        <v/>
      </c>
      <c r="G361" s="8">
        <f>IF($B361="","",IFERROR(INDEX(PM_Model,MATCH($B361,PM_ID,0)),""))</f>
        <v/>
      </c>
      <c r="H361" s="5" t="n"/>
      <c r="I361" s="10" t="n"/>
      <c r="J361" s="9" t="n"/>
      <c r="K361" s="5" t="n"/>
      <c r="L361" s="5" t="n"/>
      <c r="M361" s="5" t="n"/>
      <c r="N361" s="5" t="n"/>
      <c r="O361" s="8">
        <f>IF($B361="","",IF(AND($A361&lt;&gt;"",COUNTIF(INV_ID,$A361)&gt;1),"⚠ this Unit ID already exists",IF(AND($H361&lt;&gt;"",COUNTIF(INV_Serial,$H361)&gt;1),"⚠ this serial already exists",IF(COUNTIFS(INV_Product,$B361,INV_No,$C361)&gt;1,"⚠ piece number reused",""))))</f>
        <v/>
      </c>
      <c r="P361" s="5" t="n"/>
    </row>
    <row r="362">
      <c r="A362" s="8">
        <f>IF(OR($B362="",$C362=""),"",IFERROR(INDEX(PM_Short,MATCH($B362,PM_ID,0))&amp;"-"&amp;TEXT($C362,"00"),"?? no such product"))</f>
        <v/>
      </c>
      <c r="B362" s="5" t="n"/>
      <c r="C362" s="5" t="n"/>
      <c r="D362" s="8">
        <f>IF($B362="","",IFERROR(INDEX(PM_Category,MATCH($B362,PM_ID,0)),""))</f>
        <v/>
      </c>
      <c r="E362" s="8">
        <f>IF($B362="","",IFERROR(INDEX(PM_Subcategory,MATCH($B362,PM_ID,0)),""))</f>
        <v/>
      </c>
      <c r="F362" s="8">
        <f>IF($B362="","",IFERROR(INDEX(PM_Brand,MATCH($B362,PM_ID,0)),""))</f>
        <v/>
      </c>
      <c r="G362" s="8">
        <f>IF($B362="","",IFERROR(INDEX(PM_Model,MATCH($B362,PM_ID,0)),""))</f>
        <v/>
      </c>
      <c r="H362" s="5" t="n"/>
      <c r="I362" s="10" t="n"/>
      <c r="J362" s="9" t="n"/>
      <c r="K362" s="5" t="n"/>
      <c r="L362" s="5" t="n"/>
      <c r="M362" s="5" t="n"/>
      <c r="N362" s="5" t="n"/>
      <c r="O362" s="8">
        <f>IF($B362="","",IF(AND($A362&lt;&gt;"",COUNTIF(INV_ID,$A362)&gt;1),"⚠ this Unit ID already exists",IF(AND($H362&lt;&gt;"",COUNTIF(INV_Serial,$H362)&gt;1),"⚠ this serial already exists",IF(COUNTIFS(INV_Product,$B362,INV_No,$C362)&gt;1,"⚠ piece number reused",""))))</f>
        <v/>
      </c>
      <c r="P362" s="5" t="n"/>
    </row>
    <row r="363">
      <c r="A363" s="8">
        <f>IF(OR($B363="",$C363=""),"",IFERROR(INDEX(PM_Short,MATCH($B363,PM_ID,0))&amp;"-"&amp;TEXT($C363,"00"),"?? no such product"))</f>
        <v/>
      </c>
      <c r="B363" s="5" t="n"/>
      <c r="C363" s="5" t="n"/>
      <c r="D363" s="8">
        <f>IF($B363="","",IFERROR(INDEX(PM_Category,MATCH($B363,PM_ID,0)),""))</f>
        <v/>
      </c>
      <c r="E363" s="8">
        <f>IF($B363="","",IFERROR(INDEX(PM_Subcategory,MATCH($B363,PM_ID,0)),""))</f>
        <v/>
      </c>
      <c r="F363" s="8">
        <f>IF($B363="","",IFERROR(INDEX(PM_Brand,MATCH($B363,PM_ID,0)),""))</f>
        <v/>
      </c>
      <c r="G363" s="8">
        <f>IF($B363="","",IFERROR(INDEX(PM_Model,MATCH($B363,PM_ID,0)),""))</f>
        <v/>
      </c>
      <c r="H363" s="5" t="n"/>
      <c r="I363" s="10" t="n"/>
      <c r="J363" s="9" t="n"/>
      <c r="K363" s="5" t="n"/>
      <c r="L363" s="5" t="n"/>
      <c r="M363" s="5" t="n"/>
      <c r="N363" s="5" t="n"/>
      <c r="O363" s="8">
        <f>IF($B363="","",IF(AND($A363&lt;&gt;"",COUNTIF(INV_ID,$A363)&gt;1),"⚠ this Unit ID already exists",IF(AND($H363&lt;&gt;"",COUNTIF(INV_Serial,$H363)&gt;1),"⚠ this serial already exists",IF(COUNTIFS(INV_Product,$B363,INV_No,$C363)&gt;1,"⚠ piece number reused",""))))</f>
        <v/>
      </c>
      <c r="P363" s="5" t="n"/>
    </row>
    <row r="364">
      <c r="A364" s="8">
        <f>IF(OR($B364="",$C364=""),"",IFERROR(INDEX(PM_Short,MATCH($B364,PM_ID,0))&amp;"-"&amp;TEXT($C364,"00"),"?? no such product"))</f>
        <v/>
      </c>
      <c r="B364" s="5" t="n"/>
      <c r="C364" s="5" t="n"/>
      <c r="D364" s="8">
        <f>IF($B364="","",IFERROR(INDEX(PM_Category,MATCH($B364,PM_ID,0)),""))</f>
        <v/>
      </c>
      <c r="E364" s="8">
        <f>IF($B364="","",IFERROR(INDEX(PM_Subcategory,MATCH($B364,PM_ID,0)),""))</f>
        <v/>
      </c>
      <c r="F364" s="8">
        <f>IF($B364="","",IFERROR(INDEX(PM_Brand,MATCH($B364,PM_ID,0)),""))</f>
        <v/>
      </c>
      <c r="G364" s="8">
        <f>IF($B364="","",IFERROR(INDEX(PM_Model,MATCH($B364,PM_ID,0)),""))</f>
        <v/>
      </c>
      <c r="H364" s="5" t="n"/>
      <c r="I364" s="10" t="n"/>
      <c r="J364" s="9" t="n"/>
      <c r="K364" s="5" t="n"/>
      <c r="L364" s="5" t="n"/>
      <c r="M364" s="5" t="n"/>
      <c r="N364" s="5" t="n"/>
      <c r="O364" s="8">
        <f>IF($B364="","",IF(AND($A364&lt;&gt;"",COUNTIF(INV_ID,$A364)&gt;1),"⚠ this Unit ID already exists",IF(AND($H364&lt;&gt;"",COUNTIF(INV_Serial,$H364)&gt;1),"⚠ this serial already exists",IF(COUNTIFS(INV_Product,$B364,INV_No,$C364)&gt;1,"⚠ piece number reused",""))))</f>
        <v/>
      </c>
      <c r="P364" s="5" t="n"/>
    </row>
    <row r="365">
      <c r="A365" s="8">
        <f>IF(OR($B365="",$C365=""),"",IFERROR(INDEX(PM_Short,MATCH($B365,PM_ID,0))&amp;"-"&amp;TEXT($C365,"00"),"?? no such product"))</f>
        <v/>
      </c>
      <c r="B365" s="5" t="n"/>
      <c r="C365" s="5" t="n"/>
      <c r="D365" s="8">
        <f>IF($B365="","",IFERROR(INDEX(PM_Category,MATCH($B365,PM_ID,0)),""))</f>
        <v/>
      </c>
      <c r="E365" s="8">
        <f>IF($B365="","",IFERROR(INDEX(PM_Subcategory,MATCH($B365,PM_ID,0)),""))</f>
        <v/>
      </c>
      <c r="F365" s="8">
        <f>IF($B365="","",IFERROR(INDEX(PM_Brand,MATCH($B365,PM_ID,0)),""))</f>
        <v/>
      </c>
      <c r="G365" s="8">
        <f>IF($B365="","",IFERROR(INDEX(PM_Model,MATCH($B365,PM_ID,0)),""))</f>
        <v/>
      </c>
      <c r="H365" s="5" t="n"/>
      <c r="I365" s="10" t="n"/>
      <c r="J365" s="9" t="n"/>
      <c r="K365" s="5" t="n"/>
      <c r="L365" s="5" t="n"/>
      <c r="M365" s="5" t="n"/>
      <c r="N365" s="5" t="n"/>
      <c r="O365" s="8">
        <f>IF($B365="","",IF(AND($A365&lt;&gt;"",COUNTIF(INV_ID,$A365)&gt;1),"⚠ this Unit ID already exists",IF(AND($H365&lt;&gt;"",COUNTIF(INV_Serial,$H365)&gt;1),"⚠ this serial already exists",IF(COUNTIFS(INV_Product,$B365,INV_No,$C365)&gt;1,"⚠ piece number reused",""))))</f>
        <v/>
      </c>
      <c r="P365" s="5" t="n"/>
    </row>
    <row r="366">
      <c r="A366" s="8">
        <f>IF(OR($B366="",$C366=""),"",IFERROR(INDEX(PM_Short,MATCH($B366,PM_ID,0))&amp;"-"&amp;TEXT($C366,"00"),"?? no such product"))</f>
        <v/>
      </c>
      <c r="B366" s="5" t="n"/>
      <c r="C366" s="5" t="n"/>
      <c r="D366" s="8">
        <f>IF($B366="","",IFERROR(INDEX(PM_Category,MATCH($B366,PM_ID,0)),""))</f>
        <v/>
      </c>
      <c r="E366" s="8">
        <f>IF($B366="","",IFERROR(INDEX(PM_Subcategory,MATCH($B366,PM_ID,0)),""))</f>
        <v/>
      </c>
      <c r="F366" s="8">
        <f>IF($B366="","",IFERROR(INDEX(PM_Brand,MATCH($B366,PM_ID,0)),""))</f>
        <v/>
      </c>
      <c r="G366" s="8">
        <f>IF($B366="","",IFERROR(INDEX(PM_Model,MATCH($B366,PM_ID,0)),""))</f>
        <v/>
      </c>
      <c r="H366" s="5" t="n"/>
      <c r="I366" s="10" t="n"/>
      <c r="J366" s="9" t="n"/>
      <c r="K366" s="5" t="n"/>
      <c r="L366" s="5" t="n"/>
      <c r="M366" s="5" t="n"/>
      <c r="N366" s="5" t="n"/>
      <c r="O366" s="8">
        <f>IF($B366="","",IF(AND($A366&lt;&gt;"",COUNTIF(INV_ID,$A366)&gt;1),"⚠ this Unit ID already exists",IF(AND($H366&lt;&gt;"",COUNTIF(INV_Serial,$H366)&gt;1),"⚠ this serial already exists",IF(COUNTIFS(INV_Product,$B366,INV_No,$C366)&gt;1,"⚠ piece number reused",""))))</f>
        <v/>
      </c>
      <c r="P366" s="5" t="n"/>
    </row>
    <row r="367">
      <c r="A367" s="8">
        <f>IF(OR($B367="",$C367=""),"",IFERROR(INDEX(PM_Short,MATCH($B367,PM_ID,0))&amp;"-"&amp;TEXT($C367,"00"),"?? no such product"))</f>
        <v/>
      </c>
      <c r="B367" s="5" t="n"/>
      <c r="C367" s="5" t="n"/>
      <c r="D367" s="8">
        <f>IF($B367="","",IFERROR(INDEX(PM_Category,MATCH($B367,PM_ID,0)),""))</f>
        <v/>
      </c>
      <c r="E367" s="8">
        <f>IF($B367="","",IFERROR(INDEX(PM_Subcategory,MATCH($B367,PM_ID,0)),""))</f>
        <v/>
      </c>
      <c r="F367" s="8">
        <f>IF($B367="","",IFERROR(INDEX(PM_Brand,MATCH($B367,PM_ID,0)),""))</f>
        <v/>
      </c>
      <c r="G367" s="8">
        <f>IF($B367="","",IFERROR(INDEX(PM_Model,MATCH($B367,PM_ID,0)),""))</f>
        <v/>
      </c>
      <c r="H367" s="5" t="n"/>
      <c r="I367" s="10" t="n"/>
      <c r="J367" s="9" t="n"/>
      <c r="K367" s="5" t="n"/>
      <c r="L367" s="5" t="n"/>
      <c r="M367" s="5" t="n"/>
      <c r="N367" s="5" t="n"/>
      <c r="O367" s="8">
        <f>IF($B367="","",IF(AND($A367&lt;&gt;"",COUNTIF(INV_ID,$A367)&gt;1),"⚠ this Unit ID already exists",IF(AND($H367&lt;&gt;"",COUNTIF(INV_Serial,$H367)&gt;1),"⚠ this serial already exists",IF(COUNTIFS(INV_Product,$B367,INV_No,$C367)&gt;1,"⚠ piece number reused",""))))</f>
        <v/>
      </c>
      <c r="P367" s="5" t="n"/>
    </row>
    <row r="368">
      <c r="A368" s="8">
        <f>IF(OR($B368="",$C368=""),"",IFERROR(INDEX(PM_Short,MATCH($B368,PM_ID,0))&amp;"-"&amp;TEXT($C368,"00"),"?? no such product"))</f>
        <v/>
      </c>
      <c r="B368" s="5" t="n"/>
      <c r="C368" s="5" t="n"/>
      <c r="D368" s="8">
        <f>IF($B368="","",IFERROR(INDEX(PM_Category,MATCH($B368,PM_ID,0)),""))</f>
        <v/>
      </c>
      <c r="E368" s="8">
        <f>IF($B368="","",IFERROR(INDEX(PM_Subcategory,MATCH($B368,PM_ID,0)),""))</f>
        <v/>
      </c>
      <c r="F368" s="8">
        <f>IF($B368="","",IFERROR(INDEX(PM_Brand,MATCH($B368,PM_ID,0)),""))</f>
        <v/>
      </c>
      <c r="G368" s="8">
        <f>IF($B368="","",IFERROR(INDEX(PM_Model,MATCH($B368,PM_ID,0)),""))</f>
        <v/>
      </c>
      <c r="H368" s="5" t="n"/>
      <c r="I368" s="10" t="n"/>
      <c r="J368" s="9" t="n"/>
      <c r="K368" s="5" t="n"/>
      <c r="L368" s="5" t="n"/>
      <c r="M368" s="5" t="n"/>
      <c r="N368" s="5" t="n"/>
      <c r="O368" s="8">
        <f>IF($B368="","",IF(AND($A368&lt;&gt;"",COUNTIF(INV_ID,$A368)&gt;1),"⚠ this Unit ID already exists",IF(AND($H368&lt;&gt;"",COUNTIF(INV_Serial,$H368)&gt;1),"⚠ this serial already exists",IF(COUNTIFS(INV_Product,$B368,INV_No,$C368)&gt;1,"⚠ piece number reused",""))))</f>
        <v/>
      </c>
      <c r="P368" s="5" t="n"/>
    </row>
    <row r="369">
      <c r="A369" s="8">
        <f>IF(OR($B369="",$C369=""),"",IFERROR(INDEX(PM_Short,MATCH($B369,PM_ID,0))&amp;"-"&amp;TEXT($C369,"00"),"?? no such product"))</f>
        <v/>
      </c>
      <c r="B369" s="5" t="n"/>
      <c r="C369" s="5" t="n"/>
      <c r="D369" s="8">
        <f>IF($B369="","",IFERROR(INDEX(PM_Category,MATCH($B369,PM_ID,0)),""))</f>
        <v/>
      </c>
      <c r="E369" s="8">
        <f>IF($B369="","",IFERROR(INDEX(PM_Subcategory,MATCH($B369,PM_ID,0)),""))</f>
        <v/>
      </c>
      <c r="F369" s="8">
        <f>IF($B369="","",IFERROR(INDEX(PM_Brand,MATCH($B369,PM_ID,0)),""))</f>
        <v/>
      </c>
      <c r="G369" s="8">
        <f>IF($B369="","",IFERROR(INDEX(PM_Model,MATCH($B369,PM_ID,0)),""))</f>
        <v/>
      </c>
      <c r="H369" s="5" t="n"/>
      <c r="I369" s="10" t="n"/>
      <c r="J369" s="9" t="n"/>
      <c r="K369" s="5" t="n"/>
      <c r="L369" s="5" t="n"/>
      <c r="M369" s="5" t="n"/>
      <c r="N369" s="5" t="n"/>
      <c r="O369" s="8">
        <f>IF($B369="","",IF(AND($A369&lt;&gt;"",COUNTIF(INV_ID,$A369)&gt;1),"⚠ this Unit ID already exists",IF(AND($H369&lt;&gt;"",COUNTIF(INV_Serial,$H369)&gt;1),"⚠ this serial already exists",IF(COUNTIFS(INV_Product,$B369,INV_No,$C369)&gt;1,"⚠ piece number reused",""))))</f>
        <v/>
      </c>
      <c r="P369" s="5" t="n"/>
    </row>
    <row r="370">
      <c r="A370" s="8">
        <f>IF(OR($B370="",$C370=""),"",IFERROR(INDEX(PM_Short,MATCH($B370,PM_ID,0))&amp;"-"&amp;TEXT($C370,"00"),"?? no such product"))</f>
        <v/>
      </c>
      <c r="B370" s="5" t="n"/>
      <c r="C370" s="5" t="n"/>
      <c r="D370" s="8">
        <f>IF($B370="","",IFERROR(INDEX(PM_Category,MATCH($B370,PM_ID,0)),""))</f>
        <v/>
      </c>
      <c r="E370" s="8">
        <f>IF($B370="","",IFERROR(INDEX(PM_Subcategory,MATCH($B370,PM_ID,0)),""))</f>
        <v/>
      </c>
      <c r="F370" s="8">
        <f>IF($B370="","",IFERROR(INDEX(PM_Brand,MATCH($B370,PM_ID,0)),""))</f>
        <v/>
      </c>
      <c r="G370" s="8">
        <f>IF($B370="","",IFERROR(INDEX(PM_Model,MATCH($B370,PM_ID,0)),""))</f>
        <v/>
      </c>
      <c r="H370" s="5" t="n"/>
      <c r="I370" s="10" t="n"/>
      <c r="J370" s="9" t="n"/>
      <c r="K370" s="5" t="n"/>
      <c r="L370" s="5" t="n"/>
      <c r="M370" s="5" t="n"/>
      <c r="N370" s="5" t="n"/>
      <c r="O370" s="8">
        <f>IF($B370="","",IF(AND($A370&lt;&gt;"",COUNTIF(INV_ID,$A370)&gt;1),"⚠ this Unit ID already exists",IF(AND($H370&lt;&gt;"",COUNTIF(INV_Serial,$H370)&gt;1),"⚠ this serial already exists",IF(COUNTIFS(INV_Product,$B370,INV_No,$C370)&gt;1,"⚠ piece number reused",""))))</f>
        <v/>
      </c>
      <c r="P370" s="5" t="n"/>
    </row>
    <row r="371">
      <c r="A371" s="8">
        <f>IF(OR($B371="",$C371=""),"",IFERROR(INDEX(PM_Short,MATCH($B371,PM_ID,0))&amp;"-"&amp;TEXT($C371,"00"),"?? no such product"))</f>
        <v/>
      </c>
      <c r="B371" s="5" t="n"/>
      <c r="C371" s="5" t="n"/>
      <c r="D371" s="8">
        <f>IF($B371="","",IFERROR(INDEX(PM_Category,MATCH($B371,PM_ID,0)),""))</f>
        <v/>
      </c>
      <c r="E371" s="8">
        <f>IF($B371="","",IFERROR(INDEX(PM_Subcategory,MATCH($B371,PM_ID,0)),""))</f>
        <v/>
      </c>
      <c r="F371" s="8">
        <f>IF($B371="","",IFERROR(INDEX(PM_Brand,MATCH($B371,PM_ID,0)),""))</f>
        <v/>
      </c>
      <c r="G371" s="8">
        <f>IF($B371="","",IFERROR(INDEX(PM_Model,MATCH($B371,PM_ID,0)),""))</f>
        <v/>
      </c>
      <c r="H371" s="5" t="n"/>
      <c r="I371" s="10" t="n"/>
      <c r="J371" s="9" t="n"/>
      <c r="K371" s="5" t="n"/>
      <c r="L371" s="5" t="n"/>
      <c r="M371" s="5" t="n"/>
      <c r="N371" s="5" t="n"/>
      <c r="O371" s="8">
        <f>IF($B371="","",IF(AND($A371&lt;&gt;"",COUNTIF(INV_ID,$A371)&gt;1),"⚠ this Unit ID already exists",IF(AND($H371&lt;&gt;"",COUNTIF(INV_Serial,$H371)&gt;1),"⚠ this serial already exists",IF(COUNTIFS(INV_Product,$B371,INV_No,$C371)&gt;1,"⚠ piece number reused",""))))</f>
        <v/>
      </c>
      <c r="P371" s="5" t="n"/>
    </row>
    <row r="372">
      <c r="A372" s="8">
        <f>IF(OR($B372="",$C372=""),"",IFERROR(INDEX(PM_Short,MATCH($B372,PM_ID,0))&amp;"-"&amp;TEXT($C372,"00"),"?? no such product"))</f>
        <v/>
      </c>
      <c r="B372" s="5" t="n"/>
      <c r="C372" s="5" t="n"/>
      <c r="D372" s="8">
        <f>IF($B372="","",IFERROR(INDEX(PM_Category,MATCH($B372,PM_ID,0)),""))</f>
        <v/>
      </c>
      <c r="E372" s="8">
        <f>IF($B372="","",IFERROR(INDEX(PM_Subcategory,MATCH($B372,PM_ID,0)),""))</f>
        <v/>
      </c>
      <c r="F372" s="8">
        <f>IF($B372="","",IFERROR(INDEX(PM_Brand,MATCH($B372,PM_ID,0)),""))</f>
        <v/>
      </c>
      <c r="G372" s="8">
        <f>IF($B372="","",IFERROR(INDEX(PM_Model,MATCH($B372,PM_ID,0)),""))</f>
        <v/>
      </c>
      <c r="H372" s="5" t="n"/>
      <c r="I372" s="10" t="n"/>
      <c r="J372" s="9" t="n"/>
      <c r="K372" s="5" t="n"/>
      <c r="L372" s="5" t="n"/>
      <c r="M372" s="5" t="n"/>
      <c r="N372" s="5" t="n"/>
      <c r="O372" s="8">
        <f>IF($B372="","",IF(AND($A372&lt;&gt;"",COUNTIF(INV_ID,$A372)&gt;1),"⚠ this Unit ID already exists",IF(AND($H372&lt;&gt;"",COUNTIF(INV_Serial,$H372)&gt;1),"⚠ this serial already exists",IF(COUNTIFS(INV_Product,$B372,INV_No,$C372)&gt;1,"⚠ piece number reused",""))))</f>
        <v/>
      </c>
      <c r="P372" s="5" t="n"/>
    </row>
    <row r="373">
      <c r="A373" s="8">
        <f>IF(OR($B373="",$C373=""),"",IFERROR(INDEX(PM_Short,MATCH($B373,PM_ID,0))&amp;"-"&amp;TEXT($C373,"00"),"?? no such product"))</f>
        <v/>
      </c>
      <c r="B373" s="5" t="n"/>
      <c r="C373" s="5" t="n"/>
      <c r="D373" s="8">
        <f>IF($B373="","",IFERROR(INDEX(PM_Category,MATCH($B373,PM_ID,0)),""))</f>
        <v/>
      </c>
      <c r="E373" s="8">
        <f>IF($B373="","",IFERROR(INDEX(PM_Subcategory,MATCH($B373,PM_ID,0)),""))</f>
        <v/>
      </c>
      <c r="F373" s="8">
        <f>IF($B373="","",IFERROR(INDEX(PM_Brand,MATCH($B373,PM_ID,0)),""))</f>
        <v/>
      </c>
      <c r="G373" s="8">
        <f>IF($B373="","",IFERROR(INDEX(PM_Model,MATCH($B373,PM_ID,0)),""))</f>
        <v/>
      </c>
      <c r="H373" s="5" t="n"/>
      <c r="I373" s="10" t="n"/>
      <c r="J373" s="9" t="n"/>
      <c r="K373" s="5" t="n"/>
      <c r="L373" s="5" t="n"/>
      <c r="M373" s="5" t="n"/>
      <c r="N373" s="5" t="n"/>
      <c r="O373" s="8">
        <f>IF($B373="","",IF(AND($A373&lt;&gt;"",COUNTIF(INV_ID,$A373)&gt;1),"⚠ this Unit ID already exists",IF(AND($H373&lt;&gt;"",COUNTIF(INV_Serial,$H373)&gt;1),"⚠ this serial already exists",IF(COUNTIFS(INV_Product,$B373,INV_No,$C373)&gt;1,"⚠ piece number reused",""))))</f>
        <v/>
      </c>
      <c r="P373" s="5" t="n"/>
    </row>
    <row r="374">
      <c r="A374" s="8">
        <f>IF(OR($B374="",$C374=""),"",IFERROR(INDEX(PM_Short,MATCH($B374,PM_ID,0))&amp;"-"&amp;TEXT($C374,"00"),"?? no such product"))</f>
        <v/>
      </c>
      <c r="B374" s="5" t="n"/>
      <c r="C374" s="5" t="n"/>
      <c r="D374" s="8">
        <f>IF($B374="","",IFERROR(INDEX(PM_Category,MATCH($B374,PM_ID,0)),""))</f>
        <v/>
      </c>
      <c r="E374" s="8">
        <f>IF($B374="","",IFERROR(INDEX(PM_Subcategory,MATCH($B374,PM_ID,0)),""))</f>
        <v/>
      </c>
      <c r="F374" s="8">
        <f>IF($B374="","",IFERROR(INDEX(PM_Brand,MATCH($B374,PM_ID,0)),""))</f>
        <v/>
      </c>
      <c r="G374" s="8">
        <f>IF($B374="","",IFERROR(INDEX(PM_Model,MATCH($B374,PM_ID,0)),""))</f>
        <v/>
      </c>
      <c r="H374" s="5" t="n"/>
      <c r="I374" s="10" t="n"/>
      <c r="J374" s="9" t="n"/>
      <c r="K374" s="5" t="n"/>
      <c r="L374" s="5" t="n"/>
      <c r="M374" s="5" t="n"/>
      <c r="N374" s="5" t="n"/>
      <c r="O374" s="8">
        <f>IF($B374="","",IF(AND($A374&lt;&gt;"",COUNTIF(INV_ID,$A374)&gt;1),"⚠ this Unit ID already exists",IF(AND($H374&lt;&gt;"",COUNTIF(INV_Serial,$H374)&gt;1),"⚠ this serial already exists",IF(COUNTIFS(INV_Product,$B374,INV_No,$C374)&gt;1,"⚠ piece number reused",""))))</f>
        <v/>
      </c>
      <c r="P374" s="5" t="n"/>
    </row>
    <row r="375">
      <c r="A375" s="8">
        <f>IF(OR($B375="",$C375=""),"",IFERROR(INDEX(PM_Short,MATCH($B375,PM_ID,0))&amp;"-"&amp;TEXT($C375,"00"),"?? no such product"))</f>
        <v/>
      </c>
      <c r="B375" s="5" t="n"/>
      <c r="C375" s="5" t="n"/>
      <c r="D375" s="8">
        <f>IF($B375="","",IFERROR(INDEX(PM_Category,MATCH($B375,PM_ID,0)),""))</f>
        <v/>
      </c>
      <c r="E375" s="8">
        <f>IF($B375="","",IFERROR(INDEX(PM_Subcategory,MATCH($B375,PM_ID,0)),""))</f>
        <v/>
      </c>
      <c r="F375" s="8">
        <f>IF($B375="","",IFERROR(INDEX(PM_Brand,MATCH($B375,PM_ID,0)),""))</f>
        <v/>
      </c>
      <c r="G375" s="8">
        <f>IF($B375="","",IFERROR(INDEX(PM_Model,MATCH($B375,PM_ID,0)),""))</f>
        <v/>
      </c>
      <c r="H375" s="5" t="n"/>
      <c r="I375" s="10" t="n"/>
      <c r="J375" s="9" t="n"/>
      <c r="K375" s="5" t="n"/>
      <c r="L375" s="5" t="n"/>
      <c r="M375" s="5" t="n"/>
      <c r="N375" s="5" t="n"/>
      <c r="O375" s="8">
        <f>IF($B375="","",IF(AND($A375&lt;&gt;"",COUNTIF(INV_ID,$A375)&gt;1),"⚠ this Unit ID already exists",IF(AND($H375&lt;&gt;"",COUNTIF(INV_Serial,$H375)&gt;1),"⚠ this serial already exists",IF(COUNTIFS(INV_Product,$B375,INV_No,$C375)&gt;1,"⚠ piece number reused",""))))</f>
        <v/>
      </c>
      <c r="P375" s="5" t="n"/>
    </row>
    <row r="376">
      <c r="A376" s="8">
        <f>IF(OR($B376="",$C376=""),"",IFERROR(INDEX(PM_Short,MATCH($B376,PM_ID,0))&amp;"-"&amp;TEXT($C376,"00"),"?? no such product"))</f>
        <v/>
      </c>
      <c r="B376" s="5" t="n"/>
      <c r="C376" s="5" t="n"/>
      <c r="D376" s="8">
        <f>IF($B376="","",IFERROR(INDEX(PM_Category,MATCH($B376,PM_ID,0)),""))</f>
        <v/>
      </c>
      <c r="E376" s="8">
        <f>IF($B376="","",IFERROR(INDEX(PM_Subcategory,MATCH($B376,PM_ID,0)),""))</f>
        <v/>
      </c>
      <c r="F376" s="8">
        <f>IF($B376="","",IFERROR(INDEX(PM_Brand,MATCH($B376,PM_ID,0)),""))</f>
        <v/>
      </c>
      <c r="G376" s="8">
        <f>IF($B376="","",IFERROR(INDEX(PM_Model,MATCH($B376,PM_ID,0)),""))</f>
        <v/>
      </c>
      <c r="H376" s="5" t="n"/>
      <c r="I376" s="10" t="n"/>
      <c r="J376" s="9" t="n"/>
      <c r="K376" s="5" t="n"/>
      <c r="L376" s="5" t="n"/>
      <c r="M376" s="5" t="n"/>
      <c r="N376" s="5" t="n"/>
      <c r="O376" s="8">
        <f>IF($B376="","",IF(AND($A376&lt;&gt;"",COUNTIF(INV_ID,$A376)&gt;1),"⚠ this Unit ID already exists",IF(AND($H376&lt;&gt;"",COUNTIF(INV_Serial,$H376)&gt;1),"⚠ this serial already exists",IF(COUNTIFS(INV_Product,$B376,INV_No,$C376)&gt;1,"⚠ piece number reused",""))))</f>
        <v/>
      </c>
      <c r="P376" s="5" t="n"/>
    </row>
    <row r="377">
      <c r="A377" s="8">
        <f>IF(OR($B377="",$C377=""),"",IFERROR(INDEX(PM_Short,MATCH($B377,PM_ID,0))&amp;"-"&amp;TEXT($C377,"00"),"?? no such product"))</f>
        <v/>
      </c>
      <c r="B377" s="5" t="n"/>
      <c r="C377" s="5" t="n"/>
      <c r="D377" s="8">
        <f>IF($B377="","",IFERROR(INDEX(PM_Category,MATCH($B377,PM_ID,0)),""))</f>
        <v/>
      </c>
      <c r="E377" s="8">
        <f>IF($B377="","",IFERROR(INDEX(PM_Subcategory,MATCH($B377,PM_ID,0)),""))</f>
        <v/>
      </c>
      <c r="F377" s="8">
        <f>IF($B377="","",IFERROR(INDEX(PM_Brand,MATCH($B377,PM_ID,0)),""))</f>
        <v/>
      </c>
      <c r="G377" s="8">
        <f>IF($B377="","",IFERROR(INDEX(PM_Model,MATCH($B377,PM_ID,0)),""))</f>
        <v/>
      </c>
      <c r="H377" s="5" t="n"/>
      <c r="I377" s="10" t="n"/>
      <c r="J377" s="9" t="n"/>
      <c r="K377" s="5" t="n"/>
      <c r="L377" s="5" t="n"/>
      <c r="M377" s="5" t="n"/>
      <c r="N377" s="5" t="n"/>
      <c r="O377" s="8">
        <f>IF($B377="","",IF(AND($A377&lt;&gt;"",COUNTIF(INV_ID,$A377)&gt;1),"⚠ this Unit ID already exists",IF(AND($H377&lt;&gt;"",COUNTIF(INV_Serial,$H377)&gt;1),"⚠ this serial already exists",IF(COUNTIFS(INV_Product,$B377,INV_No,$C377)&gt;1,"⚠ piece number reused",""))))</f>
        <v/>
      </c>
      <c r="P377" s="5" t="n"/>
    </row>
    <row r="378">
      <c r="A378" s="8">
        <f>IF(OR($B378="",$C378=""),"",IFERROR(INDEX(PM_Short,MATCH($B378,PM_ID,0))&amp;"-"&amp;TEXT($C378,"00"),"?? no such product"))</f>
        <v/>
      </c>
      <c r="B378" s="5" t="n"/>
      <c r="C378" s="5" t="n"/>
      <c r="D378" s="8">
        <f>IF($B378="","",IFERROR(INDEX(PM_Category,MATCH($B378,PM_ID,0)),""))</f>
        <v/>
      </c>
      <c r="E378" s="8">
        <f>IF($B378="","",IFERROR(INDEX(PM_Subcategory,MATCH($B378,PM_ID,0)),""))</f>
        <v/>
      </c>
      <c r="F378" s="8">
        <f>IF($B378="","",IFERROR(INDEX(PM_Brand,MATCH($B378,PM_ID,0)),""))</f>
        <v/>
      </c>
      <c r="G378" s="8">
        <f>IF($B378="","",IFERROR(INDEX(PM_Model,MATCH($B378,PM_ID,0)),""))</f>
        <v/>
      </c>
      <c r="H378" s="5" t="n"/>
      <c r="I378" s="10" t="n"/>
      <c r="J378" s="9" t="n"/>
      <c r="K378" s="5" t="n"/>
      <c r="L378" s="5" t="n"/>
      <c r="M378" s="5" t="n"/>
      <c r="N378" s="5" t="n"/>
      <c r="O378" s="8">
        <f>IF($B378="","",IF(AND($A378&lt;&gt;"",COUNTIF(INV_ID,$A378)&gt;1),"⚠ this Unit ID already exists",IF(AND($H378&lt;&gt;"",COUNTIF(INV_Serial,$H378)&gt;1),"⚠ this serial already exists",IF(COUNTIFS(INV_Product,$B378,INV_No,$C378)&gt;1,"⚠ piece number reused",""))))</f>
        <v/>
      </c>
      <c r="P378" s="5" t="n"/>
    </row>
    <row r="379">
      <c r="A379" s="8">
        <f>IF(OR($B379="",$C379=""),"",IFERROR(INDEX(PM_Short,MATCH($B379,PM_ID,0))&amp;"-"&amp;TEXT($C379,"00"),"?? no such product"))</f>
        <v/>
      </c>
      <c r="B379" s="5" t="n"/>
      <c r="C379" s="5" t="n"/>
      <c r="D379" s="8">
        <f>IF($B379="","",IFERROR(INDEX(PM_Category,MATCH($B379,PM_ID,0)),""))</f>
        <v/>
      </c>
      <c r="E379" s="8">
        <f>IF($B379="","",IFERROR(INDEX(PM_Subcategory,MATCH($B379,PM_ID,0)),""))</f>
        <v/>
      </c>
      <c r="F379" s="8">
        <f>IF($B379="","",IFERROR(INDEX(PM_Brand,MATCH($B379,PM_ID,0)),""))</f>
        <v/>
      </c>
      <c r="G379" s="8">
        <f>IF($B379="","",IFERROR(INDEX(PM_Model,MATCH($B379,PM_ID,0)),""))</f>
        <v/>
      </c>
      <c r="H379" s="5" t="n"/>
      <c r="I379" s="10" t="n"/>
      <c r="J379" s="9" t="n"/>
      <c r="K379" s="5" t="n"/>
      <c r="L379" s="5" t="n"/>
      <c r="M379" s="5" t="n"/>
      <c r="N379" s="5" t="n"/>
      <c r="O379" s="8">
        <f>IF($B379="","",IF(AND($A379&lt;&gt;"",COUNTIF(INV_ID,$A379)&gt;1),"⚠ this Unit ID already exists",IF(AND($H379&lt;&gt;"",COUNTIF(INV_Serial,$H379)&gt;1),"⚠ this serial already exists",IF(COUNTIFS(INV_Product,$B379,INV_No,$C379)&gt;1,"⚠ piece number reused",""))))</f>
        <v/>
      </c>
      <c r="P379" s="5" t="n"/>
    </row>
    <row r="380">
      <c r="A380" s="8">
        <f>IF(OR($B380="",$C380=""),"",IFERROR(INDEX(PM_Short,MATCH($B380,PM_ID,0))&amp;"-"&amp;TEXT($C380,"00"),"?? no such product"))</f>
        <v/>
      </c>
      <c r="B380" s="5" t="n"/>
      <c r="C380" s="5" t="n"/>
      <c r="D380" s="8">
        <f>IF($B380="","",IFERROR(INDEX(PM_Category,MATCH($B380,PM_ID,0)),""))</f>
        <v/>
      </c>
      <c r="E380" s="8">
        <f>IF($B380="","",IFERROR(INDEX(PM_Subcategory,MATCH($B380,PM_ID,0)),""))</f>
        <v/>
      </c>
      <c r="F380" s="8">
        <f>IF($B380="","",IFERROR(INDEX(PM_Brand,MATCH($B380,PM_ID,0)),""))</f>
        <v/>
      </c>
      <c r="G380" s="8">
        <f>IF($B380="","",IFERROR(INDEX(PM_Model,MATCH($B380,PM_ID,0)),""))</f>
        <v/>
      </c>
      <c r="H380" s="5" t="n"/>
      <c r="I380" s="10" t="n"/>
      <c r="J380" s="9" t="n"/>
      <c r="K380" s="5" t="n"/>
      <c r="L380" s="5" t="n"/>
      <c r="M380" s="5" t="n"/>
      <c r="N380" s="5" t="n"/>
      <c r="O380" s="8">
        <f>IF($B380="","",IF(AND($A380&lt;&gt;"",COUNTIF(INV_ID,$A380)&gt;1),"⚠ this Unit ID already exists",IF(AND($H380&lt;&gt;"",COUNTIF(INV_Serial,$H380)&gt;1),"⚠ this serial already exists",IF(COUNTIFS(INV_Product,$B380,INV_No,$C380)&gt;1,"⚠ piece number reused",""))))</f>
        <v/>
      </c>
      <c r="P380" s="5" t="n"/>
    </row>
    <row r="381">
      <c r="A381" s="8">
        <f>IF(OR($B381="",$C381=""),"",IFERROR(INDEX(PM_Short,MATCH($B381,PM_ID,0))&amp;"-"&amp;TEXT($C381,"00"),"?? no such product"))</f>
        <v/>
      </c>
      <c r="B381" s="5" t="n"/>
      <c r="C381" s="5" t="n"/>
      <c r="D381" s="8">
        <f>IF($B381="","",IFERROR(INDEX(PM_Category,MATCH($B381,PM_ID,0)),""))</f>
        <v/>
      </c>
      <c r="E381" s="8">
        <f>IF($B381="","",IFERROR(INDEX(PM_Subcategory,MATCH($B381,PM_ID,0)),""))</f>
        <v/>
      </c>
      <c r="F381" s="8">
        <f>IF($B381="","",IFERROR(INDEX(PM_Brand,MATCH($B381,PM_ID,0)),""))</f>
        <v/>
      </c>
      <c r="G381" s="8">
        <f>IF($B381="","",IFERROR(INDEX(PM_Model,MATCH($B381,PM_ID,0)),""))</f>
        <v/>
      </c>
      <c r="H381" s="5" t="n"/>
      <c r="I381" s="10" t="n"/>
      <c r="J381" s="9" t="n"/>
      <c r="K381" s="5" t="n"/>
      <c r="L381" s="5" t="n"/>
      <c r="M381" s="5" t="n"/>
      <c r="N381" s="5" t="n"/>
      <c r="O381" s="8">
        <f>IF($B381="","",IF(AND($A381&lt;&gt;"",COUNTIF(INV_ID,$A381)&gt;1),"⚠ this Unit ID already exists",IF(AND($H381&lt;&gt;"",COUNTIF(INV_Serial,$H381)&gt;1),"⚠ this serial already exists",IF(COUNTIFS(INV_Product,$B381,INV_No,$C381)&gt;1,"⚠ piece number reused",""))))</f>
        <v/>
      </c>
      <c r="P381" s="5" t="n"/>
    </row>
    <row r="382">
      <c r="A382" s="8">
        <f>IF(OR($B382="",$C382=""),"",IFERROR(INDEX(PM_Short,MATCH($B382,PM_ID,0))&amp;"-"&amp;TEXT($C382,"00"),"?? no such product"))</f>
        <v/>
      </c>
      <c r="B382" s="5" t="n"/>
      <c r="C382" s="5" t="n"/>
      <c r="D382" s="8">
        <f>IF($B382="","",IFERROR(INDEX(PM_Category,MATCH($B382,PM_ID,0)),""))</f>
        <v/>
      </c>
      <c r="E382" s="8">
        <f>IF($B382="","",IFERROR(INDEX(PM_Subcategory,MATCH($B382,PM_ID,0)),""))</f>
        <v/>
      </c>
      <c r="F382" s="8">
        <f>IF($B382="","",IFERROR(INDEX(PM_Brand,MATCH($B382,PM_ID,0)),""))</f>
        <v/>
      </c>
      <c r="G382" s="8">
        <f>IF($B382="","",IFERROR(INDEX(PM_Model,MATCH($B382,PM_ID,0)),""))</f>
        <v/>
      </c>
      <c r="H382" s="5" t="n"/>
      <c r="I382" s="10" t="n"/>
      <c r="J382" s="9" t="n"/>
      <c r="K382" s="5" t="n"/>
      <c r="L382" s="5" t="n"/>
      <c r="M382" s="5" t="n"/>
      <c r="N382" s="5" t="n"/>
      <c r="O382" s="8">
        <f>IF($B382="","",IF(AND($A382&lt;&gt;"",COUNTIF(INV_ID,$A382)&gt;1),"⚠ this Unit ID already exists",IF(AND($H382&lt;&gt;"",COUNTIF(INV_Serial,$H382)&gt;1),"⚠ this serial already exists",IF(COUNTIFS(INV_Product,$B382,INV_No,$C382)&gt;1,"⚠ piece number reused",""))))</f>
        <v/>
      </c>
      <c r="P382" s="5" t="n"/>
    </row>
    <row r="383">
      <c r="A383" s="8">
        <f>IF(OR($B383="",$C383=""),"",IFERROR(INDEX(PM_Short,MATCH($B383,PM_ID,0))&amp;"-"&amp;TEXT($C383,"00"),"?? no such product"))</f>
        <v/>
      </c>
      <c r="B383" s="5" t="n"/>
      <c r="C383" s="5" t="n"/>
      <c r="D383" s="8">
        <f>IF($B383="","",IFERROR(INDEX(PM_Category,MATCH($B383,PM_ID,0)),""))</f>
        <v/>
      </c>
      <c r="E383" s="8">
        <f>IF($B383="","",IFERROR(INDEX(PM_Subcategory,MATCH($B383,PM_ID,0)),""))</f>
        <v/>
      </c>
      <c r="F383" s="8">
        <f>IF($B383="","",IFERROR(INDEX(PM_Brand,MATCH($B383,PM_ID,0)),""))</f>
        <v/>
      </c>
      <c r="G383" s="8">
        <f>IF($B383="","",IFERROR(INDEX(PM_Model,MATCH($B383,PM_ID,0)),""))</f>
        <v/>
      </c>
      <c r="H383" s="5" t="n"/>
      <c r="I383" s="10" t="n"/>
      <c r="J383" s="9" t="n"/>
      <c r="K383" s="5" t="n"/>
      <c r="L383" s="5" t="n"/>
      <c r="M383" s="5" t="n"/>
      <c r="N383" s="5" t="n"/>
      <c r="O383" s="8">
        <f>IF($B383="","",IF(AND($A383&lt;&gt;"",COUNTIF(INV_ID,$A383)&gt;1),"⚠ this Unit ID already exists",IF(AND($H383&lt;&gt;"",COUNTIF(INV_Serial,$H383)&gt;1),"⚠ this serial already exists",IF(COUNTIFS(INV_Product,$B383,INV_No,$C383)&gt;1,"⚠ piece number reused",""))))</f>
        <v/>
      </c>
      <c r="P383" s="5" t="n"/>
    </row>
    <row r="384">
      <c r="A384" s="8">
        <f>IF(OR($B384="",$C384=""),"",IFERROR(INDEX(PM_Short,MATCH($B384,PM_ID,0))&amp;"-"&amp;TEXT($C384,"00"),"?? no such product"))</f>
        <v/>
      </c>
      <c r="B384" s="5" t="n"/>
      <c r="C384" s="5" t="n"/>
      <c r="D384" s="8">
        <f>IF($B384="","",IFERROR(INDEX(PM_Category,MATCH($B384,PM_ID,0)),""))</f>
        <v/>
      </c>
      <c r="E384" s="8">
        <f>IF($B384="","",IFERROR(INDEX(PM_Subcategory,MATCH($B384,PM_ID,0)),""))</f>
        <v/>
      </c>
      <c r="F384" s="8">
        <f>IF($B384="","",IFERROR(INDEX(PM_Brand,MATCH($B384,PM_ID,0)),""))</f>
        <v/>
      </c>
      <c r="G384" s="8">
        <f>IF($B384="","",IFERROR(INDEX(PM_Model,MATCH($B384,PM_ID,0)),""))</f>
        <v/>
      </c>
      <c r="H384" s="5" t="n"/>
      <c r="I384" s="10" t="n"/>
      <c r="J384" s="9" t="n"/>
      <c r="K384" s="5" t="n"/>
      <c r="L384" s="5" t="n"/>
      <c r="M384" s="5" t="n"/>
      <c r="N384" s="5" t="n"/>
      <c r="O384" s="8">
        <f>IF($B384="","",IF(AND($A384&lt;&gt;"",COUNTIF(INV_ID,$A384)&gt;1),"⚠ this Unit ID already exists",IF(AND($H384&lt;&gt;"",COUNTIF(INV_Serial,$H384)&gt;1),"⚠ this serial already exists",IF(COUNTIFS(INV_Product,$B384,INV_No,$C384)&gt;1,"⚠ piece number reused",""))))</f>
        <v/>
      </c>
      <c r="P384" s="5" t="n"/>
    </row>
    <row r="385">
      <c r="A385" s="8">
        <f>IF(OR($B385="",$C385=""),"",IFERROR(INDEX(PM_Short,MATCH($B385,PM_ID,0))&amp;"-"&amp;TEXT($C385,"00"),"?? no such product"))</f>
        <v/>
      </c>
      <c r="B385" s="5" t="n"/>
      <c r="C385" s="5" t="n"/>
      <c r="D385" s="8">
        <f>IF($B385="","",IFERROR(INDEX(PM_Category,MATCH($B385,PM_ID,0)),""))</f>
        <v/>
      </c>
      <c r="E385" s="8">
        <f>IF($B385="","",IFERROR(INDEX(PM_Subcategory,MATCH($B385,PM_ID,0)),""))</f>
        <v/>
      </c>
      <c r="F385" s="8">
        <f>IF($B385="","",IFERROR(INDEX(PM_Brand,MATCH($B385,PM_ID,0)),""))</f>
        <v/>
      </c>
      <c r="G385" s="8">
        <f>IF($B385="","",IFERROR(INDEX(PM_Model,MATCH($B385,PM_ID,0)),""))</f>
        <v/>
      </c>
      <c r="H385" s="5" t="n"/>
      <c r="I385" s="10" t="n"/>
      <c r="J385" s="9" t="n"/>
      <c r="K385" s="5" t="n"/>
      <c r="L385" s="5" t="n"/>
      <c r="M385" s="5" t="n"/>
      <c r="N385" s="5" t="n"/>
      <c r="O385" s="8">
        <f>IF($B385="","",IF(AND($A385&lt;&gt;"",COUNTIF(INV_ID,$A385)&gt;1),"⚠ this Unit ID already exists",IF(AND($H385&lt;&gt;"",COUNTIF(INV_Serial,$H385)&gt;1),"⚠ this serial already exists",IF(COUNTIFS(INV_Product,$B385,INV_No,$C385)&gt;1,"⚠ piece number reused",""))))</f>
        <v/>
      </c>
      <c r="P385" s="5" t="n"/>
    </row>
    <row r="386">
      <c r="A386" s="8">
        <f>IF(OR($B386="",$C386=""),"",IFERROR(INDEX(PM_Short,MATCH($B386,PM_ID,0))&amp;"-"&amp;TEXT($C386,"00"),"?? no such product"))</f>
        <v/>
      </c>
      <c r="B386" s="5" t="n"/>
      <c r="C386" s="5" t="n"/>
      <c r="D386" s="8">
        <f>IF($B386="","",IFERROR(INDEX(PM_Category,MATCH($B386,PM_ID,0)),""))</f>
        <v/>
      </c>
      <c r="E386" s="8">
        <f>IF($B386="","",IFERROR(INDEX(PM_Subcategory,MATCH($B386,PM_ID,0)),""))</f>
        <v/>
      </c>
      <c r="F386" s="8">
        <f>IF($B386="","",IFERROR(INDEX(PM_Brand,MATCH($B386,PM_ID,0)),""))</f>
        <v/>
      </c>
      <c r="G386" s="8">
        <f>IF($B386="","",IFERROR(INDEX(PM_Model,MATCH($B386,PM_ID,0)),""))</f>
        <v/>
      </c>
      <c r="H386" s="5" t="n"/>
      <c r="I386" s="10" t="n"/>
      <c r="J386" s="9" t="n"/>
      <c r="K386" s="5" t="n"/>
      <c r="L386" s="5" t="n"/>
      <c r="M386" s="5" t="n"/>
      <c r="N386" s="5" t="n"/>
      <c r="O386" s="8">
        <f>IF($B386="","",IF(AND($A386&lt;&gt;"",COUNTIF(INV_ID,$A386)&gt;1),"⚠ this Unit ID already exists",IF(AND($H386&lt;&gt;"",COUNTIF(INV_Serial,$H386)&gt;1),"⚠ this serial already exists",IF(COUNTIFS(INV_Product,$B386,INV_No,$C386)&gt;1,"⚠ piece number reused",""))))</f>
        <v/>
      </c>
      <c r="P386" s="5" t="n"/>
    </row>
    <row r="387">
      <c r="A387" s="8">
        <f>IF(OR($B387="",$C387=""),"",IFERROR(INDEX(PM_Short,MATCH($B387,PM_ID,0))&amp;"-"&amp;TEXT($C387,"00"),"?? no such product"))</f>
        <v/>
      </c>
      <c r="B387" s="5" t="n"/>
      <c r="C387" s="5" t="n"/>
      <c r="D387" s="8">
        <f>IF($B387="","",IFERROR(INDEX(PM_Category,MATCH($B387,PM_ID,0)),""))</f>
        <v/>
      </c>
      <c r="E387" s="8">
        <f>IF($B387="","",IFERROR(INDEX(PM_Subcategory,MATCH($B387,PM_ID,0)),""))</f>
        <v/>
      </c>
      <c r="F387" s="8">
        <f>IF($B387="","",IFERROR(INDEX(PM_Brand,MATCH($B387,PM_ID,0)),""))</f>
        <v/>
      </c>
      <c r="G387" s="8">
        <f>IF($B387="","",IFERROR(INDEX(PM_Model,MATCH($B387,PM_ID,0)),""))</f>
        <v/>
      </c>
      <c r="H387" s="5" t="n"/>
      <c r="I387" s="10" t="n"/>
      <c r="J387" s="9" t="n"/>
      <c r="K387" s="5" t="n"/>
      <c r="L387" s="5" t="n"/>
      <c r="M387" s="5" t="n"/>
      <c r="N387" s="5" t="n"/>
      <c r="O387" s="8">
        <f>IF($B387="","",IF(AND($A387&lt;&gt;"",COUNTIF(INV_ID,$A387)&gt;1),"⚠ this Unit ID already exists",IF(AND($H387&lt;&gt;"",COUNTIF(INV_Serial,$H387)&gt;1),"⚠ this serial already exists",IF(COUNTIFS(INV_Product,$B387,INV_No,$C387)&gt;1,"⚠ piece number reused",""))))</f>
        <v/>
      </c>
      <c r="P387" s="5" t="n"/>
    </row>
    <row r="388">
      <c r="A388" s="8">
        <f>IF(OR($B388="",$C388=""),"",IFERROR(INDEX(PM_Short,MATCH($B388,PM_ID,0))&amp;"-"&amp;TEXT($C388,"00"),"?? no such product"))</f>
        <v/>
      </c>
      <c r="B388" s="5" t="n"/>
      <c r="C388" s="5" t="n"/>
      <c r="D388" s="8">
        <f>IF($B388="","",IFERROR(INDEX(PM_Category,MATCH($B388,PM_ID,0)),""))</f>
        <v/>
      </c>
      <c r="E388" s="8">
        <f>IF($B388="","",IFERROR(INDEX(PM_Subcategory,MATCH($B388,PM_ID,0)),""))</f>
        <v/>
      </c>
      <c r="F388" s="8">
        <f>IF($B388="","",IFERROR(INDEX(PM_Brand,MATCH($B388,PM_ID,0)),""))</f>
        <v/>
      </c>
      <c r="G388" s="8">
        <f>IF($B388="","",IFERROR(INDEX(PM_Model,MATCH($B388,PM_ID,0)),""))</f>
        <v/>
      </c>
      <c r="H388" s="5" t="n"/>
      <c r="I388" s="10" t="n"/>
      <c r="J388" s="9" t="n"/>
      <c r="K388" s="5" t="n"/>
      <c r="L388" s="5" t="n"/>
      <c r="M388" s="5" t="n"/>
      <c r="N388" s="5" t="n"/>
      <c r="O388" s="8">
        <f>IF($B388="","",IF(AND($A388&lt;&gt;"",COUNTIF(INV_ID,$A388)&gt;1),"⚠ this Unit ID already exists",IF(AND($H388&lt;&gt;"",COUNTIF(INV_Serial,$H388)&gt;1),"⚠ this serial already exists",IF(COUNTIFS(INV_Product,$B388,INV_No,$C388)&gt;1,"⚠ piece number reused",""))))</f>
        <v/>
      </c>
      <c r="P388" s="5" t="n"/>
    </row>
    <row r="389">
      <c r="A389" s="8">
        <f>IF(OR($B389="",$C389=""),"",IFERROR(INDEX(PM_Short,MATCH($B389,PM_ID,0))&amp;"-"&amp;TEXT($C389,"00"),"?? no such product"))</f>
        <v/>
      </c>
      <c r="B389" s="5" t="n"/>
      <c r="C389" s="5" t="n"/>
      <c r="D389" s="8">
        <f>IF($B389="","",IFERROR(INDEX(PM_Category,MATCH($B389,PM_ID,0)),""))</f>
        <v/>
      </c>
      <c r="E389" s="8">
        <f>IF($B389="","",IFERROR(INDEX(PM_Subcategory,MATCH($B389,PM_ID,0)),""))</f>
        <v/>
      </c>
      <c r="F389" s="8">
        <f>IF($B389="","",IFERROR(INDEX(PM_Brand,MATCH($B389,PM_ID,0)),""))</f>
        <v/>
      </c>
      <c r="G389" s="8">
        <f>IF($B389="","",IFERROR(INDEX(PM_Model,MATCH($B389,PM_ID,0)),""))</f>
        <v/>
      </c>
      <c r="H389" s="5" t="n"/>
      <c r="I389" s="10" t="n"/>
      <c r="J389" s="9" t="n"/>
      <c r="K389" s="5" t="n"/>
      <c r="L389" s="5" t="n"/>
      <c r="M389" s="5" t="n"/>
      <c r="N389" s="5" t="n"/>
      <c r="O389" s="8">
        <f>IF($B389="","",IF(AND($A389&lt;&gt;"",COUNTIF(INV_ID,$A389)&gt;1),"⚠ this Unit ID already exists",IF(AND($H389&lt;&gt;"",COUNTIF(INV_Serial,$H389)&gt;1),"⚠ this serial already exists",IF(COUNTIFS(INV_Product,$B389,INV_No,$C389)&gt;1,"⚠ piece number reused",""))))</f>
        <v/>
      </c>
      <c r="P389" s="5" t="n"/>
    </row>
    <row r="390">
      <c r="A390" s="8">
        <f>IF(OR($B390="",$C390=""),"",IFERROR(INDEX(PM_Short,MATCH($B390,PM_ID,0))&amp;"-"&amp;TEXT($C390,"00"),"?? no such product"))</f>
        <v/>
      </c>
      <c r="B390" s="5" t="n"/>
      <c r="C390" s="5" t="n"/>
      <c r="D390" s="8">
        <f>IF($B390="","",IFERROR(INDEX(PM_Category,MATCH($B390,PM_ID,0)),""))</f>
        <v/>
      </c>
      <c r="E390" s="8">
        <f>IF($B390="","",IFERROR(INDEX(PM_Subcategory,MATCH($B390,PM_ID,0)),""))</f>
        <v/>
      </c>
      <c r="F390" s="8">
        <f>IF($B390="","",IFERROR(INDEX(PM_Brand,MATCH($B390,PM_ID,0)),""))</f>
        <v/>
      </c>
      <c r="G390" s="8">
        <f>IF($B390="","",IFERROR(INDEX(PM_Model,MATCH($B390,PM_ID,0)),""))</f>
        <v/>
      </c>
      <c r="H390" s="5" t="n"/>
      <c r="I390" s="10" t="n"/>
      <c r="J390" s="9" t="n"/>
      <c r="K390" s="5" t="n"/>
      <c r="L390" s="5" t="n"/>
      <c r="M390" s="5" t="n"/>
      <c r="N390" s="5" t="n"/>
      <c r="O390" s="8">
        <f>IF($B390="","",IF(AND($A390&lt;&gt;"",COUNTIF(INV_ID,$A390)&gt;1),"⚠ this Unit ID already exists",IF(AND($H390&lt;&gt;"",COUNTIF(INV_Serial,$H390)&gt;1),"⚠ this serial already exists",IF(COUNTIFS(INV_Product,$B390,INV_No,$C390)&gt;1,"⚠ piece number reused",""))))</f>
        <v/>
      </c>
      <c r="P390" s="5" t="n"/>
    </row>
    <row r="391">
      <c r="A391" s="8">
        <f>IF(OR($B391="",$C391=""),"",IFERROR(INDEX(PM_Short,MATCH($B391,PM_ID,0))&amp;"-"&amp;TEXT($C391,"00"),"?? no such product"))</f>
        <v/>
      </c>
      <c r="B391" s="5" t="n"/>
      <c r="C391" s="5" t="n"/>
      <c r="D391" s="8">
        <f>IF($B391="","",IFERROR(INDEX(PM_Category,MATCH($B391,PM_ID,0)),""))</f>
        <v/>
      </c>
      <c r="E391" s="8">
        <f>IF($B391="","",IFERROR(INDEX(PM_Subcategory,MATCH($B391,PM_ID,0)),""))</f>
        <v/>
      </c>
      <c r="F391" s="8">
        <f>IF($B391="","",IFERROR(INDEX(PM_Brand,MATCH($B391,PM_ID,0)),""))</f>
        <v/>
      </c>
      <c r="G391" s="8">
        <f>IF($B391="","",IFERROR(INDEX(PM_Model,MATCH($B391,PM_ID,0)),""))</f>
        <v/>
      </c>
      <c r="H391" s="5" t="n"/>
      <c r="I391" s="10" t="n"/>
      <c r="J391" s="9" t="n"/>
      <c r="K391" s="5" t="n"/>
      <c r="L391" s="5" t="n"/>
      <c r="M391" s="5" t="n"/>
      <c r="N391" s="5" t="n"/>
      <c r="O391" s="8">
        <f>IF($B391="","",IF(AND($A391&lt;&gt;"",COUNTIF(INV_ID,$A391)&gt;1),"⚠ this Unit ID already exists",IF(AND($H391&lt;&gt;"",COUNTIF(INV_Serial,$H391)&gt;1),"⚠ this serial already exists",IF(COUNTIFS(INV_Product,$B391,INV_No,$C391)&gt;1,"⚠ piece number reused",""))))</f>
        <v/>
      </c>
      <c r="P391" s="5" t="n"/>
    </row>
    <row r="392">
      <c r="A392" s="8">
        <f>IF(OR($B392="",$C392=""),"",IFERROR(INDEX(PM_Short,MATCH($B392,PM_ID,0))&amp;"-"&amp;TEXT($C392,"00"),"?? no such product"))</f>
        <v/>
      </c>
      <c r="B392" s="5" t="n"/>
      <c r="C392" s="5" t="n"/>
      <c r="D392" s="8">
        <f>IF($B392="","",IFERROR(INDEX(PM_Category,MATCH($B392,PM_ID,0)),""))</f>
        <v/>
      </c>
      <c r="E392" s="8">
        <f>IF($B392="","",IFERROR(INDEX(PM_Subcategory,MATCH($B392,PM_ID,0)),""))</f>
        <v/>
      </c>
      <c r="F392" s="8">
        <f>IF($B392="","",IFERROR(INDEX(PM_Brand,MATCH($B392,PM_ID,0)),""))</f>
        <v/>
      </c>
      <c r="G392" s="8">
        <f>IF($B392="","",IFERROR(INDEX(PM_Model,MATCH($B392,PM_ID,0)),""))</f>
        <v/>
      </c>
      <c r="H392" s="5" t="n"/>
      <c r="I392" s="10" t="n"/>
      <c r="J392" s="9" t="n"/>
      <c r="K392" s="5" t="n"/>
      <c r="L392" s="5" t="n"/>
      <c r="M392" s="5" t="n"/>
      <c r="N392" s="5" t="n"/>
      <c r="O392" s="8">
        <f>IF($B392="","",IF(AND($A392&lt;&gt;"",COUNTIF(INV_ID,$A392)&gt;1),"⚠ this Unit ID already exists",IF(AND($H392&lt;&gt;"",COUNTIF(INV_Serial,$H392)&gt;1),"⚠ this serial already exists",IF(COUNTIFS(INV_Product,$B392,INV_No,$C392)&gt;1,"⚠ piece number reused",""))))</f>
        <v/>
      </c>
      <c r="P392" s="5" t="n"/>
    </row>
    <row r="393">
      <c r="A393" s="8">
        <f>IF(OR($B393="",$C393=""),"",IFERROR(INDEX(PM_Short,MATCH($B393,PM_ID,0))&amp;"-"&amp;TEXT($C393,"00"),"?? no such product"))</f>
        <v/>
      </c>
      <c r="B393" s="5" t="n"/>
      <c r="C393" s="5" t="n"/>
      <c r="D393" s="8">
        <f>IF($B393="","",IFERROR(INDEX(PM_Category,MATCH($B393,PM_ID,0)),""))</f>
        <v/>
      </c>
      <c r="E393" s="8">
        <f>IF($B393="","",IFERROR(INDEX(PM_Subcategory,MATCH($B393,PM_ID,0)),""))</f>
        <v/>
      </c>
      <c r="F393" s="8">
        <f>IF($B393="","",IFERROR(INDEX(PM_Brand,MATCH($B393,PM_ID,0)),""))</f>
        <v/>
      </c>
      <c r="G393" s="8">
        <f>IF($B393="","",IFERROR(INDEX(PM_Model,MATCH($B393,PM_ID,0)),""))</f>
        <v/>
      </c>
      <c r="H393" s="5" t="n"/>
      <c r="I393" s="10" t="n"/>
      <c r="J393" s="9" t="n"/>
      <c r="K393" s="5" t="n"/>
      <c r="L393" s="5" t="n"/>
      <c r="M393" s="5" t="n"/>
      <c r="N393" s="5" t="n"/>
      <c r="O393" s="8">
        <f>IF($B393="","",IF(AND($A393&lt;&gt;"",COUNTIF(INV_ID,$A393)&gt;1),"⚠ this Unit ID already exists",IF(AND($H393&lt;&gt;"",COUNTIF(INV_Serial,$H393)&gt;1),"⚠ this serial already exists",IF(COUNTIFS(INV_Product,$B393,INV_No,$C393)&gt;1,"⚠ piece number reused",""))))</f>
        <v/>
      </c>
      <c r="P393" s="5" t="n"/>
    </row>
    <row r="394">
      <c r="A394" s="8">
        <f>IF(OR($B394="",$C394=""),"",IFERROR(INDEX(PM_Short,MATCH($B394,PM_ID,0))&amp;"-"&amp;TEXT($C394,"00"),"?? no such product"))</f>
        <v/>
      </c>
      <c r="B394" s="5" t="n"/>
      <c r="C394" s="5" t="n"/>
      <c r="D394" s="8">
        <f>IF($B394="","",IFERROR(INDEX(PM_Category,MATCH($B394,PM_ID,0)),""))</f>
        <v/>
      </c>
      <c r="E394" s="8">
        <f>IF($B394="","",IFERROR(INDEX(PM_Subcategory,MATCH($B394,PM_ID,0)),""))</f>
        <v/>
      </c>
      <c r="F394" s="8">
        <f>IF($B394="","",IFERROR(INDEX(PM_Brand,MATCH($B394,PM_ID,0)),""))</f>
        <v/>
      </c>
      <c r="G394" s="8">
        <f>IF($B394="","",IFERROR(INDEX(PM_Model,MATCH($B394,PM_ID,0)),""))</f>
        <v/>
      </c>
      <c r="H394" s="5" t="n"/>
      <c r="I394" s="10" t="n"/>
      <c r="J394" s="9" t="n"/>
      <c r="K394" s="5" t="n"/>
      <c r="L394" s="5" t="n"/>
      <c r="M394" s="5" t="n"/>
      <c r="N394" s="5" t="n"/>
      <c r="O394" s="8">
        <f>IF($B394="","",IF(AND($A394&lt;&gt;"",COUNTIF(INV_ID,$A394)&gt;1),"⚠ this Unit ID already exists",IF(AND($H394&lt;&gt;"",COUNTIF(INV_Serial,$H394)&gt;1),"⚠ this serial already exists",IF(COUNTIFS(INV_Product,$B394,INV_No,$C394)&gt;1,"⚠ piece number reused",""))))</f>
        <v/>
      </c>
      <c r="P394" s="5" t="n"/>
    </row>
    <row r="395">
      <c r="A395" s="8">
        <f>IF(OR($B395="",$C395=""),"",IFERROR(INDEX(PM_Short,MATCH($B395,PM_ID,0))&amp;"-"&amp;TEXT($C395,"00"),"?? no such product"))</f>
        <v/>
      </c>
      <c r="B395" s="5" t="n"/>
      <c r="C395" s="5" t="n"/>
      <c r="D395" s="8">
        <f>IF($B395="","",IFERROR(INDEX(PM_Category,MATCH($B395,PM_ID,0)),""))</f>
        <v/>
      </c>
      <c r="E395" s="8">
        <f>IF($B395="","",IFERROR(INDEX(PM_Subcategory,MATCH($B395,PM_ID,0)),""))</f>
        <v/>
      </c>
      <c r="F395" s="8">
        <f>IF($B395="","",IFERROR(INDEX(PM_Brand,MATCH($B395,PM_ID,0)),""))</f>
        <v/>
      </c>
      <c r="G395" s="8">
        <f>IF($B395="","",IFERROR(INDEX(PM_Model,MATCH($B395,PM_ID,0)),""))</f>
        <v/>
      </c>
      <c r="H395" s="5" t="n"/>
      <c r="I395" s="10" t="n"/>
      <c r="J395" s="9" t="n"/>
      <c r="K395" s="5" t="n"/>
      <c r="L395" s="5" t="n"/>
      <c r="M395" s="5" t="n"/>
      <c r="N395" s="5" t="n"/>
      <c r="O395" s="8">
        <f>IF($B395="","",IF(AND($A395&lt;&gt;"",COUNTIF(INV_ID,$A395)&gt;1),"⚠ this Unit ID already exists",IF(AND($H395&lt;&gt;"",COUNTIF(INV_Serial,$H395)&gt;1),"⚠ this serial already exists",IF(COUNTIFS(INV_Product,$B395,INV_No,$C395)&gt;1,"⚠ piece number reused",""))))</f>
        <v/>
      </c>
      <c r="P395" s="5" t="n"/>
    </row>
    <row r="396">
      <c r="A396" s="8">
        <f>IF(OR($B396="",$C396=""),"",IFERROR(INDEX(PM_Short,MATCH($B396,PM_ID,0))&amp;"-"&amp;TEXT($C396,"00"),"?? no such product"))</f>
        <v/>
      </c>
      <c r="B396" s="5" t="n"/>
      <c r="C396" s="5" t="n"/>
      <c r="D396" s="8">
        <f>IF($B396="","",IFERROR(INDEX(PM_Category,MATCH($B396,PM_ID,0)),""))</f>
        <v/>
      </c>
      <c r="E396" s="8">
        <f>IF($B396="","",IFERROR(INDEX(PM_Subcategory,MATCH($B396,PM_ID,0)),""))</f>
        <v/>
      </c>
      <c r="F396" s="8">
        <f>IF($B396="","",IFERROR(INDEX(PM_Brand,MATCH($B396,PM_ID,0)),""))</f>
        <v/>
      </c>
      <c r="G396" s="8">
        <f>IF($B396="","",IFERROR(INDEX(PM_Model,MATCH($B396,PM_ID,0)),""))</f>
        <v/>
      </c>
      <c r="H396" s="5" t="n"/>
      <c r="I396" s="10" t="n"/>
      <c r="J396" s="9" t="n"/>
      <c r="K396" s="5" t="n"/>
      <c r="L396" s="5" t="n"/>
      <c r="M396" s="5" t="n"/>
      <c r="N396" s="5" t="n"/>
      <c r="O396" s="8">
        <f>IF($B396="","",IF(AND($A396&lt;&gt;"",COUNTIF(INV_ID,$A396)&gt;1),"⚠ this Unit ID already exists",IF(AND($H396&lt;&gt;"",COUNTIF(INV_Serial,$H396)&gt;1),"⚠ this serial already exists",IF(COUNTIFS(INV_Product,$B396,INV_No,$C396)&gt;1,"⚠ piece number reused",""))))</f>
        <v/>
      </c>
      <c r="P396" s="5" t="n"/>
    </row>
    <row r="397">
      <c r="A397" s="8">
        <f>IF(OR($B397="",$C397=""),"",IFERROR(INDEX(PM_Short,MATCH($B397,PM_ID,0))&amp;"-"&amp;TEXT($C397,"00"),"?? no such product"))</f>
        <v/>
      </c>
      <c r="B397" s="5" t="n"/>
      <c r="C397" s="5" t="n"/>
      <c r="D397" s="8">
        <f>IF($B397="","",IFERROR(INDEX(PM_Category,MATCH($B397,PM_ID,0)),""))</f>
        <v/>
      </c>
      <c r="E397" s="8">
        <f>IF($B397="","",IFERROR(INDEX(PM_Subcategory,MATCH($B397,PM_ID,0)),""))</f>
        <v/>
      </c>
      <c r="F397" s="8">
        <f>IF($B397="","",IFERROR(INDEX(PM_Brand,MATCH($B397,PM_ID,0)),""))</f>
        <v/>
      </c>
      <c r="G397" s="8">
        <f>IF($B397="","",IFERROR(INDEX(PM_Model,MATCH($B397,PM_ID,0)),""))</f>
        <v/>
      </c>
      <c r="H397" s="5" t="n"/>
      <c r="I397" s="10" t="n"/>
      <c r="J397" s="9" t="n"/>
      <c r="K397" s="5" t="n"/>
      <c r="L397" s="5" t="n"/>
      <c r="M397" s="5" t="n"/>
      <c r="N397" s="5" t="n"/>
      <c r="O397" s="8">
        <f>IF($B397="","",IF(AND($A397&lt;&gt;"",COUNTIF(INV_ID,$A397)&gt;1),"⚠ this Unit ID already exists",IF(AND($H397&lt;&gt;"",COUNTIF(INV_Serial,$H397)&gt;1),"⚠ this serial already exists",IF(COUNTIFS(INV_Product,$B397,INV_No,$C397)&gt;1,"⚠ piece number reused",""))))</f>
        <v/>
      </c>
      <c r="P397" s="5" t="n"/>
    </row>
    <row r="398">
      <c r="A398" s="8">
        <f>IF(OR($B398="",$C398=""),"",IFERROR(INDEX(PM_Short,MATCH($B398,PM_ID,0))&amp;"-"&amp;TEXT($C398,"00"),"?? no such product"))</f>
        <v/>
      </c>
      <c r="B398" s="5" t="n"/>
      <c r="C398" s="5" t="n"/>
      <c r="D398" s="8">
        <f>IF($B398="","",IFERROR(INDEX(PM_Category,MATCH($B398,PM_ID,0)),""))</f>
        <v/>
      </c>
      <c r="E398" s="8">
        <f>IF($B398="","",IFERROR(INDEX(PM_Subcategory,MATCH($B398,PM_ID,0)),""))</f>
        <v/>
      </c>
      <c r="F398" s="8">
        <f>IF($B398="","",IFERROR(INDEX(PM_Brand,MATCH($B398,PM_ID,0)),""))</f>
        <v/>
      </c>
      <c r="G398" s="8">
        <f>IF($B398="","",IFERROR(INDEX(PM_Model,MATCH($B398,PM_ID,0)),""))</f>
        <v/>
      </c>
      <c r="H398" s="5" t="n"/>
      <c r="I398" s="10" t="n"/>
      <c r="J398" s="9" t="n"/>
      <c r="K398" s="5" t="n"/>
      <c r="L398" s="5" t="n"/>
      <c r="M398" s="5" t="n"/>
      <c r="N398" s="5" t="n"/>
      <c r="O398" s="8">
        <f>IF($B398="","",IF(AND($A398&lt;&gt;"",COUNTIF(INV_ID,$A398)&gt;1),"⚠ this Unit ID already exists",IF(AND($H398&lt;&gt;"",COUNTIF(INV_Serial,$H398)&gt;1),"⚠ this serial already exists",IF(COUNTIFS(INV_Product,$B398,INV_No,$C398)&gt;1,"⚠ piece number reused",""))))</f>
        <v/>
      </c>
      <c r="P398" s="5" t="n"/>
    </row>
    <row r="399">
      <c r="A399" s="8">
        <f>IF(OR($B399="",$C399=""),"",IFERROR(INDEX(PM_Short,MATCH($B399,PM_ID,0))&amp;"-"&amp;TEXT($C399,"00"),"?? no such product"))</f>
        <v/>
      </c>
      <c r="B399" s="5" t="n"/>
      <c r="C399" s="5" t="n"/>
      <c r="D399" s="8">
        <f>IF($B399="","",IFERROR(INDEX(PM_Category,MATCH($B399,PM_ID,0)),""))</f>
        <v/>
      </c>
      <c r="E399" s="8">
        <f>IF($B399="","",IFERROR(INDEX(PM_Subcategory,MATCH($B399,PM_ID,0)),""))</f>
        <v/>
      </c>
      <c r="F399" s="8">
        <f>IF($B399="","",IFERROR(INDEX(PM_Brand,MATCH($B399,PM_ID,0)),""))</f>
        <v/>
      </c>
      <c r="G399" s="8">
        <f>IF($B399="","",IFERROR(INDEX(PM_Model,MATCH($B399,PM_ID,0)),""))</f>
        <v/>
      </c>
      <c r="H399" s="5" t="n"/>
      <c r="I399" s="10" t="n"/>
      <c r="J399" s="9" t="n"/>
      <c r="K399" s="5" t="n"/>
      <c r="L399" s="5" t="n"/>
      <c r="M399" s="5" t="n"/>
      <c r="N399" s="5" t="n"/>
      <c r="O399" s="8">
        <f>IF($B399="","",IF(AND($A399&lt;&gt;"",COUNTIF(INV_ID,$A399)&gt;1),"⚠ this Unit ID already exists",IF(AND($H399&lt;&gt;"",COUNTIF(INV_Serial,$H399)&gt;1),"⚠ this serial already exists",IF(COUNTIFS(INV_Product,$B399,INV_No,$C399)&gt;1,"⚠ piece number reused",""))))</f>
        <v/>
      </c>
      <c r="P399" s="5" t="n"/>
    </row>
    <row r="400">
      <c r="A400" s="8">
        <f>IF(OR($B400="",$C400=""),"",IFERROR(INDEX(PM_Short,MATCH($B400,PM_ID,0))&amp;"-"&amp;TEXT($C400,"00"),"?? no such product"))</f>
        <v/>
      </c>
      <c r="B400" s="5" t="n"/>
      <c r="C400" s="5" t="n"/>
      <c r="D400" s="8">
        <f>IF($B400="","",IFERROR(INDEX(PM_Category,MATCH($B400,PM_ID,0)),""))</f>
        <v/>
      </c>
      <c r="E400" s="8">
        <f>IF($B400="","",IFERROR(INDEX(PM_Subcategory,MATCH($B400,PM_ID,0)),""))</f>
        <v/>
      </c>
      <c r="F400" s="8">
        <f>IF($B400="","",IFERROR(INDEX(PM_Brand,MATCH($B400,PM_ID,0)),""))</f>
        <v/>
      </c>
      <c r="G400" s="8">
        <f>IF($B400="","",IFERROR(INDEX(PM_Model,MATCH($B400,PM_ID,0)),""))</f>
        <v/>
      </c>
      <c r="H400" s="5" t="n"/>
      <c r="I400" s="10" t="n"/>
      <c r="J400" s="9" t="n"/>
      <c r="K400" s="5" t="n"/>
      <c r="L400" s="5" t="n"/>
      <c r="M400" s="5" t="n"/>
      <c r="N400" s="5" t="n"/>
      <c r="O400" s="8">
        <f>IF($B400="","",IF(AND($A400&lt;&gt;"",COUNTIF(INV_ID,$A400)&gt;1),"⚠ this Unit ID already exists",IF(AND($H400&lt;&gt;"",COUNTIF(INV_Serial,$H400)&gt;1),"⚠ this serial already exists",IF(COUNTIFS(INV_Product,$B400,INV_No,$C400)&gt;1,"⚠ piece number reused",""))))</f>
        <v/>
      </c>
      <c r="P400" s="5" t="n"/>
    </row>
    <row r="401">
      <c r="A401" s="8">
        <f>IF(OR($B401="",$C401=""),"",IFERROR(INDEX(PM_Short,MATCH($B401,PM_ID,0))&amp;"-"&amp;TEXT($C401,"00"),"?? no such product"))</f>
        <v/>
      </c>
      <c r="B401" s="5" t="n"/>
      <c r="C401" s="5" t="n"/>
      <c r="D401" s="8">
        <f>IF($B401="","",IFERROR(INDEX(PM_Category,MATCH($B401,PM_ID,0)),""))</f>
        <v/>
      </c>
      <c r="E401" s="8">
        <f>IF($B401="","",IFERROR(INDEX(PM_Subcategory,MATCH($B401,PM_ID,0)),""))</f>
        <v/>
      </c>
      <c r="F401" s="8">
        <f>IF($B401="","",IFERROR(INDEX(PM_Brand,MATCH($B401,PM_ID,0)),""))</f>
        <v/>
      </c>
      <c r="G401" s="8">
        <f>IF($B401="","",IFERROR(INDEX(PM_Model,MATCH($B401,PM_ID,0)),""))</f>
        <v/>
      </c>
      <c r="H401" s="5" t="n"/>
      <c r="I401" s="10" t="n"/>
      <c r="J401" s="9" t="n"/>
      <c r="K401" s="5" t="n"/>
      <c r="L401" s="5" t="n"/>
      <c r="M401" s="5" t="n"/>
      <c r="N401" s="5" t="n"/>
      <c r="O401" s="8">
        <f>IF($B401="","",IF(AND($A401&lt;&gt;"",COUNTIF(INV_ID,$A401)&gt;1),"⚠ this Unit ID already exists",IF(AND($H401&lt;&gt;"",COUNTIF(INV_Serial,$H401)&gt;1),"⚠ this serial already exists",IF(COUNTIFS(INV_Product,$B401,INV_No,$C401)&gt;1,"⚠ piece number reused",""))))</f>
        <v/>
      </c>
      <c r="P401" s="5" t="n"/>
    </row>
    <row r="402">
      <c r="A402" s="8">
        <f>IF(OR($B402="",$C402=""),"",IFERROR(INDEX(PM_Short,MATCH($B402,PM_ID,0))&amp;"-"&amp;TEXT($C402,"00"),"?? no such product"))</f>
        <v/>
      </c>
      <c r="B402" s="5" t="n"/>
      <c r="C402" s="5" t="n"/>
      <c r="D402" s="8">
        <f>IF($B402="","",IFERROR(INDEX(PM_Category,MATCH($B402,PM_ID,0)),""))</f>
        <v/>
      </c>
      <c r="E402" s="8">
        <f>IF($B402="","",IFERROR(INDEX(PM_Subcategory,MATCH($B402,PM_ID,0)),""))</f>
        <v/>
      </c>
      <c r="F402" s="8">
        <f>IF($B402="","",IFERROR(INDEX(PM_Brand,MATCH($B402,PM_ID,0)),""))</f>
        <v/>
      </c>
      <c r="G402" s="8">
        <f>IF($B402="","",IFERROR(INDEX(PM_Model,MATCH($B402,PM_ID,0)),""))</f>
        <v/>
      </c>
      <c r="H402" s="5" t="n"/>
      <c r="I402" s="10" t="n"/>
      <c r="J402" s="9" t="n"/>
      <c r="K402" s="5" t="n"/>
      <c r="L402" s="5" t="n"/>
      <c r="M402" s="5" t="n"/>
      <c r="N402" s="5" t="n"/>
      <c r="O402" s="8">
        <f>IF($B402="","",IF(AND($A402&lt;&gt;"",COUNTIF(INV_ID,$A402)&gt;1),"⚠ this Unit ID already exists",IF(AND($H402&lt;&gt;"",COUNTIF(INV_Serial,$H402)&gt;1),"⚠ this serial already exists",IF(COUNTIFS(INV_Product,$B402,INV_No,$C402)&gt;1,"⚠ piece number reused",""))))</f>
        <v/>
      </c>
      <c r="P402" s="5" t="n"/>
    </row>
    <row r="403">
      <c r="A403" s="8">
        <f>IF(OR($B403="",$C403=""),"",IFERROR(INDEX(PM_Short,MATCH($B403,PM_ID,0))&amp;"-"&amp;TEXT($C403,"00"),"?? no such product"))</f>
        <v/>
      </c>
      <c r="B403" s="5" t="n"/>
      <c r="C403" s="5" t="n"/>
      <c r="D403" s="8">
        <f>IF($B403="","",IFERROR(INDEX(PM_Category,MATCH($B403,PM_ID,0)),""))</f>
        <v/>
      </c>
      <c r="E403" s="8">
        <f>IF($B403="","",IFERROR(INDEX(PM_Subcategory,MATCH($B403,PM_ID,0)),""))</f>
        <v/>
      </c>
      <c r="F403" s="8">
        <f>IF($B403="","",IFERROR(INDEX(PM_Brand,MATCH($B403,PM_ID,0)),""))</f>
        <v/>
      </c>
      <c r="G403" s="8">
        <f>IF($B403="","",IFERROR(INDEX(PM_Model,MATCH($B403,PM_ID,0)),""))</f>
        <v/>
      </c>
      <c r="H403" s="5" t="n"/>
      <c r="I403" s="10" t="n"/>
      <c r="J403" s="9" t="n"/>
      <c r="K403" s="5" t="n"/>
      <c r="L403" s="5" t="n"/>
      <c r="M403" s="5" t="n"/>
      <c r="N403" s="5" t="n"/>
      <c r="O403" s="8">
        <f>IF($B403="","",IF(AND($A403&lt;&gt;"",COUNTIF(INV_ID,$A403)&gt;1),"⚠ this Unit ID already exists",IF(AND($H403&lt;&gt;"",COUNTIF(INV_Serial,$H403)&gt;1),"⚠ this serial already exists",IF(COUNTIFS(INV_Product,$B403,INV_No,$C403)&gt;1,"⚠ piece number reused",""))))</f>
        <v/>
      </c>
      <c r="P403" s="5" t="n"/>
    </row>
    <row r="404">
      <c r="A404" s="8">
        <f>IF(OR($B404="",$C404=""),"",IFERROR(INDEX(PM_Short,MATCH($B404,PM_ID,0))&amp;"-"&amp;TEXT($C404,"00"),"?? no such product"))</f>
        <v/>
      </c>
      <c r="B404" s="5" t="n"/>
      <c r="C404" s="5" t="n"/>
      <c r="D404" s="8">
        <f>IF($B404="","",IFERROR(INDEX(PM_Category,MATCH($B404,PM_ID,0)),""))</f>
        <v/>
      </c>
      <c r="E404" s="8">
        <f>IF($B404="","",IFERROR(INDEX(PM_Subcategory,MATCH($B404,PM_ID,0)),""))</f>
        <v/>
      </c>
      <c r="F404" s="8">
        <f>IF($B404="","",IFERROR(INDEX(PM_Brand,MATCH($B404,PM_ID,0)),""))</f>
        <v/>
      </c>
      <c r="G404" s="8">
        <f>IF($B404="","",IFERROR(INDEX(PM_Model,MATCH($B404,PM_ID,0)),""))</f>
        <v/>
      </c>
      <c r="H404" s="5" t="n"/>
      <c r="I404" s="10" t="n"/>
      <c r="J404" s="9" t="n"/>
      <c r="K404" s="5" t="n"/>
      <c r="L404" s="5" t="n"/>
      <c r="M404" s="5" t="n"/>
      <c r="N404" s="5" t="n"/>
      <c r="O404" s="8">
        <f>IF($B404="","",IF(AND($A404&lt;&gt;"",COUNTIF(INV_ID,$A404)&gt;1),"⚠ this Unit ID already exists",IF(AND($H404&lt;&gt;"",COUNTIF(INV_Serial,$H404)&gt;1),"⚠ this serial already exists",IF(COUNTIFS(INV_Product,$B404,INV_No,$C404)&gt;1,"⚠ piece number reused",""))))</f>
        <v/>
      </c>
      <c r="P404" s="5" t="n"/>
    </row>
    <row r="405">
      <c r="A405" s="8">
        <f>IF(OR($B405="",$C405=""),"",IFERROR(INDEX(PM_Short,MATCH($B405,PM_ID,0))&amp;"-"&amp;TEXT($C405,"00"),"?? no such product"))</f>
        <v/>
      </c>
      <c r="B405" s="5" t="n"/>
      <c r="C405" s="5" t="n"/>
      <c r="D405" s="8">
        <f>IF($B405="","",IFERROR(INDEX(PM_Category,MATCH($B405,PM_ID,0)),""))</f>
        <v/>
      </c>
      <c r="E405" s="8">
        <f>IF($B405="","",IFERROR(INDEX(PM_Subcategory,MATCH($B405,PM_ID,0)),""))</f>
        <v/>
      </c>
      <c r="F405" s="8">
        <f>IF($B405="","",IFERROR(INDEX(PM_Brand,MATCH($B405,PM_ID,0)),""))</f>
        <v/>
      </c>
      <c r="G405" s="8">
        <f>IF($B405="","",IFERROR(INDEX(PM_Model,MATCH($B405,PM_ID,0)),""))</f>
        <v/>
      </c>
      <c r="H405" s="5" t="n"/>
      <c r="I405" s="10" t="n"/>
      <c r="J405" s="9" t="n"/>
      <c r="K405" s="5" t="n"/>
      <c r="L405" s="5" t="n"/>
      <c r="M405" s="5" t="n"/>
      <c r="N405" s="5" t="n"/>
      <c r="O405" s="8">
        <f>IF($B405="","",IF(AND($A405&lt;&gt;"",COUNTIF(INV_ID,$A405)&gt;1),"⚠ this Unit ID already exists",IF(AND($H405&lt;&gt;"",COUNTIF(INV_Serial,$H405)&gt;1),"⚠ this serial already exists",IF(COUNTIFS(INV_Product,$B405,INV_No,$C405)&gt;1,"⚠ piece number reused",""))))</f>
        <v/>
      </c>
      <c r="P405" s="5" t="n"/>
    </row>
    <row r="406">
      <c r="A406" s="8">
        <f>IF(OR($B406="",$C406=""),"",IFERROR(INDEX(PM_Short,MATCH($B406,PM_ID,0))&amp;"-"&amp;TEXT($C406,"00"),"?? no such product"))</f>
        <v/>
      </c>
      <c r="B406" s="5" t="n"/>
      <c r="C406" s="5" t="n"/>
      <c r="D406" s="8">
        <f>IF($B406="","",IFERROR(INDEX(PM_Category,MATCH($B406,PM_ID,0)),""))</f>
        <v/>
      </c>
      <c r="E406" s="8">
        <f>IF($B406="","",IFERROR(INDEX(PM_Subcategory,MATCH($B406,PM_ID,0)),""))</f>
        <v/>
      </c>
      <c r="F406" s="8">
        <f>IF($B406="","",IFERROR(INDEX(PM_Brand,MATCH($B406,PM_ID,0)),""))</f>
        <v/>
      </c>
      <c r="G406" s="8">
        <f>IF($B406="","",IFERROR(INDEX(PM_Model,MATCH($B406,PM_ID,0)),""))</f>
        <v/>
      </c>
      <c r="H406" s="5" t="n"/>
      <c r="I406" s="10" t="n"/>
      <c r="J406" s="9" t="n"/>
      <c r="K406" s="5" t="n"/>
      <c r="L406" s="5" t="n"/>
      <c r="M406" s="5" t="n"/>
      <c r="N406" s="5" t="n"/>
      <c r="O406" s="8">
        <f>IF($B406="","",IF(AND($A406&lt;&gt;"",COUNTIF(INV_ID,$A406)&gt;1),"⚠ this Unit ID already exists",IF(AND($H406&lt;&gt;"",COUNTIF(INV_Serial,$H406)&gt;1),"⚠ this serial already exists",IF(COUNTIFS(INV_Product,$B406,INV_No,$C406)&gt;1,"⚠ piece number reused",""))))</f>
        <v/>
      </c>
      <c r="P406" s="5" t="n"/>
    </row>
    <row r="407">
      <c r="A407" s="8">
        <f>IF(OR($B407="",$C407=""),"",IFERROR(INDEX(PM_Short,MATCH($B407,PM_ID,0))&amp;"-"&amp;TEXT($C407,"00"),"?? no such product"))</f>
        <v/>
      </c>
      <c r="B407" s="5" t="n"/>
      <c r="C407" s="5" t="n"/>
      <c r="D407" s="8">
        <f>IF($B407="","",IFERROR(INDEX(PM_Category,MATCH($B407,PM_ID,0)),""))</f>
        <v/>
      </c>
      <c r="E407" s="8">
        <f>IF($B407="","",IFERROR(INDEX(PM_Subcategory,MATCH($B407,PM_ID,0)),""))</f>
        <v/>
      </c>
      <c r="F407" s="8">
        <f>IF($B407="","",IFERROR(INDEX(PM_Brand,MATCH($B407,PM_ID,0)),""))</f>
        <v/>
      </c>
      <c r="G407" s="8">
        <f>IF($B407="","",IFERROR(INDEX(PM_Model,MATCH($B407,PM_ID,0)),""))</f>
        <v/>
      </c>
      <c r="H407" s="5" t="n"/>
      <c r="I407" s="10" t="n"/>
      <c r="J407" s="9" t="n"/>
      <c r="K407" s="5" t="n"/>
      <c r="L407" s="5" t="n"/>
      <c r="M407" s="5" t="n"/>
      <c r="N407" s="5" t="n"/>
      <c r="O407" s="8">
        <f>IF($B407="","",IF(AND($A407&lt;&gt;"",COUNTIF(INV_ID,$A407)&gt;1),"⚠ this Unit ID already exists",IF(AND($H407&lt;&gt;"",COUNTIF(INV_Serial,$H407)&gt;1),"⚠ this serial already exists",IF(COUNTIFS(INV_Product,$B407,INV_No,$C407)&gt;1,"⚠ piece number reused",""))))</f>
        <v/>
      </c>
      <c r="P407" s="5" t="n"/>
    </row>
    <row r="408">
      <c r="A408" s="8">
        <f>IF(OR($B408="",$C408=""),"",IFERROR(INDEX(PM_Short,MATCH($B408,PM_ID,0))&amp;"-"&amp;TEXT($C408,"00"),"?? no such product"))</f>
        <v/>
      </c>
      <c r="B408" s="5" t="n"/>
      <c r="C408" s="5" t="n"/>
      <c r="D408" s="8">
        <f>IF($B408="","",IFERROR(INDEX(PM_Category,MATCH($B408,PM_ID,0)),""))</f>
        <v/>
      </c>
      <c r="E408" s="8">
        <f>IF($B408="","",IFERROR(INDEX(PM_Subcategory,MATCH($B408,PM_ID,0)),""))</f>
        <v/>
      </c>
      <c r="F408" s="8">
        <f>IF($B408="","",IFERROR(INDEX(PM_Brand,MATCH($B408,PM_ID,0)),""))</f>
        <v/>
      </c>
      <c r="G408" s="8">
        <f>IF($B408="","",IFERROR(INDEX(PM_Model,MATCH($B408,PM_ID,0)),""))</f>
        <v/>
      </c>
      <c r="H408" s="5" t="n"/>
      <c r="I408" s="10" t="n"/>
      <c r="J408" s="9" t="n"/>
      <c r="K408" s="5" t="n"/>
      <c r="L408" s="5" t="n"/>
      <c r="M408" s="5" t="n"/>
      <c r="N408" s="5" t="n"/>
      <c r="O408" s="8">
        <f>IF($B408="","",IF(AND($A408&lt;&gt;"",COUNTIF(INV_ID,$A408)&gt;1),"⚠ this Unit ID already exists",IF(AND($H408&lt;&gt;"",COUNTIF(INV_Serial,$H408)&gt;1),"⚠ this serial already exists",IF(COUNTIFS(INV_Product,$B408,INV_No,$C408)&gt;1,"⚠ piece number reused",""))))</f>
        <v/>
      </c>
      <c r="P408" s="5" t="n"/>
    </row>
    <row r="409">
      <c r="A409" s="8">
        <f>IF(OR($B409="",$C409=""),"",IFERROR(INDEX(PM_Short,MATCH($B409,PM_ID,0))&amp;"-"&amp;TEXT($C409,"00"),"?? no such product"))</f>
        <v/>
      </c>
      <c r="B409" s="5" t="n"/>
      <c r="C409" s="5" t="n"/>
      <c r="D409" s="8">
        <f>IF($B409="","",IFERROR(INDEX(PM_Category,MATCH($B409,PM_ID,0)),""))</f>
        <v/>
      </c>
      <c r="E409" s="8">
        <f>IF($B409="","",IFERROR(INDEX(PM_Subcategory,MATCH($B409,PM_ID,0)),""))</f>
        <v/>
      </c>
      <c r="F409" s="8">
        <f>IF($B409="","",IFERROR(INDEX(PM_Brand,MATCH($B409,PM_ID,0)),""))</f>
        <v/>
      </c>
      <c r="G409" s="8">
        <f>IF($B409="","",IFERROR(INDEX(PM_Model,MATCH($B409,PM_ID,0)),""))</f>
        <v/>
      </c>
      <c r="H409" s="5" t="n"/>
      <c r="I409" s="10" t="n"/>
      <c r="J409" s="9" t="n"/>
      <c r="K409" s="5" t="n"/>
      <c r="L409" s="5" t="n"/>
      <c r="M409" s="5" t="n"/>
      <c r="N409" s="5" t="n"/>
      <c r="O409" s="8">
        <f>IF($B409="","",IF(AND($A409&lt;&gt;"",COUNTIF(INV_ID,$A409)&gt;1),"⚠ this Unit ID already exists",IF(AND($H409&lt;&gt;"",COUNTIF(INV_Serial,$H409)&gt;1),"⚠ this serial already exists",IF(COUNTIFS(INV_Product,$B409,INV_No,$C409)&gt;1,"⚠ piece number reused",""))))</f>
        <v/>
      </c>
      <c r="P409" s="5" t="n"/>
    </row>
    <row r="410">
      <c r="A410" s="8">
        <f>IF(OR($B410="",$C410=""),"",IFERROR(INDEX(PM_Short,MATCH($B410,PM_ID,0))&amp;"-"&amp;TEXT($C410,"00"),"?? no such product"))</f>
        <v/>
      </c>
      <c r="B410" s="5" t="n"/>
      <c r="C410" s="5" t="n"/>
      <c r="D410" s="8">
        <f>IF($B410="","",IFERROR(INDEX(PM_Category,MATCH($B410,PM_ID,0)),""))</f>
        <v/>
      </c>
      <c r="E410" s="8">
        <f>IF($B410="","",IFERROR(INDEX(PM_Subcategory,MATCH($B410,PM_ID,0)),""))</f>
        <v/>
      </c>
      <c r="F410" s="8">
        <f>IF($B410="","",IFERROR(INDEX(PM_Brand,MATCH($B410,PM_ID,0)),""))</f>
        <v/>
      </c>
      <c r="G410" s="8">
        <f>IF($B410="","",IFERROR(INDEX(PM_Model,MATCH($B410,PM_ID,0)),""))</f>
        <v/>
      </c>
      <c r="H410" s="5" t="n"/>
      <c r="I410" s="10" t="n"/>
      <c r="J410" s="9" t="n"/>
      <c r="K410" s="5" t="n"/>
      <c r="L410" s="5" t="n"/>
      <c r="M410" s="5" t="n"/>
      <c r="N410" s="5" t="n"/>
      <c r="O410" s="8">
        <f>IF($B410="","",IF(AND($A410&lt;&gt;"",COUNTIF(INV_ID,$A410)&gt;1),"⚠ this Unit ID already exists",IF(AND($H410&lt;&gt;"",COUNTIF(INV_Serial,$H410)&gt;1),"⚠ this serial already exists",IF(COUNTIFS(INV_Product,$B410,INV_No,$C410)&gt;1,"⚠ piece number reused",""))))</f>
        <v/>
      </c>
      <c r="P410" s="5" t="n"/>
    </row>
    <row r="411">
      <c r="A411" s="8">
        <f>IF(OR($B411="",$C411=""),"",IFERROR(INDEX(PM_Short,MATCH($B411,PM_ID,0))&amp;"-"&amp;TEXT($C411,"00"),"?? no such product"))</f>
        <v/>
      </c>
      <c r="B411" s="5" t="n"/>
      <c r="C411" s="5" t="n"/>
      <c r="D411" s="8">
        <f>IF($B411="","",IFERROR(INDEX(PM_Category,MATCH($B411,PM_ID,0)),""))</f>
        <v/>
      </c>
      <c r="E411" s="8">
        <f>IF($B411="","",IFERROR(INDEX(PM_Subcategory,MATCH($B411,PM_ID,0)),""))</f>
        <v/>
      </c>
      <c r="F411" s="8">
        <f>IF($B411="","",IFERROR(INDEX(PM_Brand,MATCH($B411,PM_ID,0)),""))</f>
        <v/>
      </c>
      <c r="G411" s="8">
        <f>IF($B411="","",IFERROR(INDEX(PM_Model,MATCH($B411,PM_ID,0)),""))</f>
        <v/>
      </c>
      <c r="H411" s="5" t="n"/>
      <c r="I411" s="10" t="n"/>
      <c r="J411" s="9" t="n"/>
      <c r="K411" s="5" t="n"/>
      <c r="L411" s="5" t="n"/>
      <c r="M411" s="5" t="n"/>
      <c r="N411" s="5" t="n"/>
      <c r="O411" s="8">
        <f>IF($B411="","",IF(AND($A411&lt;&gt;"",COUNTIF(INV_ID,$A411)&gt;1),"⚠ this Unit ID already exists",IF(AND($H411&lt;&gt;"",COUNTIF(INV_Serial,$H411)&gt;1),"⚠ this serial already exists",IF(COUNTIFS(INV_Product,$B411,INV_No,$C411)&gt;1,"⚠ piece number reused",""))))</f>
        <v/>
      </c>
      <c r="P411" s="5" t="n"/>
    </row>
    <row r="412">
      <c r="A412" s="8">
        <f>IF(OR($B412="",$C412=""),"",IFERROR(INDEX(PM_Short,MATCH($B412,PM_ID,0))&amp;"-"&amp;TEXT($C412,"00"),"?? no such product"))</f>
        <v/>
      </c>
      <c r="B412" s="5" t="n"/>
      <c r="C412" s="5" t="n"/>
      <c r="D412" s="8">
        <f>IF($B412="","",IFERROR(INDEX(PM_Category,MATCH($B412,PM_ID,0)),""))</f>
        <v/>
      </c>
      <c r="E412" s="8">
        <f>IF($B412="","",IFERROR(INDEX(PM_Subcategory,MATCH($B412,PM_ID,0)),""))</f>
        <v/>
      </c>
      <c r="F412" s="8">
        <f>IF($B412="","",IFERROR(INDEX(PM_Brand,MATCH($B412,PM_ID,0)),""))</f>
        <v/>
      </c>
      <c r="G412" s="8">
        <f>IF($B412="","",IFERROR(INDEX(PM_Model,MATCH($B412,PM_ID,0)),""))</f>
        <v/>
      </c>
      <c r="H412" s="5" t="n"/>
      <c r="I412" s="10" t="n"/>
      <c r="J412" s="9" t="n"/>
      <c r="K412" s="5" t="n"/>
      <c r="L412" s="5" t="n"/>
      <c r="M412" s="5" t="n"/>
      <c r="N412" s="5" t="n"/>
      <c r="O412" s="8">
        <f>IF($B412="","",IF(AND($A412&lt;&gt;"",COUNTIF(INV_ID,$A412)&gt;1),"⚠ this Unit ID already exists",IF(AND($H412&lt;&gt;"",COUNTIF(INV_Serial,$H412)&gt;1),"⚠ this serial already exists",IF(COUNTIFS(INV_Product,$B412,INV_No,$C412)&gt;1,"⚠ piece number reused",""))))</f>
        <v/>
      </c>
      <c r="P412" s="5" t="n"/>
    </row>
    <row r="413">
      <c r="A413" s="8">
        <f>IF(OR($B413="",$C413=""),"",IFERROR(INDEX(PM_Short,MATCH($B413,PM_ID,0))&amp;"-"&amp;TEXT($C413,"00"),"?? no such product"))</f>
        <v/>
      </c>
      <c r="B413" s="5" t="n"/>
      <c r="C413" s="5" t="n"/>
      <c r="D413" s="8">
        <f>IF($B413="","",IFERROR(INDEX(PM_Category,MATCH($B413,PM_ID,0)),""))</f>
        <v/>
      </c>
      <c r="E413" s="8">
        <f>IF($B413="","",IFERROR(INDEX(PM_Subcategory,MATCH($B413,PM_ID,0)),""))</f>
        <v/>
      </c>
      <c r="F413" s="8">
        <f>IF($B413="","",IFERROR(INDEX(PM_Brand,MATCH($B413,PM_ID,0)),""))</f>
        <v/>
      </c>
      <c r="G413" s="8">
        <f>IF($B413="","",IFERROR(INDEX(PM_Model,MATCH($B413,PM_ID,0)),""))</f>
        <v/>
      </c>
      <c r="H413" s="5" t="n"/>
      <c r="I413" s="10" t="n"/>
      <c r="J413" s="9" t="n"/>
      <c r="K413" s="5" t="n"/>
      <c r="L413" s="5" t="n"/>
      <c r="M413" s="5" t="n"/>
      <c r="N413" s="5" t="n"/>
      <c r="O413" s="8">
        <f>IF($B413="","",IF(AND($A413&lt;&gt;"",COUNTIF(INV_ID,$A413)&gt;1),"⚠ this Unit ID already exists",IF(AND($H413&lt;&gt;"",COUNTIF(INV_Serial,$H413)&gt;1),"⚠ this serial already exists",IF(COUNTIFS(INV_Product,$B413,INV_No,$C413)&gt;1,"⚠ piece number reused",""))))</f>
        <v/>
      </c>
      <c r="P413" s="5" t="n"/>
    </row>
    <row r="414">
      <c r="A414" s="8">
        <f>IF(OR($B414="",$C414=""),"",IFERROR(INDEX(PM_Short,MATCH($B414,PM_ID,0))&amp;"-"&amp;TEXT($C414,"00"),"?? no such product"))</f>
        <v/>
      </c>
      <c r="B414" s="5" t="n"/>
      <c r="C414" s="5" t="n"/>
      <c r="D414" s="8">
        <f>IF($B414="","",IFERROR(INDEX(PM_Category,MATCH($B414,PM_ID,0)),""))</f>
        <v/>
      </c>
      <c r="E414" s="8">
        <f>IF($B414="","",IFERROR(INDEX(PM_Subcategory,MATCH($B414,PM_ID,0)),""))</f>
        <v/>
      </c>
      <c r="F414" s="8">
        <f>IF($B414="","",IFERROR(INDEX(PM_Brand,MATCH($B414,PM_ID,0)),""))</f>
        <v/>
      </c>
      <c r="G414" s="8">
        <f>IF($B414="","",IFERROR(INDEX(PM_Model,MATCH($B414,PM_ID,0)),""))</f>
        <v/>
      </c>
      <c r="H414" s="5" t="n"/>
      <c r="I414" s="10" t="n"/>
      <c r="J414" s="9" t="n"/>
      <c r="K414" s="5" t="n"/>
      <c r="L414" s="5" t="n"/>
      <c r="M414" s="5" t="n"/>
      <c r="N414" s="5" t="n"/>
      <c r="O414" s="8">
        <f>IF($B414="","",IF(AND($A414&lt;&gt;"",COUNTIF(INV_ID,$A414)&gt;1),"⚠ this Unit ID already exists",IF(AND($H414&lt;&gt;"",COUNTIF(INV_Serial,$H414)&gt;1),"⚠ this serial already exists",IF(COUNTIFS(INV_Product,$B414,INV_No,$C414)&gt;1,"⚠ piece number reused",""))))</f>
        <v/>
      </c>
      <c r="P414" s="5" t="n"/>
    </row>
    <row r="415">
      <c r="A415" s="8">
        <f>IF(OR($B415="",$C415=""),"",IFERROR(INDEX(PM_Short,MATCH($B415,PM_ID,0))&amp;"-"&amp;TEXT($C415,"00"),"?? no such product"))</f>
        <v/>
      </c>
      <c r="B415" s="5" t="n"/>
      <c r="C415" s="5" t="n"/>
      <c r="D415" s="8">
        <f>IF($B415="","",IFERROR(INDEX(PM_Category,MATCH($B415,PM_ID,0)),""))</f>
        <v/>
      </c>
      <c r="E415" s="8">
        <f>IF($B415="","",IFERROR(INDEX(PM_Subcategory,MATCH($B415,PM_ID,0)),""))</f>
        <v/>
      </c>
      <c r="F415" s="8">
        <f>IF($B415="","",IFERROR(INDEX(PM_Brand,MATCH($B415,PM_ID,0)),""))</f>
        <v/>
      </c>
      <c r="G415" s="8">
        <f>IF($B415="","",IFERROR(INDEX(PM_Model,MATCH($B415,PM_ID,0)),""))</f>
        <v/>
      </c>
      <c r="H415" s="5" t="n"/>
      <c r="I415" s="10" t="n"/>
      <c r="J415" s="9" t="n"/>
      <c r="K415" s="5" t="n"/>
      <c r="L415" s="5" t="n"/>
      <c r="M415" s="5" t="n"/>
      <c r="N415" s="5" t="n"/>
      <c r="O415" s="8">
        <f>IF($B415="","",IF(AND($A415&lt;&gt;"",COUNTIF(INV_ID,$A415)&gt;1),"⚠ this Unit ID already exists",IF(AND($H415&lt;&gt;"",COUNTIF(INV_Serial,$H415)&gt;1),"⚠ this serial already exists",IF(COUNTIFS(INV_Product,$B415,INV_No,$C415)&gt;1,"⚠ piece number reused",""))))</f>
        <v/>
      </c>
      <c r="P415" s="5" t="n"/>
    </row>
    <row r="416">
      <c r="A416" s="8">
        <f>IF(OR($B416="",$C416=""),"",IFERROR(INDEX(PM_Short,MATCH($B416,PM_ID,0))&amp;"-"&amp;TEXT($C416,"00"),"?? no such product"))</f>
        <v/>
      </c>
      <c r="B416" s="5" t="n"/>
      <c r="C416" s="5" t="n"/>
      <c r="D416" s="8">
        <f>IF($B416="","",IFERROR(INDEX(PM_Category,MATCH($B416,PM_ID,0)),""))</f>
        <v/>
      </c>
      <c r="E416" s="8">
        <f>IF($B416="","",IFERROR(INDEX(PM_Subcategory,MATCH($B416,PM_ID,0)),""))</f>
        <v/>
      </c>
      <c r="F416" s="8">
        <f>IF($B416="","",IFERROR(INDEX(PM_Brand,MATCH($B416,PM_ID,0)),""))</f>
        <v/>
      </c>
      <c r="G416" s="8">
        <f>IF($B416="","",IFERROR(INDEX(PM_Model,MATCH($B416,PM_ID,0)),""))</f>
        <v/>
      </c>
      <c r="H416" s="5" t="n"/>
      <c r="I416" s="10" t="n"/>
      <c r="J416" s="9" t="n"/>
      <c r="K416" s="5" t="n"/>
      <c r="L416" s="5" t="n"/>
      <c r="M416" s="5" t="n"/>
      <c r="N416" s="5" t="n"/>
      <c r="O416" s="8">
        <f>IF($B416="","",IF(AND($A416&lt;&gt;"",COUNTIF(INV_ID,$A416)&gt;1),"⚠ this Unit ID already exists",IF(AND($H416&lt;&gt;"",COUNTIF(INV_Serial,$H416)&gt;1),"⚠ this serial already exists",IF(COUNTIFS(INV_Product,$B416,INV_No,$C416)&gt;1,"⚠ piece number reused",""))))</f>
        <v/>
      </c>
      <c r="P416" s="5" t="n"/>
    </row>
    <row r="417">
      <c r="A417" s="8">
        <f>IF(OR($B417="",$C417=""),"",IFERROR(INDEX(PM_Short,MATCH($B417,PM_ID,0))&amp;"-"&amp;TEXT($C417,"00"),"?? no such product"))</f>
        <v/>
      </c>
      <c r="B417" s="5" t="n"/>
      <c r="C417" s="5" t="n"/>
      <c r="D417" s="8">
        <f>IF($B417="","",IFERROR(INDEX(PM_Category,MATCH($B417,PM_ID,0)),""))</f>
        <v/>
      </c>
      <c r="E417" s="8">
        <f>IF($B417="","",IFERROR(INDEX(PM_Subcategory,MATCH($B417,PM_ID,0)),""))</f>
        <v/>
      </c>
      <c r="F417" s="8">
        <f>IF($B417="","",IFERROR(INDEX(PM_Brand,MATCH($B417,PM_ID,0)),""))</f>
        <v/>
      </c>
      <c r="G417" s="8">
        <f>IF($B417="","",IFERROR(INDEX(PM_Model,MATCH($B417,PM_ID,0)),""))</f>
        <v/>
      </c>
      <c r="H417" s="5" t="n"/>
      <c r="I417" s="10" t="n"/>
      <c r="J417" s="9" t="n"/>
      <c r="K417" s="5" t="n"/>
      <c r="L417" s="5" t="n"/>
      <c r="M417" s="5" t="n"/>
      <c r="N417" s="5" t="n"/>
      <c r="O417" s="8">
        <f>IF($B417="","",IF(AND($A417&lt;&gt;"",COUNTIF(INV_ID,$A417)&gt;1),"⚠ this Unit ID already exists",IF(AND($H417&lt;&gt;"",COUNTIF(INV_Serial,$H417)&gt;1),"⚠ this serial already exists",IF(COUNTIFS(INV_Product,$B417,INV_No,$C417)&gt;1,"⚠ piece number reused",""))))</f>
        <v/>
      </c>
      <c r="P417" s="5" t="n"/>
    </row>
    <row r="418">
      <c r="A418" s="8">
        <f>IF(OR($B418="",$C418=""),"",IFERROR(INDEX(PM_Short,MATCH($B418,PM_ID,0))&amp;"-"&amp;TEXT($C418,"00"),"?? no such product"))</f>
        <v/>
      </c>
      <c r="B418" s="5" t="n"/>
      <c r="C418" s="5" t="n"/>
      <c r="D418" s="8">
        <f>IF($B418="","",IFERROR(INDEX(PM_Category,MATCH($B418,PM_ID,0)),""))</f>
        <v/>
      </c>
      <c r="E418" s="8">
        <f>IF($B418="","",IFERROR(INDEX(PM_Subcategory,MATCH($B418,PM_ID,0)),""))</f>
        <v/>
      </c>
      <c r="F418" s="8">
        <f>IF($B418="","",IFERROR(INDEX(PM_Brand,MATCH($B418,PM_ID,0)),""))</f>
        <v/>
      </c>
      <c r="G418" s="8">
        <f>IF($B418="","",IFERROR(INDEX(PM_Model,MATCH($B418,PM_ID,0)),""))</f>
        <v/>
      </c>
      <c r="H418" s="5" t="n"/>
      <c r="I418" s="10" t="n"/>
      <c r="J418" s="9" t="n"/>
      <c r="K418" s="5" t="n"/>
      <c r="L418" s="5" t="n"/>
      <c r="M418" s="5" t="n"/>
      <c r="N418" s="5" t="n"/>
      <c r="O418" s="8">
        <f>IF($B418="","",IF(AND($A418&lt;&gt;"",COUNTIF(INV_ID,$A418)&gt;1),"⚠ this Unit ID already exists",IF(AND($H418&lt;&gt;"",COUNTIF(INV_Serial,$H418)&gt;1),"⚠ this serial already exists",IF(COUNTIFS(INV_Product,$B418,INV_No,$C418)&gt;1,"⚠ piece number reused",""))))</f>
        <v/>
      </c>
      <c r="P418" s="5" t="n"/>
    </row>
    <row r="419">
      <c r="A419" s="8">
        <f>IF(OR($B419="",$C419=""),"",IFERROR(INDEX(PM_Short,MATCH($B419,PM_ID,0))&amp;"-"&amp;TEXT($C419,"00"),"?? no such product"))</f>
        <v/>
      </c>
      <c r="B419" s="5" t="n"/>
      <c r="C419" s="5" t="n"/>
      <c r="D419" s="8">
        <f>IF($B419="","",IFERROR(INDEX(PM_Category,MATCH($B419,PM_ID,0)),""))</f>
        <v/>
      </c>
      <c r="E419" s="8">
        <f>IF($B419="","",IFERROR(INDEX(PM_Subcategory,MATCH($B419,PM_ID,0)),""))</f>
        <v/>
      </c>
      <c r="F419" s="8">
        <f>IF($B419="","",IFERROR(INDEX(PM_Brand,MATCH($B419,PM_ID,0)),""))</f>
        <v/>
      </c>
      <c r="G419" s="8">
        <f>IF($B419="","",IFERROR(INDEX(PM_Model,MATCH($B419,PM_ID,0)),""))</f>
        <v/>
      </c>
      <c r="H419" s="5" t="n"/>
      <c r="I419" s="10" t="n"/>
      <c r="J419" s="9" t="n"/>
      <c r="K419" s="5" t="n"/>
      <c r="L419" s="5" t="n"/>
      <c r="M419" s="5" t="n"/>
      <c r="N419" s="5" t="n"/>
      <c r="O419" s="8">
        <f>IF($B419="","",IF(AND($A419&lt;&gt;"",COUNTIF(INV_ID,$A419)&gt;1),"⚠ this Unit ID already exists",IF(AND($H419&lt;&gt;"",COUNTIF(INV_Serial,$H419)&gt;1),"⚠ this serial already exists",IF(COUNTIFS(INV_Product,$B419,INV_No,$C419)&gt;1,"⚠ piece number reused",""))))</f>
        <v/>
      </c>
      <c r="P419" s="5" t="n"/>
    </row>
    <row r="420">
      <c r="A420" s="8">
        <f>IF(OR($B420="",$C420=""),"",IFERROR(INDEX(PM_Short,MATCH($B420,PM_ID,0))&amp;"-"&amp;TEXT($C420,"00"),"?? no such product"))</f>
        <v/>
      </c>
      <c r="B420" s="5" t="n"/>
      <c r="C420" s="5" t="n"/>
      <c r="D420" s="8">
        <f>IF($B420="","",IFERROR(INDEX(PM_Category,MATCH($B420,PM_ID,0)),""))</f>
        <v/>
      </c>
      <c r="E420" s="8">
        <f>IF($B420="","",IFERROR(INDEX(PM_Subcategory,MATCH($B420,PM_ID,0)),""))</f>
        <v/>
      </c>
      <c r="F420" s="8">
        <f>IF($B420="","",IFERROR(INDEX(PM_Brand,MATCH($B420,PM_ID,0)),""))</f>
        <v/>
      </c>
      <c r="G420" s="8">
        <f>IF($B420="","",IFERROR(INDEX(PM_Model,MATCH($B420,PM_ID,0)),""))</f>
        <v/>
      </c>
      <c r="H420" s="5" t="n"/>
      <c r="I420" s="10" t="n"/>
      <c r="J420" s="9" t="n"/>
      <c r="K420" s="5" t="n"/>
      <c r="L420" s="5" t="n"/>
      <c r="M420" s="5" t="n"/>
      <c r="N420" s="5" t="n"/>
      <c r="O420" s="8">
        <f>IF($B420="","",IF(AND($A420&lt;&gt;"",COUNTIF(INV_ID,$A420)&gt;1),"⚠ this Unit ID already exists",IF(AND($H420&lt;&gt;"",COUNTIF(INV_Serial,$H420)&gt;1),"⚠ this serial already exists",IF(COUNTIFS(INV_Product,$B420,INV_No,$C420)&gt;1,"⚠ piece number reused",""))))</f>
        <v/>
      </c>
      <c r="P420" s="5" t="n"/>
    </row>
    <row r="421">
      <c r="A421" s="8">
        <f>IF(OR($B421="",$C421=""),"",IFERROR(INDEX(PM_Short,MATCH($B421,PM_ID,0))&amp;"-"&amp;TEXT($C421,"00"),"?? no such product"))</f>
        <v/>
      </c>
      <c r="B421" s="5" t="n"/>
      <c r="C421" s="5" t="n"/>
      <c r="D421" s="8">
        <f>IF($B421="","",IFERROR(INDEX(PM_Category,MATCH($B421,PM_ID,0)),""))</f>
        <v/>
      </c>
      <c r="E421" s="8">
        <f>IF($B421="","",IFERROR(INDEX(PM_Subcategory,MATCH($B421,PM_ID,0)),""))</f>
        <v/>
      </c>
      <c r="F421" s="8">
        <f>IF($B421="","",IFERROR(INDEX(PM_Brand,MATCH($B421,PM_ID,0)),""))</f>
        <v/>
      </c>
      <c r="G421" s="8">
        <f>IF($B421="","",IFERROR(INDEX(PM_Model,MATCH($B421,PM_ID,0)),""))</f>
        <v/>
      </c>
      <c r="H421" s="5" t="n"/>
      <c r="I421" s="10" t="n"/>
      <c r="J421" s="9" t="n"/>
      <c r="K421" s="5" t="n"/>
      <c r="L421" s="5" t="n"/>
      <c r="M421" s="5" t="n"/>
      <c r="N421" s="5" t="n"/>
      <c r="O421" s="8">
        <f>IF($B421="","",IF(AND($A421&lt;&gt;"",COUNTIF(INV_ID,$A421)&gt;1),"⚠ this Unit ID already exists",IF(AND($H421&lt;&gt;"",COUNTIF(INV_Serial,$H421)&gt;1),"⚠ this serial already exists",IF(COUNTIFS(INV_Product,$B421,INV_No,$C421)&gt;1,"⚠ piece number reused",""))))</f>
        <v/>
      </c>
      <c r="P421" s="5" t="n"/>
    </row>
    <row r="422">
      <c r="A422" s="8">
        <f>IF(OR($B422="",$C422=""),"",IFERROR(INDEX(PM_Short,MATCH($B422,PM_ID,0))&amp;"-"&amp;TEXT($C422,"00"),"?? no such product"))</f>
        <v/>
      </c>
      <c r="B422" s="5" t="n"/>
      <c r="C422" s="5" t="n"/>
      <c r="D422" s="8">
        <f>IF($B422="","",IFERROR(INDEX(PM_Category,MATCH($B422,PM_ID,0)),""))</f>
        <v/>
      </c>
      <c r="E422" s="8">
        <f>IF($B422="","",IFERROR(INDEX(PM_Subcategory,MATCH($B422,PM_ID,0)),""))</f>
        <v/>
      </c>
      <c r="F422" s="8">
        <f>IF($B422="","",IFERROR(INDEX(PM_Brand,MATCH($B422,PM_ID,0)),""))</f>
        <v/>
      </c>
      <c r="G422" s="8">
        <f>IF($B422="","",IFERROR(INDEX(PM_Model,MATCH($B422,PM_ID,0)),""))</f>
        <v/>
      </c>
      <c r="H422" s="5" t="n"/>
      <c r="I422" s="10" t="n"/>
      <c r="J422" s="9" t="n"/>
      <c r="K422" s="5" t="n"/>
      <c r="L422" s="5" t="n"/>
      <c r="M422" s="5" t="n"/>
      <c r="N422" s="5" t="n"/>
      <c r="O422" s="8">
        <f>IF($B422="","",IF(AND($A422&lt;&gt;"",COUNTIF(INV_ID,$A422)&gt;1),"⚠ this Unit ID already exists",IF(AND($H422&lt;&gt;"",COUNTIF(INV_Serial,$H422)&gt;1),"⚠ this serial already exists",IF(COUNTIFS(INV_Product,$B422,INV_No,$C422)&gt;1,"⚠ piece number reused",""))))</f>
        <v/>
      </c>
      <c r="P422" s="5" t="n"/>
    </row>
    <row r="423">
      <c r="A423" s="8">
        <f>IF(OR($B423="",$C423=""),"",IFERROR(INDEX(PM_Short,MATCH($B423,PM_ID,0))&amp;"-"&amp;TEXT($C423,"00"),"?? no such product"))</f>
        <v/>
      </c>
      <c r="B423" s="5" t="n"/>
      <c r="C423" s="5" t="n"/>
      <c r="D423" s="8">
        <f>IF($B423="","",IFERROR(INDEX(PM_Category,MATCH($B423,PM_ID,0)),""))</f>
        <v/>
      </c>
      <c r="E423" s="8">
        <f>IF($B423="","",IFERROR(INDEX(PM_Subcategory,MATCH($B423,PM_ID,0)),""))</f>
        <v/>
      </c>
      <c r="F423" s="8">
        <f>IF($B423="","",IFERROR(INDEX(PM_Brand,MATCH($B423,PM_ID,0)),""))</f>
        <v/>
      </c>
      <c r="G423" s="8">
        <f>IF($B423="","",IFERROR(INDEX(PM_Model,MATCH($B423,PM_ID,0)),""))</f>
        <v/>
      </c>
      <c r="H423" s="5" t="n"/>
      <c r="I423" s="10" t="n"/>
      <c r="J423" s="9" t="n"/>
      <c r="K423" s="5" t="n"/>
      <c r="L423" s="5" t="n"/>
      <c r="M423" s="5" t="n"/>
      <c r="N423" s="5" t="n"/>
      <c r="O423" s="8">
        <f>IF($B423="","",IF(AND($A423&lt;&gt;"",COUNTIF(INV_ID,$A423)&gt;1),"⚠ this Unit ID already exists",IF(AND($H423&lt;&gt;"",COUNTIF(INV_Serial,$H423)&gt;1),"⚠ this serial already exists",IF(COUNTIFS(INV_Product,$B423,INV_No,$C423)&gt;1,"⚠ piece number reused",""))))</f>
        <v/>
      </c>
      <c r="P423" s="5" t="n"/>
    </row>
    <row r="424">
      <c r="A424" s="8">
        <f>IF(OR($B424="",$C424=""),"",IFERROR(INDEX(PM_Short,MATCH($B424,PM_ID,0))&amp;"-"&amp;TEXT($C424,"00"),"?? no such product"))</f>
        <v/>
      </c>
      <c r="B424" s="5" t="n"/>
      <c r="C424" s="5" t="n"/>
      <c r="D424" s="8">
        <f>IF($B424="","",IFERROR(INDEX(PM_Category,MATCH($B424,PM_ID,0)),""))</f>
        <v/>
      </c>
      <c r="E424" s="8">
        <f>IF($B424="","",IFERROR(INDEX(PM_Subcategory,MATCH($B424,PM_ID,0)),""))</f>
        <v/>
      </c>
      <c r="F424" s="8">
        <f>IF($B424="","",IFERROR(INDEX(PM_Brand,MATCH($B424,PM_ID,0)),""))</f>
        <v/>
      </c>
      <c r="G424" s="8">
        <f>IF($B424="","",IFERROR(INDEX(PM_Model,MATCH($B424,PM_ID,0)),""))</f>
        <v/>
      </c>
      <c r="H424" s="5" t="n"/>
      <c r="I424" s="10" t="n"/>
      <c r="J424" s="9" t="n"/>
      <c r="K424" s="5" t="n"/>
      <c r="L424" s="5" t="n"/>
      <c r="M424" s="5" t="n"/>
      <c r="N424" s="5" t="n"/>
      <c r="O424" s="8">
        <f>IF($B424="","",IF(AND($A424&lt;&gt;"",COUNTIF(INV_ID,$A424)&gt;1),"⚠ this Unit ID already exists",IF(AND($H424&lt;&gt;"",COUNTIF(INV_Serial,$H424)&gt;1),"⚠ this serial already exists",IF(COUNTIFS(INV_Product,$B424,INV_No,$C424)&gt;1,"⚠ piece number reused",""))))</f>
        <v/>
      </c>
      <c r="P424" s="5" t="n"/>
    </row>
    <row r="425">
      <c r="A425" s="8">
        <f>IF(OR($B425="",$C425=""),"",IFERROR(INDEX(PM_Short,MATCH($B425,PM_ID,0))&amp;"-"&amp;TEXT($C425,"00"),"?? no such product"))</f>
        <v/>
      </c>
      <c r="B425" s="5" t="n"/>
      <c r="C425" s="5" t="n"/>
      <c r="D425" s="8">
        <f>IF($B425="","",IFERROR(INDEX(PM_Category,MATCH($B425,PM_ID,0)),""))</f>
        <v/>
      </c>
      <c r="E425" s="8">
        <f>IF($B425="","",IFERROR(INDEX(PM_Subcategory,MATCH($B425,PM_ID,0)),""))</f>
        <v/>
      </c>
      <c r="F425" s="8">
        <f>IF($B425="","",IFERROR(INDEX(PM_Brand,MATCH($B425,PM_ID,0)),""))</f>
        <v/>
      </c>
      <c r="G425" s="8">
        <f>IF($B425="","",IFERROR(INDEX(PM_Model,MATCH($B425,PM_ID,0)),""))</f>
        <v/>
      </c>
      <c r="H425" s="5" t="n"/>
      <c r="I425" s="10" t="n"/>
      <c r="J425" s="9" t="n"/>
      <c r="K425" s="5" t="n"/>
      <c r="L425" s="5" t="n"/>
      <c r="M425" s="5" t="n"/>
      <c r="N425" s="5" t="n"/>
      <c r="O425" s="8">
        <f>IF($B425="","",IF(AND($A425&lt;&gt;"",COUNTIF(INV_ID,$A425)&gt;1),"⚠ this Unit ID already exists",IF(AND($H425&lt;&gt;"",COUNTIF(INV_Serial,$H425)&gt;1),"⚠ this serial already exists",IF(COUNTIFS(INV_Product,$B425,INV_No,$C425)&gt;1,"⚠ piece number reused",""))))</f>
        <v/>
      </c>
      <c r="P425" s="5" t="n"/>
    </row>
    <row r="426">
      <c r="A426" s="8">
        <f>IF(OR($B426="",$C426=""),"",IFERROR(INDEX(PM_Short,MATCH($B426,PM_ID,0))&amp;"-"&amp;TEXT($C426,"00"),"?? no such product"))</f>
        <v/>
      </c>
      <c r="B426" s="5" t="n"/>
      <c r="C426" s="5" t="n"/>
      <c r="D426" s="8">
        <f>IF($B426="","",IFERROR(INDEX(PM_Category,MATCH($B426,PM_ID,0)),""))</f>
        <v/>
      </c>
      <c r="E426" s="8">
        <f>IF($B426="","",IFERROR(INDEX(PM_Subcategory,MATCH($B426,PM_ID,0)),""))</f>
        <v/>
      </c>
      <c r="F426" s="8">
        <f>IF($B426="","",IFERROR(INDEX(PM_Brand,MATCH($B426,PM_ID,0)),""))</f>
        <v/>
      </c>
      <c r="G426" s="8">
        <f>IF($B426="","",IFERROR(INDEX(PM_Model,MATCH($B426,PM_ID,0)),""))</f>
        <v/>
      </c>
      <c r="H426" s="5" t="n"/>
      <c r="I426" s="10" t="n"/>
      <c r="J426" s="9" t="n"/>
      <c r="K426" s="5" t="n"/>
      <c r="L426" s="5" t="n"/>
      <c r="M426" s="5" t="n"/>
      <c r="N426" s="5" t="n"/>
      <c r="O426" s="8">
        <f>IF($B426="","",IF(AND($A426&lt;&gt;"",COUNTIF(INV_ID,$A426)&gt;1),"⚠ this Unit ID already exists",IF(AND($H426&lt;&gt;"",COUNTIF(INV_Serial,$H426)&gt;1),"⚠ this serial already exists",IF(COUNTIFS(INV_Product,$B426,INV_No,$C426)&gt;1,"⚠ piece number reused",""))))</f>
        <v/>
      </c>
      <c r="P426" s="5" t="n"/>
    </row>
    <row r="427">
      <c r="A427" s="8">
        <f>IF(OR($B427="",$C427=""),"",IFERROR(INDEX(PM_Short,MATCH($B427,PM_ID,0))&amp;"-"&amp;TEXT($C427,"00"),"?? no such product"))</f>
        <v/>
      </c>
      <c r="B427" s="5" t="n"/>
      <c r="C427" s="5" t="n"/>
      <c r="D427" s="8">
        <f>IF($B427="","",IFERROR(INDEX(PM_Category,MATCH($B427,PM_ID,0)),""))</f>
        <v/>
      </c>
      <c r="E427" s="8">
        <f>IF($B427="","",IFERROR(INDEX(PM_Subcategory,MATCH($B427,PM_ID,0)),""))</f>
        <v/>
      </c>
      <c r="F427" s="8">
        <f>IF($B427="","",IFERROR(INDEX(PM_Brand,MATCH($B427,PM_ID,0)),""))</f>
        <v/>
      </c>
      <c r="G427" s="8">
        <f>IF($B427="","",IFERROR(INDEX(PM_Model,MATCH($B427,PM_ID,0)),""))</f>
        <v/>
      </c>
      <c r="H427" s="5" t="n"/>
      <c r="I427" s="10" t="n"/>
      <c r="J427" s="9" t="n"/>
      <c r="K427" s="5" t="n"/>
      <c r="L427" s="5" t="n"/>
      <c r="M427" s="5" t="n"/>
      <c r="N427" s="5" t="n"/>
      <c r="O427" s="8">
        <f>IF($B427="","",IF(AND($A427&lt;&gt;"",COUNTIF(INV_ID,$A427)&gt;1),"⚠ this Unit ID already exists",IF(AND($H427&lt;&gt;"",COUNTIF(INV_Serial,$H427)&gt;1),"⚠ this serial already exists",IF(COUNTIFS(INV_Product,$B427,INV_No,$C427)&gt;1,"⚠ piece number reused",""))))</f>
        <v/>
      </c>
      <c r="P427" s="5" t="n"/>
    </row>
    <row r="428">
      <c r="A428" s="8">
        <f>IF(OR($B428="",$C428=""),"",IFERROR(INDEX(PM_Short,MATCH($B428,PM_ID,0))&amp;"-"&amp;TEXT($C428,"00"),"?? no such product"))</f>
        <v/>
      </c>
      <c r="B428" s="5" t="n"/>
      <c r="C428" s="5" t="n"/>
      <c r="D428" s="8">
        <f>IF($B428="","",IFERROR(INDEX(PM_Category,MATCH($B428,PM_ID,0)),""))</f>
        <v/>
      </c>
      <c r="E428" s="8">
        <f>IF($B428="","",IFERROR(INDEX(PM_Subcategory,MATCH($B428,PM_ID,0)),""))</f>
        <v/>
      </c>
      <c r="F428" s="8">
        <f>IF($B428="","",IFERROR(INDEX(PM_Brand,MATCH($B428,PM_ID,0)),""))</f>
        <v/>
      </c>
      <c r="G428" s="8">
        <f>IF($B428="","",IFERROR(INDEX(PM_Model,MATCH($B428,PM_ID,0)),""))</f>
        <v/>
      </c>
      <c r="H428" s="5" t="n"/>
      <c r="I428" s="10" t="n"/>
      <c r="J428" s="9" t="n"/>
      <c r="K428" s="5" t="n"/>
      <c r="L428" s="5" t="n"/>
      <c r="M428" s="5" t="n"/>
      <c r="N428" s="5" t="n"/>
      <c r="O428" s="8">
        <f>IF($B428="","",IF(AND($A428&lt;&gt;"",COUNTIF(INV_ID,$A428)&gt;1),"⚠ this Unit ID already exists",IF(AND($H428&lt;&gt;"",COUNTIF(INV_Serial,$H428)&gt;1),"⚠ this serial already exists",IF(COUNTIFS(INV_Product,$B428,INV_No,$C428)&gt;1,"⚠ piece number reused",""))))</f>
        <v/>
      </c>
      <c r="P428" s="5" t="n"/>
    </row>
    <row r="429">
      <c r="A429" s="8">
        <f>IF(OR($B429="",$C429=""),"",IFERROR(INDEX(PM_Short,MATCH($B429,PM_ID,0))&amp;"-"&amp;TEXT($C429,"00"),"?? no such product"))</f>
        <v/>
      </c>
      <c r="B429" s="5" t="n"/>
      <c r="C429" s="5" t="n"/>
      <c r="D429" s="8">
        <f>IF($B429="","",IFERROR(INDEX(PM_Category,MATCH($B429,PM_ID,0)),""))</f>
        <v/>
      </c>
      <c r="E429" s="8">
        <f>IF($B429="","",IFERROR(INDEX(PM_Subcategory,MATCH($B429,PM_ID,0)),""))</f>
        <v/>
      </c>
      <c r="F429" s="8">
        <f>IF($B429="","",IFERROR(INDEX(PM_Brand,MATCH($B429,PM_ID,0)),""))</f>
        <v/>
      </c>
      <c r="G429" s="8">
        <f>IF($B429="","",IFERROR(INDEX(PM_Model,MATCH($B429,PM_ID,0)),""))</f>
        <v/>
      </c>
      <c r="H429" s="5" t="n"/>
      <c r="I429" s="10" t="n"/>
      <c r="J429" s="9" t="n"/>
      <c r="K429" s="5" t="n"/>
      <c r="L429" s="5" t="n"/>
      <c r="M429" s="5" t="n"/>
      <c r="N429" s="5" t="n"/>
      <c r="O429" s="8">
        <f>IF($B429="","",IF(AND($A429&lt;&gt;"",COUNTIF(INV_ID,$A429)&gt;1),"⚠ this Unit ID already exists",IF(AND($H429&lt;&gt;"",COUNTIF(INV_Serial,$H429)&gt;1),"⚠ this serial already exists",IF(COUNTIFS(INV_Product,$B429,INV_No,$C429)&gt;1,"⚠ piece number reused",""))))</f>
        <v/>
      </c>
      <c r="P429" s="5" t="n"/>
    </row>
    <row r="430">
      <c r="A430" s="8">
        <f>IF(OR($B430="",$C430=""),"",IFERROR(INDEX(PM_Short,MATCH($B430,PM_ID,0))&amp;"-"&amp;TEXT($C430,"00"),"?? no such product"))</f>
        <v/>
      </c>
      <c r="B430" s="5" t="n"/>
      <c r="C430" s="5" t="n"/>
      <c r="D430" s="8">
        <f>IF($B430="","",IFERROR(INDEX(PM_Category,MATCH($B430,PM_ID,0)),""))</f>
        <v/>
      </c>
      <c r="E430" s="8">
        <f>IF($B430="","",IFERROR(INDEX(PM_Subcategory,MATCH($B430,PM_ID,0)),""))</f>
        <v/>
      </c>
      <c r="F430" s="8">
        <f>IF($B430="","",IFERROR(INDEX(PM_Brand,MATCH($B430,PM_ID,0)),""))</f>
        <v/>
      </c>
      <c r="G430" s="8">
        <f>IF($B430="","",IFERROR(INDEX(PM_Model,MATCH($B430,PM_ID,0)),""))</f>
        <v/>
      </c>
      <c r="H430" s="5" t="n"/>
      <c r="I430" s="10" t="n"/>
      <c r="J430" s="9" t="n"/>
      <c r="K430" s="5" t="n"/>
      <c r="L430" s="5" t="n"/>
      <c r="M430" s="5" t="n"/>
      <c r="N430" s="5" t="n"/>
      <c r="O430" s="8">
        <f>IF($B430="","",IF(AND($A430&lt;&gt;"",COUNTIF(INV_ID,$A430)&gt;1),"⚠ this Unit ID already exists",IF(AND($H430&lt;&gt;"",COUNTIF(INV_Serial,$H430)&gt;1),"⚠ this serial already exists",IF(COUNTIFS(INV_Product,$B430,INV_No,$C430)&gt;1,"⚠ piece number reused",""))))</f>
        <v/>
      </c>
      <c r="P430" s="5" t="n"/>
    </row>
    <row r="431">
      <c r="A431" s="8">
        <f>IF(OR($B431="",$C431=""),"",IFERROR(INDEX(PM_Short,MATCH($B431,PM_ID,0))&amp;"-"&amp;TEXT($C431,"00"),"?? no such product"))</f>
        <v/>
      </c>
      <c r="B431" s="5" t="n"/>
      <c r="C431" s="5" t="n"/>
      <c r="D431" s="8">
        <f>IF($B431="","",IFERROR(INDEX(PM_Category,MATCH($B431,PM_ID,0)),""))</f>
        <v/>
      </c>
      <c r="E431" s="8">
        <f>IF($B431="","",IFERROR(INDEX(PM_Subcategory,MATCH($B431,PM_ID,0)),""))</f>
        <v/>
      </c>
      <c r="F431" s="8">
        <f>IF($B431="","",IFERROR(INDEX(PM_Brand,MATCH($B431,PM_ID,0)),""))</f>
        <v/>
      </c>
      <c r="G431" s="8">
        <f>IF($B431="","",IFERROR(INDEX(PM_Model,MATCH($B431,PM_ID,0)),""))</f>
        <v/>
      </c>
      <c r="H431" s="5" t="n"/>
      <c r="I431" s="10" t="n"/>
      <c r="J431" s="9" t="n"/>
      <c r="K431" s="5" t="n"/>
      <c r="L431" s="5" t="n"/>
      <c r="M431" s="5" t="n"/>
      <c r="N431" s="5" t="n"/>
      <c r="O431" s="8">
        <f>IF($B431="","",IF(AND($A431&lt;&gt;"",COUNTIF(INV_ID,$A431)&gt;1),"⚠ this Unit ID already exists",IF(AND($H431&lt;&gt;"",COUNTIF(INV_Serial,$H431)&gt;1),"⚠ this serial already exists",IF(COUNTIFS(INV_Product,$B431,INV_No,$C431)&gt;1,"⚠ piece number reused",""))))</f>
        <v/>
      </c>
      <c r="P431" s="5" t="n"/>
    </row>
    <row r="432">
      <c r="A432" s="8">
        <f>IF(OR($B432="",$C432=""),"",IFERROR(INDEX(PM_Short,MATCH($B432,PM_ID,0))&amp;"-"&amp;TEXT($C432,"00"),"?? no such product"))</f>
        <v/>
      </c>
      <c r="B432" s="5" t="n"/>
      <c r="C432" s="5" t="n"/>
      <c r="D432" s="8">
        <f>IF($B432="","",IFERROR(INDEX(PM_Category,MATCH($B432,PM_ID,0)),""))</f>
        <v/>
      </c>
      <c r="E432" s="8">
        <f>IF($B432="","",IFERROR(INDEX(PM_Subcategory,MATCH($B432,PM_ID,0)),""))</f>
        <v/>
      </c>
      <c r="F432" s="8">
        <f>IF($B432="","",IFERROR(INDEX(PM_Brand,MATCH($B432,PM_ID,0)),""))</f>
        <v/>
      </c>
      <c r="G432" s="8">
        <f>IF($B432="","",IFERROR(INDEX(PM_Model,MATCH($B432,PM_ID,0)),""))</f>
        <v/>
      </c>
      <c r="H432" s="5" t="n"/>
      <c r="I432" s="10" t="n"/>
      <c r="J432" s="9" t="n"/>
      <c r="K432" s="5" t="n"/>
      <c r="L432" s="5" t="n"/>
      <c r="M432" s="5" t="n"/>
      <c r="N432" s="5" t="n"/>
      <c r="O432" s="8">
        <f>IF($B432="","",IF(AND($A432&lt;&gt;"",COUNTIF(INV_ID,$A432)&gt;1),"⚠ this Unit ID already exists",IF(AND($H432&lt;&gt;"",COUNTIF(INV_Serial,$H432)&gt;1),"⚠ this serial already exists",IF(COUNTIFS(INV_Product,$B432,INV_No,$C432)&gt;1,"⚠ piece number reused",""))))</f>
        <v/>
      </c>
      <c r="P432" s="5" t="n"/>
    </row>
    <row r="433">
      <c r="A433" s="8">
        <f>IF(OR($B433="",$C433=""),"",IFERROR(INDEX(PM_Short,MATCH($B433,PM_ID,0))&amp;"-"&amp;TEXT($C433,"00"),"?? no such product"))</f>
        <v/>
      </c>
      <c r="B433" s="5" t="n"/>
      <c r="C433" s="5" t="n"/>
      <c r="D433" s="8">
        <f>IF($B433="","",IFERROR(INDEX(PM_Category,MATCH($B433,PM_ID,0)),""))</f>
        <v/>
      </c>
      <c r="E433" s="8">
        <f>IF($B433="","",IFERROR(INDEX(PM_Subcategory,MATCH($B433,PM_ID,0)),""))</f>
        <v/>
      </c>
      <c r="F433" s="8">
        <f>IF($B433="","",IFERROR(INDEX(PM_Brand,MATCH($B433,PM_ID,0)),""))</f>
        <v/>
      </c>
      <c r="G433" s="8">
        <f>IF($B433="","",IFERROR(INDEX(PM_Model,MATCH($B433,PM_ID,0)),""))</f>
        <v/>
      </c>
      <c r="H433" s="5" t="n"/>
      <c r="I433" s="10" t="n"/>
      <c r="J433" s="9" t="n"/>
      <c r="K433" s="5" t="n"/>
      <c r="L433" s="5" t="n"/>
      <c r="M433" s="5" t="n"/>
      <c r="N433" s="5" t="n"/>
      <c r="O433" s="8">
        <f>IF($B433="","",IF(AND($A433&lt;&gt;"",COUNTIF(INV_ID,$A433)&gt;1),"⚠ this Unit ID already exists",IF(AND($H433&lt;&gt;"",COUNTIF(INV_Serial,$H433)&gt;1),"⚠ this serial already exists",IF(COUNTIFS(INV_Product,$B433,INV_No,$C433)&gt;1,"⚠ piece number reused",""))))</f>
        <v/>
      </c>
      <c r="P433" s="5" t="n"/>
    </row>
    <row r="434">
      <c r="A434" s="8">
        <f>IF(OR($B434="",$C434=""),"",IFERROR(INDEX(PM_Short,MATCH($B434,PM_ID,0))&amp;"-"&amp;TEXT($C434,"00"),"?? no such product"))</f>
        <v/>
      </c>
      <c r="B434" s="5" t="n"/>
      <c r="C434" s="5" t="n"/>
      <c r="D434" s="8">
        <f>IF($B434="","",IFERROR(INDEX(PM_Category,MATCH($B434,PM_ID,0)),""))</f>
        <v/>
      </c>
      <c r="E434" s="8">
        <f>IF($B434="","",IFERROR(INDEX(PM_Subcategory,MATCH($B434,PM_ID,0)),""))</f>
        <v/>
      </c>
      <c r="F434" s="8">
        <f>IF($B434="","",IFERROR(INDEX(PM_Brand,MATCH($B434,PM_ID,0)),""))</f>
        <v/>
      </c>
      <c r="G434" s="8">
        <f>IF($B434="","",IFERROR(INDEX(PM_Model,MATCH($B434,PM_ID,0)),""))</f>
        <v/>
      </c>
      <c r="H434" s="5" t="n"/>
      <c r="I434" s="10" t="n"/>
      <c r="J434" s="9" t="n"/>
      <c r="K434" s="5" t="n"/>
      <c r="L434" s="5" t="n"/>
      <c r="M434" s="5" t="n"/>
      <c r="N434" s="5" t="n"/>
      <c r="O434" s="8">
        <f>IF($B434="","",IF(AND($A434&lt;&gt;"",COUNTIF(INV_ID,$A434)&gt;1),"⚠ this Unit ID already exists",IF(AND($H434&lt;&gt;"",COUNTIF(INV_Serial,$H434)&gt;1),"⚠ this serial already exists",IF(COUNTIFS(INV_Product,$B434,INV_No,$C434)&gt;1,"⚠ piece number reused",""))))</f>
        <v/>
      </c>
      <c r="P434" s="5" t="n"/>
    </row>
    <row r="435">
      <c r="A435" s="8">
        <f>IF(OR($B435="",$C435=""),"",IFERROR(INDEX(PM_Short,MATCH($B435,PM_ID,0))&amp;"-"&amp;TEXT($C435,"00"),"?? no such product"))</f>
        <v/>
      </c>
      <c r="B435" s="5" t="n"/>
      <c r="C435" s="5" t="n"/>
      <c r="D435" s="8">
        <f>IF($B435="","",IFERROR(INDEX(PM_Category,MATCH($B435,PM_ID,0)),""))</f>
        <v/>
      </c>
      <c r="E435" s="8">
        <f>IF($B435="","",IFERROR(INDEX(PM_Subcategory,MATCH($B435,PM_ID,0)),""))</f>
        <v/>
      </c>
      <c r="F435" s="8">
        <f>IF($B435="","",IFERROR(INDEX(PM_Brand,MATCH($B435,PM_ID,0)),""))</f>
        <v/>
      </c>
      <c r="G435" s="8">
        <f>IF($B435="","",IFERROR(INDEX(PM_Model,MATCH($B435,PM_ID,0)),""))</f>
        <v/>
      </c>
      <c r="H435" s="5" t="n"/>
      <c r="I435" s="10" t="n"/>
      <c r="J435" s="9" t="n"/>
      <c r="K435" s="5" t="n"/>
      <c r="L435" s="5" t="n"/>
      <c r="M435" s="5" t="n"/>
      <c r="N435" s="5" t="n"/>
      <c r="O435" s="8">
        <f>IF($B435="","",IF(AND($A435&lt;&gt;"",COUNTIF(INV_ID,$A435)&gt;1),"⚠ this Unit ID already exists",IF(AND($H435&lt;&gt;"",COUNTIF(INV_Serial,$H435)&gt;1),"⚠ this serial already exists",IF(COUNTIFS(INV_Product,$B435,INV_No,$C435)&gt;1,"⚠ piece number reused",""))))</f>
        <v/>
      </c>
      <c r="P435" s="5" t="n"/>
    </row>
    <row r="436">
      <c r="A436" s="8">
        <f>IF(OR($B436="",$C436=""),"",IFERROR(INDEX(PM_Short,MATCH($B436,PM_ID,0))&amp;"-"&amp;TEXT($C436,"00"),"?? no such product"))</f>
        <v/>
      </c>
      <c r="B436" s="5" t="n"/>
      <c r="C436" s="5" t="n"/>
      <c r="D436" s="8">
        <f>IF($B436="","",IFERROR(INDEX(PM_Category,MATCH($B436,PM_ID,0)),""))</f>
        <v/>
      </c>
      <c r="E436" s="8">
        <f>IF($B436="","",IFERROR(INDEX(PM_Subcategory,MATCH($B436,PM_ID,0)),""))</f>
        <v/>
      </c>
      <c r="F436" s="8">
        <f>IF($B436="","",IFERROR(INDEX(PM_Brand,MATCH($B436,PM_ID,0)),""))</f>
        <v/>
      </c>
      <c r="G436" s="8">
        <f>IF($B436="","",IFERROR(INDEX(PM_Model,MATCH($B436,PM_ID,0)),""))</f>
        <v/>
      </c>
      <c r="H436" s="5" t="n"/>
      <c r="I436" s="10" t="n"/>
      <c r="J436" s="9" t="n"/>
      <c r="K436" s="5" t="n"/>
      <c r="L436" s="5" t="n"/>
      <c r="M436" s="5" t="n"/>
      <c r="N436" s="5" t="n"/>
      <c r="O436" s="8">
        <f>IF($B436="","",IF(AND($A436&lt;&gt;"",COUNTIF(INV_ID,$A436)&gt;1),"⚠ this Unit ID already exists",IF(AND($H436&lt;&gt;"",COUNTIF(INV_Serial,$H436)&gt;1),"⚠ this serial already exists",IF(COUNTIFS(INV_Product,$B436,INV_No,$C436)&gt;1,"⚠ piece number reused",""))))</f>
        <v/>
      </c>
      <c r="P436" s="5" t="n"/>
    </row>
    <row r="437">
      <c r="A437" s="8">
        <f>IF(OR($B437="",$C437=""),"",IFERROR(INDEX(PM_Short,MATCH($B437,PM_ID,0))&amp;"-"&amp;TEXT($C437,"00"),"?? no such product"))</f>
        <v/>
      </c>
      <c r="B437" s="5" t="n"/>
      <c r="C437" s="5" t="n"/>
      <c r="D437" s="8">
        <f>IF($B437="","",IFERROR(INDEX(PM_Category,MATCH($B437,PM_ID,0)),""))</f>
        <v/>
      </c>
      <c r="E437" s="8">
        <f>IF($B437="","",IFERROR(INDEX(PM_Subcategory,MATCH($B437,PM_ID,0)),""))</f>
        <v/>
      </c>
      <c r="F437" s="8">
        <f>IF($B437="","",IFERROR(INDEX(PM_Brand,MATCH($B437,PM_ID,0)),""))</f>
        <v/>
      </c>
      <c r="G437" s="8">
        <f>IF($B437="","",IFERROR(INDEX(PM_Model,MATCH($B437,PM_ID,0)),""))</f>
        <v/>
      </c>
      <c r="H437" s="5" t="n"/>
      <c r="I437" s="10" t="n"/>
      <c r="J437" s="9" t="n"/>
      <c r="K437" s="5" t="n"/>
      <c r="L437" s="5" t="n"/>
      <c r="M437" s="5" t="n"/>
      <c r="N437" s="5" t="n"/>
      <c r="O437" s="8">
        <f>IF($B437="","",IF(AND($A437&lt;&gt;"",COUNTIF(INV_ID,$A437)&gt;1),"⚠ this Unit ID already exists",IF(AND($H437&lt;&gt;"",COUNTIF(INV_Serial,$H437)&gt;1),"⚠ this serial already exists",IF(COUNTIFS(INV_Product,$B437,INV_No,$C437)&gt;1,"⚠ piece number reused",""))))</f>
        <v/>
      </c>
      <c r="P437" s="5" t="n"/>
    </row>
    <row r="438">
      <c r="A438" s="8">
        <f>IF(OR($B438="",$C438=""),"",IFERROR(INDEX(PM_Short,MATCH($B438,PM_ID,0))&amp;"-"&amp;TEXT($C438,"00"),"?? no such product"))</f>
        <v/>
      </c>
      <c r="B438" s="5" t="n"/>
      <c r="C438" s="5" t="n"/>
      <c r="D438" s="8">
        <f>IF($B438="","",IFERROR(INDEX(PM_Category,MATCH($B438,PM_ID,0)),""))</f>
        <v/>
      </c>
      <c r="E438" s="8">
        <f>IF($B438="","",IFERROR(INDEX(PM_Subcategory,MATCH($B438,PM_ID,0)),""))</f>
        <v/>
      </c>
      <c r="F438" s="8">
        <f>IF($B438="","",IFERROR(INDEX(PM_Brand,MATCH($B438,PM_ID,0)),""))</f>
        <v/>
      </c>
      <c r="G438" s="8">
        <f>IF($B438="","",IFERROR(INDEX(PM_Model,MATCH($B438,PM_ID,0)),""))</f>
        <v/>
      </c>
      <c r="H438" s="5" t="n"/>
      <c r="I438" s="10" t="n"/>
      <c r="J438" s="9" t="n"/>
      <c r="K438" s="5" t="n"/>
      <c r="L438" s="5" t="n"/>
      <c r="M438" s="5" t="n"/>
      <c r="N438" s="5" t="n"/>
      <c r="O438" s="8">
        <f>IF($B438="","",IF(AND($A438&lt;&gt;"",COUNTIF(INV_ID,$A438)&gt;1),"⚠ this Unit ID already exists",IF(AND($H438&lt;&gt;"",COUNTIF(INV_Serial,$H438)&gt;1),"⚠ this serial already exists",IF(COUNTIFS(INV_Product,$B438,INV_No,$C438)&gt;1,"⚠ piece number reused",""))))</f>
        <v/>
      </c>
      <c r="P438" s="5" t="n"/>
    </row>
    <row r="439">
      <c r="A439" s="8">
        <f>IF(OR($B439="",$C439=""),"",IFERROR(INDEX(PM_Short,MATCH($B439,PM_ID,0))&amp;"-"&amp;TEXT($C439,"00"),"?? no such product"))</f>
        <v/>
      </c>
      <c r="B439" s="5" t="n"/>
      <c r="C439" s="5" t="n"/>
      <c r="D439" s="8">
        <f>IF($B439="","",IFERROR(INDEX(PM_Category,MATCH($B439,PM_ID,0)),""))</f>
        <v/>
      </c>
      <c r="E439" s="8">
        <f>IF($B439="","",IFERROR(INDEX(PM_Subcategory,MATCH($B439,PM_ID,0)),""))</f>
        <v/>
      </c>
      <c r="F439" s="8">
        <f>IF($B439="","",IFERROR(INDEX(PM_Brand,MATCH($B439,PM_ID,0)),""))</f>
        <v/>
      </c>
      <c r="G439" s="8">
        <f>IF($B439="","",IFERROR(INDEX(PM_Model,MATCH($B439,PM_ID,0)),""))</f>
        <v/>
      </c>
      <c r="H439" s="5" t="n"/>
      <c r="I439" s="10" t="n"/>
      <c r="J439" s="9" t="n"/>
      <c r="K439" s="5" t="n"/>
      <c r="L439" s="5" t="n"/>
      <c r="M439" s="5" t="n"/>
      <c r="N439" s="5" t="n"/>
      <c r="O439" s="8">
        <f>IF($B439="","",IF(AND($A439&lt;&gt;"",COUNTIF(INV_ID,$A439)&gt;1),"⚠ this Unit ID already exists",IF(AND($H439&lt;&gt;"",COUNTIF(INV_Serial,$H439)&gt;1),"⚠ this serial already exists",IF(COUNTIFS(INV_Product,$B439,INV_No,$C439)&gt;1,"⚠ piece number reused",""))))</f>
        <v/>
      </c>
      <c r="P439" s="5" t="n"/>
    </row>
    <row r="440">
      <c r="A440" s="8">
        <f>IF(OR($B440="",$C440=""),"",IFERROR(INDEX(PM_Short,MATCH($B440,PM_ID,0))&amp;"-"&amp;TEXT($C440,"00"),"?? no such product"))</f>
        <v/>
      </c>
      <c r="B440" s="5" t="n"/>
      <c r="C440" s="5" t="n"/>
      <c r="D440" s="8">
        <f>IF($B440="","",IFERROR(INDEX(PM_Category,MATCH($B440,PM_ID,0)),""))</f>
        <v/>
      </c>
      <c r="E440" s="8">
        <f>IF($B440="","",IFERROR(INDEX(PM_Subcategory,MATCH($B440,PM_ID,0)),""))</f>
        <v/>
      </c>
      <c r="F440" s="8">
        <f>IF($B440="","",IFERROR(INDEX(PM_Brand,MATCH($B440,PM_ID,0)),""))</f>
        <v/>
      </c>
      <c r="G440" s="8">
        <f>IF($B440="","",IFERROR(INDEX(PM_Model,MATCH($B440,PM_ID,0)),""))</f>
        <v/>
      </c>
      <c r="H440" s="5" t="n"/>
      <c r="I440" s="10" t="n"/>
      <c r="J440" s="9" t="n"/>
      <c r="K440" s="5" t="n"/>
      <c r="L440" s="5" t="n"/>
      <c r="M440" s="5" t="n"/>
      <c r="N440" s="5" t="n"/>
      <c r="O440" s="8">
        <f>IF($B440="","",IF(AND($A440&lt;&gt;"",COUNTIF(INV_ID,$A440)&gt;1),"⚠ this Unit ID already exists",IF(AND($H440&lt;&gt;"",COUNTIF(INV_Serial,$H440)&gt;1),"⚠ this serial already exists",IF(COUNTIFS(INV_Product,$B440,INV_No,$C440)&gt;1,"⚠ piece number reused",""))))</f>
        <v/>
      </c>
      <c r="P440" s="5" t="n"/>
    </row>
    <row r="441">
      <c r="A441" s="8">
        <f>IF(OR($B441="",$C441=""),"",IFERROR(INDEX(PM_Short,MATCH($B441,PM_ID,0))&amp;"-"&amp;TEXT($C441,"00"),"?? no such product"))</f>
        <v/>
      </c>
      <c r="B441" s="5" t="n"/>
      <c r="C441" s="5" t="n"/>
      <c r="D441" s="8">
        <f>IF($B441="","",IFERROR(INDEX(PM_Category,MATCH($B441,PM_ID,0)),""))</f>
        <v/>
      </c>
      <c r="E441" s="8">
        <f>IF($B441="","",IFERROR(INDEX(PM_Subcategory,MATCH($B441,PM_ID,0)),""))</f>
        <v/>
      </c>
      <c r="F441" s="8">
        <f>IF($B441="","",IFERROR(INDEX(PM_Brand,MATCH($B441,PM_ID,0)),""))</f>
        <v/>
      </c>
      <c r="G441" s="8">
        <f>IF($B441="","",IFERROR(INDEX(PM_Model,MATCH($B441,PM_ID,0)),""))</f>
        <v/>
      </c>
      <c r="H441" s="5" t="n"/>
      <c r="I441" s="10" t="n"/>
      <c r="J441" s="9" t="n"/>
      <c r="K441" s="5" t="n"/>
      <c r="L441" s="5" t="n"/>
      <c r="M441" s="5" t="n"/>
      <c r="N441" s="5" t="n"/>
      <c r="O441" s="8">
        <f>IF($B441="","",IF(AND($A441&lt;&gt;"",COUNTIF(INV_ID,$A441)&gt;1),"⚠ this Unit ID already exists",IF(AND($H441&lt;&gt;"",COUNTIF(INV_Serial,$H441)&gt;1),"⚠ this serial already exists",IF(COUNTIFS(INV_Product,$B441,INV_No,$C441)&gt;1,"⚠ piece number reused",""))))</f>
        <v/>
      </c>
      <c r="P441" s="5" t="n"/>
    </row>
    <row r="442">
      <c r="A442" s="8">
        <f>IF(OR($B442="",$C442=""),"",IFERROR(INDEX(PM_Short,MATCH($B442,PM_ID,0))&amp;"-"&amp;TEXT($C442,"00"),"?? no such product"))</f>
        <v/>
      </c>
      <c r="B442" s="5" t="n"/>
      <c r="C442" s="5" t="n"/>
      <c r="D442" s="8">
        <f>IF($B442="","",IFERROR(INDEX(PM_Category,MATCH($B442,PM_ID,0)),""))</f>
        <v/>
      </c>
      <c r="E442" s="8">
        <f>IF($B442="","",IFERROR(INDEX(PM_Subcategory,MATCH($B442,PM_ID,0)),""))</f>
        <v/>
      </c>
      <c r="F442" s="8">
        <f>IF($B442="","",IFERROR(INDEX(PM_Brand,MATCH($B442,PM_ID,0)),""))</f>
        <v/>
      </c>
      <c r="G442" s="8">
        <f>IF($B442="","",IFERROR(INDEX(PM_Model,MATCH($B442,PM_ID,0)),""))</f>
        <v/>
      </c>
      <c r="H442" s="5" t="n"/>
      <c r="I442" s="10" t="n"/>
      <c r="J442" s="9" t="n"/>
      <c r="K442" s="5" t="n"/>
      <c r="L442" s="5" t="n"/>
      <c r="M442" s="5" t="n"/>
      <c r="N442" s="5" t="n"/>
      <c r="O442" s="8">
        <f>IF($B442="","",IF(AND($A442&lt;&gt;"",COUNTIF(INV_ID,$A442)&gt;1),"⚠ this Unit ID already exists",IF(AND($H442&lt;&gt;"",COUNTIF(INV_Serial,$H442)&gt;1),"⚠ this serial already exists",IF(COUNTIFS(INV_Product,$B442,INV_No,$C442)&gt;1,"⚠ piece number reused",""))))</f>
        <v/>
      </c>
      <c r="P442" s="5" t="n"/>
    </row>
    <row r="443">
      <c r="A443" s="8">
        <f>IF(OR($B443="",$C443=""),"",IFERROR(INDEX(PM_Short,MATCH($B443,PM_ID,0))&amp;"-"&amp;TEXT($C443,"00"),"?? no such product"))</f>
        <v/>
      </c>
      <c r="B443" s="5" t="n"/>
      <c r="C443" s="5" t="n"/>
      <c r="D443" s="8">
        <f>IF($B443="","",IFERROR(INDEX(PM_Category,MATCH($B443,PM_ID,0)),""))</f>
        <v/>
      </c>
      <c r="E443" s="8">
        <f>IF($B443="","",IFERROR(INDEX(PM_Subcategory,MATCH($B443,PM_ID,0)),""))</f>
        <v/>
      </c>
      <c r="F443" s="8">
        <f>IF($B443="","",IFERROR(INDEX(PM_Brand,MATCH($B443,PM_ID,0)),""))</f>
        <v/>
      </c>
      <c r="G443" s="8">
        <f>IF($B443="","",IFERROR(INDEX(PM_Model,MATCH($B443,PM_ID,0)),""))</f>
        <v/>
      </c>
      <c r="H443" s="5" t="n"/>
      <c r="I443" s="10" t="n"/>
      <c r="J443" s="9" t="n"/>
      <c r="K443" s="5" t="n"/>
      <c r="L443" s="5" t="n"/>
      <c r="M443" s="5" t="n"/>
      <c r="N443" s="5" t="n"/>
      <c r="O443" s="8">
        <f>IF($B443="","",IF(AND($A443&lt;&gt;"",COUNTIF(INV_ID,$A443)&gt;1),"⚠ this Unit ID already exists",IF(AND($H443&lt;&gt;"",COUNTIF(INV_Serial,$H443)&gt;1),"⚠ this serial already exists",IF(COUNTIFS(INV_Product,$B443,INV_No,$C443)&gt;1,"⚠ piece number reused",""))))</f>
        <v/>
      </c>
      <c r="P443" s="5" t="n"/>
    </row>
    <row r="444">
      <c r="A444" s="8">
        <f>IF(OR($B444="",$C444=""),"",IFERROR(INDEX(PM_Short,MATCH($B444,PM_ID,0))&amp;"-"&amp;TEXT($C444,"00"),"?? no such product"))</f>
        <v/>
      </c>
      <c r="B444" s="5" t="n"/>
      <c r="C444" s="5" t="n"/>
      <c r="D444" s="8">
        <f>IF($B444="","",IFERROR(INDEX(PM_Category,MATCH($B444,PM_ID,0)),""))</f>
        <v/>
      </c>
      <c r="E444" s="8">
        <f>IF($B444="","",IFERROR(INDEX(PM_Subcategory,MATCH($B444,PM_ID,0)),""))</f>
        <v/>
      </c>
      <c r="F444" s="8">
        <f>IF($B444="","",IFERROR(INDEX(PM_Brand,MATCH($B444,PM_ID,0)),""))</f>
        <v/>
      </c>
      <c r="G444" s="8">
        <f>IF($B444="","",IFERROR(INDEX(PM_Model,MATCH($B444,PM_ID,0)),""))</f>
        <v/>
      </c>
      <c r="H444" s="5" t="n"/>
      <c r="I444" s="10" t="n"/>
      <c r="J444" s="9" t="n"/>
      <c r="K444" s="5" t="n"/>
      <c r="L444" s="5" t="n"/>
      <c r="M444" s="5" t="n"/>
      <c r="N444" s="5" t="n"/>
      <c r="O444" s="8">
        <f>IF($B444="","",IF(AND($A444&lt;&gt;"",COUNTIF(INV_ID,$A444)&gt;1),"⚠ this Unit ID already exists",IF(AND($H444&lt;&gt;"",COUNTIF(INV_Serial,$H444)&gt;1),"⚠ this serial already exists",IF(COUNTIFS(INV_Product,$B444,INV_No,$C444)&gt;1,"⚠ piece number reused",""))))</f>
        <v/>
      </c>
      <c r="P444" s="5" t="n"/>
    </row>
    <row r="445">
      <c r="A445" s="8">
        <f>IF(OR($B445="",$C445=""),"",IFERROR(INDEX(PM_Short,MATCH($B445,PM_ID,0))&amp;"-"&amp;TEXT($C445,"00"),"?? no such product"))</f>
        <v/>
      </c>
      <c r="B445" s="5" t="n"/>
      <c r="C445" s="5" t="n"/>
      <c r="D445" s="8">
        <f>IF($B445="","",IFERROR(INDEX(PM_Category,MATCH($B445,PM_ID,0)),""))</f>
        <v/>
      </c>
      <c r="E445" s="8">
        <f>IF($B445="","",IFERROR(INDEX(PM_Subcategory,MATCH($B445,PM_ID,0)),""))</f>
        <v/>
      </c>
      <c r="F445" s="8">
        <f>IF($B445="","",IFERROR(INDEX(PM_Brand,MATCH($B445,PM_ID,0)),""))</f>
        <v/>
      </c>
      <c r="G445" s="8">
        <f>IF($B445="","",IFERROR(INDEX(PM_Model,MATCH($B445,PM_ID,0)),""))</f>
        <v/>
      </c>
      <c r="H445" s="5" t="n"/>
      <c r="I445" s="10" t="n"/>
      <c r="J445" s="9" t="n"/>
      <c r="K445" s="5" t="n"/>
      <c r="L445" s="5" t="n"/>
      <c r="M445" s="5" t="n"/>
      <c r="N445" s="5" t="n"/>
      <c r="O445" s="8">
        <f>IF($B445="","",IF(AND($A445&lt;&gt;"",COUNTIF(INV_ID,$A445)&gt;1),"⚠ this Unit ID already exists",IF(AND($H445&lt;&gt;"",COUNTIF(INV_Serial,$H445)&gt;1),"⚠ this serial already exists",IF(COUNTIFS(INV_Product,$B445,INV_No,$C445)&gt;1,"⚠ piece number reused",""))))</f>
        <v/>
      </c>
      <c r="P445" s="5" t="n"/>
    </row>
    <row r="446">
      <c r="A446" s="8">
        <f>IF(OR($B446="",$C446=""),"",IFERROR(INDEX(PM_Short,MATCH($B446,PM_ID,0))&amp;"-"&amp;TEXT($C446,"00"),"?? no such product"))</f>
        <v/>
      </c>
      <c r="B446" s="5" t="n"/>
      <c r="C446" s="5" t="n"/>
      <c r="D446" s="8">
        <f>IF($B446="","",IFERROR(INDEX(PM_Category,MATCH($B446,PM_ID,0)),""))</f>
        <v/>
      </c>
      <c r="E446" s="8">
        <f>IF($B446="","",IFERROR(INDEX(PM_Subcategory,MATCH($B446,PM_ID,0)),""))</f>
        <v/>
      </c>
      <c r="F446" s="8">
        <f>IF($B446="","",IFERROR(INDEX(PM_Brand,MATCH($B446,PM_ID,0)),""))</f>
        <v/>
      </c>
      <c r="G446" s="8">
        <f>IF($B446="","",IFERROR(INDEX(PM_Model,MATCH($B446,PM_ID,0)),""))</f>
        <v/>
      </c>
      <c r="H446" s="5" t="n"/>
      <c r="I446" s="10" t="n"/>
      <c r="J446" s="9" t="n"/>
      <c r="K446" s="5" t="n"/>
      <c r="L446" s="5" t="n"/>
      <c r="M446" s="5" t="n"/>
      <c r="N446" s="5" t="n"/>
      <c r="O446" s="8">
        <f>IF($B446="","",IF(AND($A446&lt;&gt;"",COUNTIF(INV_ID,$A446)&gt;1),"⚠ this Unit ID already exists",IF(AND($H446&lt;&gt;"",COUNTIF(INV_Serial,$H446)&gt;1),"⚠ this serial already exists",IF(COUNTIFS(INV_Product,$B446,INV_No,$C446)&gt;1,"⚠ piece number reused",""))))</f>
        <v/>
      </c>
      <c r="P446" s="5" t="n"/>
    </row>
    <row r="447">
      <c r="A447" s="8">
        <f>IF(OR($B447="",$C447=""),"",IFERROR(INDEX(PM_Short,MATCH($B447,PM_ID,0))&amp;"-"&amp;TEXT($C447,"00"),"?? no such product"))</f>
        <v/>
      </c>
      <c r="B447" s="5" t="n"/>
      <c r="C447" s="5" t="n"/>
      <c r="D447" s="8">
        <f>IF($B447="","",IFERROR(INDEX(PM_Category,MATCH($B447,PM_ID,0)),""))</f>
        <v/>
      </c>
      <c r="E447" s="8">
        <f>IF($B447="","",IFERROR(INDEX(PM_Subcategory,MATCH($B447,PM_ID,0)),""))</f>
        <v/>
      </c>
      <c r="F447" s="8">
        <f>IF($B447="","",IFERROR(INDEX(PM_Brand,MATCH($B447,PM_ID,0)),""))</f>
        <v/>
      </c>
      <c r="G447" s="8">
        <f>IF($B447="","",IFERROR(INDEX(PM_Model,MATCH($B447,PM_ID,0)),""))</f>
        <v/>
      </c>
      <c r="H447" s="5" t="n"/>
      <c r="I447" s="10" t="n"/>
      <c r="J447" s="9" t="n"/>
      <c r="K447" s="5" t="n"/>
      <c r="L447" s="5" t="n"/>
      <c r="M447" s="5" t="n"/>
      <c r="N447" s="5" t="n"/>
      <c r="O447" s="8">
        <f>IF($B447="","",IF(AND($A447&lt;&gt;"",COUNTIF(INV_ID,$A447)&gt;1),"⚠ this Unit ID already exists",IF(AND($H447&lt;&gt;"",COUNTIF(INV_Serial,$H447)&gt;1),"⚠ this serial already exists",IF(COUNTIFS(INV_Product,$B447,INV_No,$C447)&gt;1,"⚠ piece number reused",""))))</f>
        <v/>
      </c>
      <c r="P447" s="5" t="n"/>
    </row>
    <row r="448">
      <c r="A448" s="8">
        <f>IF(OR($B448="",$C448=""),"",IFERROR(INDEX(PM_Short,MATCH($B448,PM_ID,0))&amp;"-"&amp;TEXT($C448,"00"),"?? no such product"))</f>
        <v/>
      </c>
      <c r="B448" s="5" t="n"/>
      <c r="C448" s="5" t="n"/>
      <c r="D448" s="8">
        <f>IF($B448="","",IFERROR(INDEX(PM_Category,MATCH($B448,PM_ID,0)),""))</f>
        <v/>
      </c>
      <c r="E448" s="8">
        <f>IF($B448="","",IFERROR(INDEX(PM_Subcategory,MATCH($B448,PM_ID,0)),""))</f>
        <v/>
      </c>
      <c r="F448" s="8">
        <f>IF($B448="","",IFERROR(INDEX(PM_Brand,MATCH($B448,PM_ID,0)),""))</f>
        <v/>
      </c>
      <c r="G448" s="8">
        <f>IF($B448="","",IFERROR(INDEX(PM_Model,MATCH($B448,PM_ID,0)),""))</f>
        <v/>
      </c>
      <c r="H448" s="5" t="n"/>
      <c r="I448" s="10" t="n"/>
      <c r="J448" s="9" t="n"/>
      <c r="K448" s="5" t="n"/>
      <c r="L448" s="5" t="n"/>
      <c r="M448" s="5" t="n"/>
      <c r="N448" s="5" t="n"/>
      <c r="O448" s="8">
        <f>IF($B448="","",IF(AND($A448&lt;&gt;"",COUNTIF(INV_ID,$A448)&gt;1),"⚠ this Unit ID already exists",IF(AND($H448&lt;&gt;"",COUNTIF(INV_Serial,$H448)&gt;1),"⚠ this serial already exists",IF(COUNTIFS(INV_Product,$B448,INV_No,$C448)&gt;1,"⚠ piece number reused",""))))</f>
        <v/>
      </c>
      <c r="P448" s="5" t="n"/>
    </row>
    <row r="449">
      <c r="A449" s="8">
        <f>IF(OR($B449="",$C449=""),"",IFERROR(INDEX(PM_Short,MATCH($B449,PM_ID,0))&amp;"-"&amp;TEXT($C449,"00"),"?? no such product"))</f>
        <v/>
      </c>
      <c r="B449" s="5" t="n"/>
      <c r="C449" s="5" t="n"/>
      <c r="D449" s="8">
        <f>IF($B449="","",IFERROR(INDEX(PM_Category,MATCH($B449,PM_ID,0)),""))</f>
        <v/>
      </c>
      <c r="E449" s="8">
        <f>IF($B449="","",IFERROR(INDEX(PM_Subcategory,MATCH($B449,PM_ID,0)),""))</f>
        <v/>
      </c>
      <c r="F449" s="8">
        <f>IF($B449="","",IFERROR(INDEX(PM_Brand,MATCH($B449,PM_ID,0)),""))</f>
        <v/>
      </c>
      <c r="G449" s="8">
        <f>IF($B449="","",IFERROR(INDEX(PM_Model,MATCH($B449,PM_ID,0)),""))</f>
        <v/>
      </c>
      <c r="H449" s="5" t="n"/>
      <c r="I449" s="10" t="n"/>
      <c r="J449" s="9" t="n"/>
      <c r="K449" s="5" t="n"/>
      <c r="L449" s="5" t="n"/>
      <c r="M449" s="5" t="n"/>
      <c r="N449" s="5" t="n"/>
      <c r="O449" s="8">
        <f>IF($B449="","",IF(AND($A449&lt;&gt;"",COUNTIF(INV_ID,$A449)&gt;1),"⚠ this Unit ID already exists",IF(AND($H449&lt;&gt;"",COUNTIF(INV_Serial,$H449)&gt;1),"⚠ this serial already exists",IF(COUNTIFS(INV_Product,$B449,INV_No,$C449)&gt;1,"⚠ piece number reused",""))))</f>
        <v/>
      </c>
      <c r="P449" s="5" t="n"/>
    </row>
    <row r="450">
      <c r="A450" s="8">
        <f>IF(OR($B450="",$C450=""),"",IFERROR(INDEX(PM_Short,MATCH($B450,PM_ID,0))&amp;"-"&amp;TEXT($C450,"00"),"?? no such product"))</f>
        <v/>
      </c>
      <c r="B450" s="5" t="n"/>
      <c r="C450" s="5" t="n"/>
      <c r="D450" s="8">
        <f>IF($B450="","",IFERROR(INDEX(PM_Category,MATCH($B450,PM_ID,0)),""))</f>
        <v/>
      </c>
      <c r="E450" s="8">
        <f>IF($B450="","",IFERROR(INDEX(PM_Subcategory,MATCH($B450,PM_ID,0)),""))</f>
        <v/>
      </c>
      <c r="F450" s="8">
        <f>IF($B450="","",IFERROR(INDEX(PM_Brand,MATCH($B450,PM_ID,0)),""))</f>
        <v/>
      </c>
      <c r="G450" s="8">
        <f>IF($B450="","",IFERROR(INDEX(PM_Model,MATCH($B450,PM_ID,0)),""))</f>
        <v/>
      </c>
      <c r="H450" s="5" t="n"/>
      <c r="I450" s="10" t="n"/>
      <c r="J450" s="9" t="n"/>
      <c r="K450" s="5" t="n"/>
      <c r="L450" s="5" t="n"/>
      <c r="M450" s="5" t="n"/>
      <c r="N450" s="5" t="n"/>
      <c r="O450" s="8">
        <f>IF($B450="","",IF(AND($A450&lt;&gt;"",COUNTIF(INV_ID,$A450)&gt;1),"⚠ this Unit ID already exists",IF(AND($H450&lt;&gt;"",COUNTIF(INV_Serial,$H450)&gt;1),"⚠ this serial already exists",IF(COUNTIFS(INV_Product,$B450,INV_No,$C450)&gt;1,"⚠ piece number reused",""))))</f>
        <v/>
      </c>
      <c r="P450" s="5" t="n"/>
    </row>
    <row r="451">
      <c r="A451" s="8">
        <f>IF(OR($B451="",$C451=""),"",IFERROR(INDEX(PM_Short,MATCH($B451,PM_ID,0))&amp;"-"&amp;TEXT($C451,"00"),"?? no such product"))</f>
        <v/>
      </c>
      <c r="B451" s="5" t="n"/>
      <c r="C451" s="5" t="n"/>
      <c r="D451" s="8">
        <f>IF($B451="","",IFERROR(INDEX(PM_Category,MATCH($B451,PM_ID,0)),""))</f>
        <v/>
      </c>
      <c r="E451" s="8">
        <f>IF($B451="","",IFERROR(INDEX(PM_Subcategory,MATCH($B451,PM_ID,0)),""))</f>
        <v/>
      </c>
      <c r="F451" s="8">
        <f>IF($B451="","",IFERROR(INDEX(PM_Brand,MATCH($B451,PM_ID,0)),""))</f>
        <v/>
      </c>
      <c r="G451" s="8">
        <f>IF($B451="","",IFERROR(INDEX(PM_Model,MATCH($B451,PM_ID,0)),""))</f>
        <v/>
      </c>
      <c r="H451" s="5" t="n"/>
      <c r="I451" s="10" t="n"/>
      <c r="J451" s="9" t="n"/>
      <c r="K451" s="5" t="n"/>
      <c r="L451" s="5" t="n"/>
      <c r="M451" s="5" t="n"/>
      <c r="N451" s="5" t="n"/>
      <c r="O451" s="8">
        <f>IF($B451="","",IF(AND($A451&lt;&gt;"",COUNTIF(INV_ID,$A451)&gt;1),"⚠ this Unit ID already exists",IF(AND($H451&lt;&gt;"",COUNTIF(INV_Serial,$H451)&gt;1),"⚠ this serial already exists",IF(COUNTIFS(INV_Product,$B451,INV_No,$C451)&gt;1,"⚠ piece number reused",""))))</f>
        <v/>
      </c>
      <c r="P451" s="5" t="n"/>
    </row>
    <row r="452">
      <c r="A452" s="8">
        <f>IF(OR($B452="",$C452=""),"",IFERROR(INDEX(PM_Short,MATCH($B452,PM_ID,0))&amp;"-"&amp;TEXT($C452,"00"),"?? no such product"))</f>
        <v/>
      </c>
      <c r="B452" s="5" t="n"/>
      <c r="C452" s="5" t="n"/>
      <c r="D452" s="8">
        <f>IF($B452="","",IFERROR(INDEX(PM_Category,MATCH($B452,PM_ID,0)),""))</f>
        <v/>
      </c>
      <c r="E452" s="8">
        <f>IF($B452="","",IFERROR(INDEX(PM_Subcategory,MATCH($B452,PM_ID,0)),""))</f>
        <v/>
      </c>
      <c r="F452" s="8">
        <f>IF($B452="","",IFERROR(INDEX(PM_Brand,MATCH($B452,PM_ID,0)),""))</f>
        <v/>
      </c>
      <c r="G452" s="8">
        <f>IF($B452="","",IFERROR(INDEX(PM_Model,MATCH($B452,PM_ID,0)),""))</f>
        <v/>
      </c>
      <c r="H452" s="5" t="n"/>
      <c r="I452" s="10" t="n"/>
      <c r="J452" s="9" t="n"/>
      <c r="K452" s="5" t="n"/>
      <c r="L452" s="5" t="n"/>
      <c r="M452" s="5" t="n"/>
      <c r="N452" s="5" t="n"/>
      <c r="O452" s="8">
        <f>IF($B452="","",IF(AND($A452&lt;&gt;"",COUNTIF(INV_ID,$A452)&gt;1),"⚠ this Unit ID already exists",IF(AND($H452&lt;&gt;"",COUNTIF(INV_Serial,$H452)&gt;1),"⚠ this serial already exists",IF(COUNTIFS(INV_Product,$B452,INV_No,$C452)&gt;1,"⚠ piece number reused",""))))</f>
        <v/>
      </c>
      <c r="P452" s="5" t="n"/>
    </row>
    <row r="453">
      <c r="A453" s="8">
        <f>IF(OR($B453="",$C453=""),"",IFERROR(INDEX(PM_Short,MATCH($B453,PM_ID,0))&amp;"-"&amp;TEXT($C453,"00"),"?? no such product"))</f>
        <v/>
      </c>
      <c r="B453" s="5" t="n"/>
      <c r="C453" s="5" t="n"/>
      <c r="D453" s="8">
        <f>IF($B453="","",IFERROR(INDEX(PM_Category,MATCH($B453,PM_ID,0)),""))</f>
        <v/>
      </c>
      <c r="E453" s="8">
        <f>IF($B453="","",IFERROR(INDEX(PM_Subcategory,MATCH($B453,PM_ID,0)),""))</f>
        <v/>
      </c>
      <c r="F453" s="8">
        <f>IF($B453="","",IFERROR(INDEX(PM_Brand,MATCH($B453,PM_ID,0)),""))</f>
        <v/>
      </c>
      <c r="G453" s="8">
        <f>IF($B453="","",IFERROR(INDEX(PM_Model,MATCH($B453,PM_ID,0)),""))</f>
        <v/>
      </c>
      <c r="H453" s="5" t="n"/>
      <c r="I453" s="10" t="n"/>
      <c r="J453" s="9" t="n"/>
      <c r="K453" s="5" t="n"/>
      <c r="L453" s="5" t="n"/>
      <c r="M453" s="5" t="n"/>
      <c r="N453" s="5" t="n"/>
      <c r="O453" s="8">
        <f>IF($B453="","",IF(AND($A453&lt;&gt;"",COUNTIF(INV_ID,$A453)&gt;1),"⚠ this Unit ID already exists",IF(AND($H453&lt;&gt;"",COUNTIF(INV_Serial,$H453)&gt;1),"⚠ this serial already exists",IF(COUNTIFS(INV_Product,$B453,INV_No,$C453)&gt;1,"⚠ piece number reused",""))))</f>
        <v/>
      </c>
      <c r="P453" s="5" t="n"/>
    </row>
    <row r="454">
      <c r="A454" s="8">
        <f>IF(OR($B454="",$C454=""),"",IFERROR(INDEX(PM_Short,MATCH($B454,PM_ID,0))&amp;"-"&amp;TEXT($C454,"00"),"?? no such product"))</f>
        <v/>
      </c>
      <c r="B454" s="5" t="n"/>
      <c r="C454" s="5" t="n"/>
      <c r="D454" s="8">
        <f>IF($B454="","",IFERROR(INDEX(PM_Category,MATCH($B454,PM_ID,0)),""))</f>
        <v/>
      </c>
      <c r="E454" s="8">
        <f>IF($B454="","",IFERROR(INDEX(PM_Subcategory,MATCH($B454,PM_ID,0)),""))</f>
        <v/>
      </c>
      <c r="F454" s="8">
        <f>IF($B454="","",IFERROR(INDEX(PM_Brand,MATCH($B454,PM_ID,0)),""))</f>
        <v/>
      </c>
      <c r="G454" s="8">
        <f>IF($B454="","",IFERROR(INDEX(PM_Model,MATCH($B454,PM_ID,0)),""))</f>
        <v/>
      </c>
      <c r="H454" s="5" t="n"/>
      <c r="I454" s="10" t="n"/>
      <c r="J454" s="9" t="n"/>
      <c r="K454" s="5" t="n"/>
      <c r="L454" s="5" t="n"/>
      <c r="M454" s="5" t="n"/>
      <c r="N454" s="5" t="n"/>
      <c r="O454" s="8">
        <f>IF($B454="","",IF(AND($A454&lt;&gt;"",COUNTIF(INV_ID,$A454)&gt;1),"⚠ this Unit ID already exists",IF(AND($H454&lt;&gt;"",COUNTIF(INV_Serial,$H454)&gt;1),"⚠ this serial already exists",IF(COUNTIFS(INV_Product,$B454,INV_No,$C454)&gt;1,"⚠ piece number reused",""))))</f>
        <v/>
      </c>
      <c r="P454" s="5" t="n"/>
    </row>
    <row r="455">
      <c r="A455" s="8">
        <f>IF(OR($B455="",$C455=""),"",IFERROR(INDEX(PM_Short,MATCH($B455,PM_ID,0))&amp;"-"&amp;TEXT($C455,"00"),"?? no such product"))</f>
        <v/>
      </c>
      <c r="B455" s="5" t="n"/>
      <c r="C455" s="5" t="n"/>
      <c r="D455" s="8">
        <f>IF($B455="","",IFERROR(INDEX(PM_Category,MATCH($B455,PM_ID,0)),""))</f>
        <v/>
      </c>
      <c r="E455" s="8">
        <f>IF($B455="","",IFERROR(INDEX(PM_Subcategory,MATCH($B455,PM_ID,0)),""))</f>
        <v/>
      </c>
      <c r="F455" s="8">
        <f>IF($B455="","",IFERROR(INDEX(PM_Brand,MATCH($B455,PM_ID,0)),""))</f>
        <v/>
      </c>
      <c r="G455" s="8">
        <f>IF($B455="","",IFERROR(INDEX(PM_Model,MATCH($B455,PM_ID,0)),""))</f>
        <v/>
      </c>
      <c r="H455" s="5" t="n"/>
      <c r="I455" s="10" t="n"/>
      <c r="J455" s="9" t="n"/>
      <c r="K455" s="5" t="n"/>
      <c r="L455" s="5" t="n"/>
      <c r="M455" s="5" t="n"/>
      <c r="N455" s="5" t="n"/>
      <c r="O455" s="8">
        <f>IF($B455="","",IF(AND($A455&lt;&gt;"",COUNTIF(INV_ID,$A455)&gt;1),"⚠ this Unit ID already exists",IF(AND($H455&lt;&gt;"",COUNTIF(INV_Serial,$H455)&gt;1),"⚠ this serial already exists",IF(COUNTIFS(INV_Product,$B455,INV_No,$C455)&gt;1,"⚠ piece number reused",""))))</f>
        <v/>
      </c>
      <c r="P455" s="5" t="n"/>
    </row>
    <row r="456">
      <c r="A456" s="8">
        <f>IF(OR($B456="",$C456=""),"",IFERROR(INDEX(PM_Short,MATCH($B456,PM_ID,0))&amp;"-"&amp;TEXT($C456,"00"),"?? no such product"))</f>
        <v/>
      </c>
      <c r="B456" s="5" t="n"/>
      <c r="C456" s="5" t="n"/>
      <c r="D456" s="8">
        <f>IF($B456="","",IFERROR(INDEX(PM_Category,MATCH($B456,PM_ID,0)),""))</f>
        <v/>
      </c>
      <c r="E456" s="8">
        <f>IF($B456="","",IFERROR(INDEX(PM_Subcategory,MATCH($B456,PM_ID,0)),""))</f>
        <v/>
      </c>
      <c r="F456" s="8">
        <f>IF($B456="","",IFERROR(INDEX(PM_Brand,MATCH($B456,PM_ID,0)),""))</f>
        <v/>
      </c>
      <c r="G456" s="8">
        <f>IF($B456="","",IFERROR(INDEX(PM_Model,MATCH($B456,PM_ID,0)),""))</f>
        <v/>
      </c>
      <c r="H456" s="5" t="n"/>
      <c r="I456" s="10" t="n"/>
      <c r="J456" s="9" t="n"/>
      <c r="K456" s="5" t="n"/>
      <c r="L456" s="5" t="n"/>
      <c r="M456" s="5" t="n"/>
      <c r="N456" s="5" t="n"/>
      <c r="O456" s="8">
        <f>IF($B456="","",IF(AND($A456&lt;&gt;"",COUNTIF(INV_ID,$A456)&gt;1),"⚠ this Unit ID already exists",IF(AND($H456&lt;&gt;"",COUNTIF(INV_Serial,$H456)&gt;1),"⚠ this serial already exists",IF(COUNTIFS(INV_Product,$B456,INV_No,$C456)&gt;1,"⚠ piece number reused",""))))</f>
        <v/>
      </c>
      <c r="P456" s="5" t="n"/>
    </row>
    <row r="457">
      <c r="A457" s="8">
        <f>IF(OR($B457="",$C457=""),"",IFERROR(INDEX(PM_Short,MATCH($B457,PM_ID,0))&amp;"-"&amp;TEXT($C457,"00"),"?? no such product"))</f>
        <v/>
      </c>
      <c r="B457" s="5" t="n"/>
      <c r="C457" s="5" t="n"/>
      <c r="D457" s="8">
        <f>IF($B457="","",IFERROR(INDEX(PM_Category,MATCH($B457,PM_ID,0)),""))</f>
        <v/>
      </c>
      <c r="E457" s="8">
        <f>IF($B457="","",IFERROR(INDEX(PM_Subcategory,MATCH($B457,PM_ID,0)),""))</f>
        <v/>
      </c>
      <c r="F457" s="8">
        <f>IF($B457="","",IFERROR(INDEX(PM_Brand,MATCH($B457,PM_ID,0)),""))</f>
        <v/>
      </c>
      <c r="G457" s="8">
        <f>IF($B457="","",IFERROR(INDEX(PM_Model,MATCH($B457,PM_ID,0)),""))</f>
        <v/>
      </c>
      <c r="H457" s="5" t="n"/>
      <c r="I457" s="10" t="n"/>
      <c r="J457" s="9" t="n"/>
      <c r="K457" s="5" t="n"/>
      <c r="L457" s="5" t="n"/>
      <c r="M457" s="5" t="n"/>
      <c r="N457" s="5" t="n"/>
      <c r="O457" s="8">
        <f>IF($B457="","",IF(AND($A457&lt;&gt;"",COUNTIF(INV_ID,$A457)&gt;1),"⚠ this Unit ID already exists",IF(AND($H457&lt;&gt;"",COUNTIF(INV_Serial,$H457)&gt;1),"⚠ this serial already exists",IF(COUNTIFS(INV_Product,$B457,INV_No,$C457)&gt;1,"⚠ piece number reused",""))))</f>
        <v/>
      </c>
      <c r="P457" s="5" t="n"/>
    </row>
    <row r="458">
      <c r="A458" s="8">
        <f>IF(OR($B458="",$C458=""),"",IFERROR(INDEX(PM_Short,MATCH($B458,PM_ID,0))&amp;"-"&amp;TEXT($C458,"00"),"?? no such product"))</f>
        <v/>
      </c>
      <c r="B458" s="5" t="n"/>
      <c r="C458" s="5" t="n"/>
      <c r="D458" s="8">
        <f>IF($B458="","",IFERROR(INDEX(PM_Category,MATCH($B458,PM_ID,0)),""))</f>
        <v/>
      </c>
      <c r="E458" s="8">
        <f>IF($B458="","",IFERROR(INDEX(PM_Subcategory,MATCH($B458,PM_ID,0)),""))</f>
        <v/>
      </c>
      <c r="F458" s="8">
        <f>IF($B458="","",IFERROR(INDEX(PM_Brand,MATCH($B458,PM_ID,0)),""))</f>
        <v/>
      </c>
      <c r="G458" s="8">
        <f>IF($B458="","",IFERROR(INDEX(PM_Model,MATCH($B458,PM_ID,0)),""))</f>
        <v/>
      </c>
      <c r="H458" s="5" t="n"/>
      <c r="I458" s="10" t="n"/>
      <c r="J458" s="9" t="n"/>
      <c r="K458" s="5" t="n"/>
      <c r="L458" s="5" t="n"/>
      <c r="M458" s="5" t="n"/>
      <c r="N458" s="5" t="n"/>
      <c r="O458" s="8">
        <f>IF($B458="","",IF(AND($A458&lt;&gt;"",COUNTIF(INV_ID,$A458)&gt;1),"⚠ this Unit ID already exists",IF(AND($H458&lt;&gt;"",COUNTIF(INV_Serial,$H458)&gt;1),"⚠ this serial already exists",IF(COUNTIFS(INV_Product,$B458,INV_No,$C458)&gt;1,"⚠ piece number reused",""))))</f>
        <v/>
      </c>
      <c r="P458" s="5" t="n"/>
    </row>
    <row r="459">
      <c r="A459" s="8">
        <f>IF(OR($B459="",$C459=""),"",IFERROR(INDEX(PM_Short,MATCH($B459,PM_ID,0))&amp;"-"&amp;TEXT($C459,"00"),"?? no such product"))</f>
        <v/>
      </c>
      <c r="B459" s="5" t="n"/>
      <c r="C459" s="5" t="n"/>
      <c r="D459" s="8">
        <f>IF($B459="","",IFERROR(INDEX(PM_Category,MATCH($B459,PM_ID,0)),""))</f>
        <v/>
      </c>
      <c r="E459" s="8">
        <f>IF($B459="","",IFERROR(INDEX(PM_Subcategory,MATCH($B459,PM_ID,0)),""))</f>
        <v/>
      </c>
      <c r="F459" s="8">
        <f>IF($B459="","",IFERROR(INDEX(PM_Brand,MATCH($B459,PM_ID,0)),""))</f>
        <v/>
      </c>
      <c r="G459" s="8">
        <f>IF($B459="","",IFERROR(INDEX(PM_Model,MATCH($B459,PM_ID,0)),""))</f>
        <v/>
      </c>
      <c r="H459" s="5" t="n"/>
      <c r="I459" s="10" t="n"/>
      <c r="J459" s="9" t="n"/>
      <c r="K459" s="5" t="n"/>
      <c r="L459" s="5" t="n"/>
      <c r="M459" s="5" t="n"/>
      <c r="N459" s="5" t="n"/>
      <c r="O459" s="8">
        <f>IF($B459="","",IF(AND($A459&lt;&gt;"",COUNTIF(INV_ID,$A459)&gt;1),"⚠ this Unit ID already exists",IF(AND($H459&lt;&gt;"",COUNTIF(INV_Serial,$H459)&gt;1),"⚠ this serial already exists",IF(COUNTIFS(INV_Product,$B459,INV_No,$C459)&gt;1,"⚠ piece number reused",""))))</f>
        <v/>
      </c>
      <c r="P459" s="5" t="n"/>
    </row>
    <row r="460">
      <c r="A460" s="8">
        <f>IF(OR($B460="",$C460=""),"",IFERROR(INDEX(PM_Short,MATCH($B460,PM_ID,0))&amp;"-"&amp;TEXT($C460,"00"),"?? no such product"))</f>
        <v/>
      </c>
      <c r="B460" s="5" t="n"/>
      <c r="C460" s="5" t="n"/>
      <c r="D460" s="8">
        <f>IF($B460="","",IFERROR(INDEX(PM_Category,MATCH($B460,PM_ID,0)),""))</f>
        <v/>
      </c>
      <c r="E460" s="8">
        <f>IF($B460="","",IFERROR(INDEX(PM_Subcategory,MATCH($B460,PM_ID,0)),""))</f>
        <v/>
      </c>
      <c r="F460" s="8">
        <f>IF($B460="","",IFERROR(INDEX(PM_Brand,MATCH($B460,PM_ID,0)),""))</f>
        <v/>
      </c>
      <c r="G460" s="8">
        <f>IF($B460="","",IFERROR(INDEX(PM_Model,MATCH($B460,PM_ID,0)),""))</f>
        <v/>
      </c>
      <c r="H460" s="5" t="n"/>
      <c r="I460" s="10" t="n"/>
      <c r="J460" s="9" t="n"/>
      <c r="K460" s="5" t="n"/>
      <c r="L460" s="5" t="n"/>
      <c r="M460" s="5" t="n"/>
      <c r="N460" s="5" t="n"/>
      <c r="O460" s="8">
        <f>IF($B460="","",IF(AND($A460&lt;&gt;"",COUNTIF(INV_ID,$A460)&gt;1),"⚠ this Unit ID already exists",IF(AND($H460&lt;&gt;"",COUNTIF(INV_Serial,$H460)&gt;1),"⚠ this serial already exists",IF(COUNTIFS(INV_Product,$B460,INV_No,$C460)&gt;1,"⚠ piece number reused",""))))</f>
        <v/>
      </c>
      <c r="P460" s="5" t="n"/>
    </row>
    <row r="461">
      <c r="A461" s="8">
        <f>IF(OR($B461="",$C461=""),"",IFERROR(INDEX(PM_Short,MATCH($B461,PM_ID,0))&amp;"-"&amp;TEXT($C461,"00"),"?? no such product"))</f>
        <v/>
      </c>
      <c r="B461" s="5" t="n"/>
      <c r="C461" s="5" t="n"/>
      <c r="D461" s="8">
        <f>IF($B461="","",IFERROR(INDEX(PM_Category,MATCH($B461,PM_ID,0)),""))</f>
        <v/>
      </c>
      <c r="E461" s="8">
        <f>IF($B461="","",IFERROR(INDEX(PM_Subcategory,MATCH($B461,PM_ID,0)),""))</f>
        <v/>
      </c>
      <c r="F461" s="8">
        <f>IF($B461="","",IFERROR(INDEX(PM_Brand,MATCH($B461,PM_ID,0)),""))</f>
        <v/>
      </c>
      <c r="G461" s="8">
        <f>IF($B461="","",IFERROR(INDEX(PM_Model,MATCH($B461,PM_ID,0)),""))</f>
        <v/>
      </c>
      <c r="H461" s="5" t="n"/>
      <c r="I461" s="10" t="n"/>
      <c r="J461" s="9" t="n"/>
      <c r="K461" s="5" t="n"/>
      <c r="L461" s="5" t="n"/>
      <c r="M461" s="5" t="n"/>
      <c r="N461" s="5" t="n"/>
      <c r="O461" s="8">
        <f>IF($B461="","",IF(AND($A461&lt;&gt;"",COUNTIF(INV_ID,$A461)&gt;1),"⚠ this Unit ID already exists",IF(AND($H461&lt;&gt;"",COUNTIF(INV_Serial,$H461)&gt;1),"⚠ this serial already exists",IF(COUNTIFS(INV_Product,$B461,INV_No,$C461)&gt;1,"⚠ piece number reused",""))))</f>
        <v/>
      </c>
      <c r="P461" s="5" t="n"/>
    </row>
    <row r="462">
      <c r="A462" s="8">
        <f>IF(OR($B462="",$C462=""),"",IFERROR(INDEX(PM_Short,MATCH($B462,PM_ID,0))&amp;"-"&amp;TEXT($C462,"00"),"?? no such product"))</f>
        <v/>
      </c>
      <c r="B462" s="5" t="n"/>
      <c r="C462" s="5" t="n"/>
      <c r="D462" s="8">
        <f>IF($B462="","",IFERROR(INDEX(PM_Category,MATCH($B462,PM_ID,0)),""))</f>
        <v/>
      </c>
      <c r="E462" s="8">
        <f>IF($B462="","",IFERROR(INDEX(PM_Subcategory,MATCH($B462,PM_ID,0)),""))</f>
        <v/>
      </c>
      <c r="F462" s="8">
        <f>IF($B462="","",IFERROR(INDEX(PM_Brand,MATCH($B462,PM_ID,0)),""))</f>
        <v/>
      </c>
      <c r="G462" s="8">
        <f>IF($B462="","",IFERROR(INDEX(PM_Model,MATCH($B462,PM_ID,0)),""))</f>
        <v/>
      </c>
      <c r="H462" s="5" t="n"/>
      <c r="I462" s="10" t="n"/>
      <c r="J462" s="9" t="n"/>
      <c r="K462" s="5" t="n"/>
      <c r="L462" s="5" t="n"/>
      <c r="M462" s="5" t="n"/>
      <c r="N462" s="5" t="n"/>
      <c r="O462" s="8">
        <f>IF($B462="","",IF(AND($A462&lt;&gt;"",COUNTIF(INV_ID,$A462)&gt;1),"⚠ this Unit ID already exists",IF(AND($H462&lt;&gt;"",COUNTIF(INV_Serial,$H462)&gt;1),"⚠ this serial already exists",IF(COUNTIFS(INV_Product,$B462,INV_No,$C462)&gt;1,"⚠ piece number reused",""))))</f>
        <v/>
      </c>
      <c r="P462" s="5" t="n"/>
    </row>
    <row r="463">
      <c r="A463" s="8">
        <f>IF(OR($B463="",$C463=""),"",IFERROR(INDEX(PM_Short,MATCH($B463,PM_ID,0))&amp;"-"&amp;TEXT($C463,"00"),"?? no such product"))</f>
        <v/>
      </c>
      <c r="B463" s="5" t="n"/>
      <c r="C463" s="5" t="n"/>
      <c r="D463" s="8">
        <f>IF($B463="","",IFERROR(INDEX(PM_Category,MATCH($B463,PM_ID,0)),""))</f>
        <v/>
      </c>
      <c r="E463" s="8">
        <f>IF($B463="","",IFERROR(INDEX(PM_Subcategory,MATCH($B463,PM_ID,0)),""))</f>
        <v/>
      </c>
      <c r="F463" s="8">
        <f>IF($B463="","",IFERROR(INDEX(PM_Brand,MATCH($B463,PM_ID,0)),""))</f>
        <v/>
      </c>
      <c r="G463" s="8">
        <f>IF($B463="","",IFERROR(INDEX(PM_Model,MATCH($B463,PM_ID,0)),""))</f>
        <v/>
      </c>
      <c r="H463" s="5" t="n"/>
      <c r="I463" s="10" t="n"/>
      <c r="J463" s="9" t="n"/>
      <c r="K463" s="5" t="n"/>
      <c r="L463" s="5" t="n"/>
      <c r="M463" s="5" t="n"/>
      <c r="N463" s="5" t="n"/>
      <c r="O463" s="8">
        <f>IF($B463="","",IF(AND($A463&lt;&gt;"",COUNTIF(INV_ID,$A463)&gt;1),"⚠ this Unit ID already exists",IF(AND($H463&lt;&gt;"",COUNTIF(INV_Serial,$H463)&gt;1),"⚠ this serial already exists",IF(COUNTIFS(INV_Product,$B463,INV_No,$C463)&gt;1,"⚠ piece number reused",""))))</f>
        <v/>
      </c>
      <c r="P463" s="5" t="n"/>
    </row>
    <row r="464">
      <c r="A464" s="8">
        <f>IF(OR($B464="",$C464=""),"",IFERROR(INDEX(PM_Short,MATCH($B464,PM_ID,0))&amp;"-"&amp;TEXT($C464,"00"),"?? no such product"))</f>
        <v/>
      </c>
      <c r="B464" s="5" t="n"/>
      <c r="C464" s="5" t="n"/>
      <c r="D464" s="8">
        <f>IF($B464="","",IFERROR(INDEX(PM_Category,MATCH($B464,PM_ID,0)),""))</f>
        <v/>
      </c>
      <c r="E464" s="8">
        <f>IF($B464="","",IFERROR(INDEX(PM_Subcategory,MATCH($B464,PM_ID,0)),""))</f>
        <v/>
      </c>
      <c r="F464" s="8">
        <f>IF($B464="","",IFERROR(INDEX(PM_Brand,MATCH($B464,PM_ID,0)),""))</f>
        <v/>
      </c>
      <c r="G464" s="8">
        <f>IF($B464="","",IFERROR(INDEX(PM_Model,MATCH($B464,PM_ID,0)),""))</f>
        <v/>
      </c>
      <c r="H464" s="5" t="n"/>
      <c r="I464" s="10" t="n"/>
      <c r="J464" s="9" t="n"/>
      <c r="K464" s="5" t="n"/>
      <c r="L464" s="5" t="n"/>
      <c r="M464" s="5" t="n"/>
      <c r="N464" s="5" t="n"/>
      <c r="O464" s="8">
        <f>IF($B464="","",IF(AND($A464&lt;&gt;"",COUNTIF(INV_ID,$A464)&gt;1),"⚠ this Unit ID already exists",IF(AND($H464&lt;&gt;"",COUNTIF(INV_Serial,$H464)&gt;1),"⚠ this serial already exists",IF(COUNTIFS(INV_Product,$B464,INV_No,$C464)&gt;1,"⚠ piece number reused",""))))</f>
        <v/>
      </c>
      <c r="P464" s="5" t="n"/>
    </row>
    <row r="465">
      <c r="A465" s="8">
        <f>IF(OR($B465="",$C465=""),"",IFERROR(INDEX(PM_Short,MATCH($B465,PM_ID,0))&amp;"-"&amp;TEXT($C465,"00"),"?? no such product"))</f>
        <v/>
      </c>
      <c r="B465" s="5" t="n"/>
      <c r="C465" s="5" t="n"/>
      <c r="D465" s="8">
        <f>IF($B465="","",IFERROR(INDEX(PM_Category,MATCH($B465,PM_ID,0)),""))</f>
        <v/>
      </c>
      <c r="E465" s="8">
        <f>IF($B465="","",IFERROR(INDEX(PM_Subcategory,MATCH($B465,PM_ID,0)),""))</f>
        <v/>
      </c>
      <c r="F465" s="8">
        <f>IF($B465="","",IFERROR(INDEX(PM_Brand,MATCH($B465,PM_ID,0)),""))</f>
        <v/>
      </c>
      <c r="G465" s="8">
        <f>IF($B465="","",IFERROR(INDEX(PM_Model,MATCH($B465,PM_ID,0)),""))</f>
        <v/>
      </c>
      <c r="H465" s="5" t="n"/>
      <c r="I465" s="10" t="n"/>
      <c r="J465" s="9" t="n"/>
      <c r="K465" s="5" t="n"/>
      <c r="L465" s="5" t="n"/>
      <c r="M465" s="5" t="n"/>
      <c r="N465" s="5" t="n"/>
      <c r="O465" s="8">
        <f>IF($B465="","",IF(AND($A465&lt;&gt;"",COUNTIF(INV_ID,$A465)&gt;1),"⚠ this Unit ID already exists",IF(AND($H465&lt;&gt;"",COUNTIF(INV_Serial,$H465)&gt;1),"⚠ this serial already exists",IF(COUNTIFS(INV_Product,$B465,INV_No,$C465)&gt;1,"⚠ piece number reused",""))))</f>
        <v/>
      </c>
      <c r="P465" s="5" t="n"/>
    </row>
    <row r="466">
      <c r="A466" s="8">
        <f>IF(OR($B466="",$C466=""),"",IFERROR(INDEX(PM_Short,MATCH($B466,PM_ID,0))&amp;"-"&amp;TEXT($C466,"00"),"?? no such product"))</f>
        <v/>
      </c>
      <c r="B466" s="5" t="n"/>
      <c r="C466" s="5" t="n"/>
      <c r="D466" s="8">
        <f>IF($B466="","",IFERROR(INDEX(PM_Category,MATCH($B466,PM_ID,0)),""))</f>
        <v/>
      </c>
      <c r="E466" s="8">
        <f>IF($B466="","",IFERROR(INDEX(PM_Subcategory,MATCH($B466,PM_ID,0)),""))</f>
        <v/>
      </c>
      <c r="F466" s="8">
        <f>IF($B466="","",IFERROR(INDEX(PM_Brand,MATCH($B466,PM_ID,0)),""))</f>
        <v/>
      </c>
      <c r="G466" s="8">
        <f>IF($B466="","",IFERROR(INDEX(PM_Model,MATCH($B466,PM_ID,0)),""))</f>
        <v/>
      </c>
      <c r="H466" s="5" t="n"/>
      <c r="I466" s="10" t="n"/>
      <c r="J466" s="9" t="n"/>
      <c r="K466" s="5" t="n"/>
      <c r="L466" s="5" t="n"/>
      <c r="M466" s="5" t="n"/>
      <c r="N466" s="5" t="n"/>
      <c r="O466" s="8">
        <f>IF($B466="","",IF(AND($A466&lt;&gt;"",COUNTIF(INV_ID,$A466)&gt;1),"⚠ this Unit ID already exists",IF(AND($H466&lt;&gt;"",COUNTIF(INV_Serial,$H466)&gt;1),"⚠ this serial already exists",IF(COUNTIFS(INV_Product,$B466,INV_No,$C466)&gt;1,"⚠ piece number reused",""))))</f>
        <v/>
      </c>
      <c r="P466" s="5" t="n"/>
    </row>
    <row r="467">
      <c r="A467" s="8">
        <f>IF(OR($B467="",$C467=""),"",IFERROR(INDEX(PM_Short,MATCH($B467,PM_ID,0))&amp;"-"&amp;TEXT($C467,"00"),"?? no such product"))</f>
        <v/>
      </c>
      <c r="B467" s="5" t="n"/>
      <c r="C467" s="5" t="n"/>
      <c r="D467" s="8">
        <f>IF($B467="","",IFERROR(INDEX(PM_Category,MATCH($B467,PM_ID,0)),""))</f>
        <v/>
      </c>
      <c r="E467" s="8">
        <f>IF($B467="","",IFERROR(INDEX(PM_Subcategory,MATCH($B467,PM_ID,0)),""))</f>
        <v/>
      </c>
      <c r="F467" s="8">
        <f>IF($B467="","",IFERROR(INDEX(PM_Brand,MATCH($B467,PM_ID,0)),""))</f>
        <v/>
      </c>
      <c r="G467" s="8">
        <f>IF($B467="","",IFERROR(INDEX(PM_Model,MATCH($B467,PM_ID,0)),""))</f>
        <v/>
      </c>
      <c r="H467" s="5" t="n"/>
      <c r="I467" s="10" t="n"/>
      <c r="J467" s="9" t="n"/>
      <c r="K467" s="5" t="n"/>
      <c r="L467" s="5" t="n"/>
      <c r="M467" s="5" t="n"/>
      <c r="N467" s="5" t="n"/>
      <c r="O467" s="8">
        <f>IF($B467="","",IF(AND($A467&lt;&gt;"",COUNTIF(INV_ID,$A467)&gt;1),"⚠ this Unit ID already exists",IF(AND($H467&lt;&gt;"",COUNTIF(INV_Serial,$H467)&gt;1),"⚠ this serial already exists",IF(COUNTIFS(INV_Product,$B467,INV_No,$C467)&gt;1,"⚠ piece number reused",""))))</f>
        <v/>
      </c>
      <c r="P467" s="5" t="n"/>
    </row>
    <row r="468">
      <c r="A468" s="8">
        <f>IF(OR($B468="",$C468=""),"",IFERROR(INDEX(PM_Short,MATCH($B468,PM_ID,0))&amp;"-"&amp;TEXT($C468,"00"),"?? no such product"))</f>
        <v/>
      </c>
      <c r="B468" s="5" t="n"/>
      <c r="C468" s="5" t="n"/>
      <c r="D468" s="8">
        <f>IF($B468="","",IFERROR(INDEX(PM_Category,MATCH($B468,PM_ID,0)),""))</f>
        <v/>
      </c>
      <c r="E468" s="8">
        <f>IF($B468="","",IFERROR(INDEX(PM_Subcategory,MATCH($B468,PM_ID,0)),""))</f>
        <v/>
      </c>
      <c r="F468" s="8">
        <f>IF($B468="","",IFERROR(INDEX(PM_Brand,MATCH($B468,PM_ID,0)),""))</f>
        <v/>
      </c>
      <c r="G468" s="8">
        <f>IF($B468="","",IFERROR(INDEX(PM_Model,MATCH($B468,PM_ID,0)),""))</f>
        <v/>
      </c>
      <c r="H468" s="5" t="n"/>
      <c r="I468" s="10" t="n"/>
      <c r="J468" s="9" t="n"/>
      <c r="K468" s="5" t="n"/>
      <c r="L468" s="5" t="n"/>
      <c r="M468" s="5" t="n"/>
      <c r="N468" s="5" t="n"/>
      <c r="O468" s="8">
        <f>IF($B468="","",IF(AND($A468&lt;&gt;"",COUNTIF(INV_ID,$A468)&gt;1),"⚠ this Unit ID already exists",IF(AND($H468&lt;&gt;"",COUNTIF(INV_Serial,$H468)&gt;1),"⚠ this serial already exists",IF(COUNTIFS(INV_Product,$B468,INV_No,$C468)&gt;1,"⚠ piece number reused",""))))</f>
        <v/>
      </c>
      <c r="P468" s="5" t="n"/>
    </row>
    <row r="469">
      <c r="A469" s="8">
        <f>IF(OR($B469="",$C469=""),"",IFERROR(INDEX(PM_Short,MATCH($B469,PM_ID,0))&amp;"-"&amp;TEXT($C469,"00"),"?? no such product"))</f>
        <v/>
      </c>
      <c r="B469" s="5" t="n"/>
      <c r="C469" s="5" t="n"/>
      <c r="D469" s="8">
        <f>IF($B469="","",IFERROR(INDEX(PM_Category,MATCH($B469,PM_ID,0)),""))</f>
        <v/>
      </c>
      <c r="E469" s="8">
        <f>IF($B469="","",IFERROR(INDEX(PM_Subcategory,MATCH($B469,PM_ID,0)),""))</f>
        <v/>
      </c>
      <c r="F469" s="8">
        <f>IF($B469="","",IFERROR(INDEX(PM_Brand,MATCH($B469,PM_ID,0)),""))</f>
        <v/>
      </c>
      <c r="G469" s="8">
        <f>IF($B469="","",IFERROR(INDEX(PM_Model,MATCH($B469,PM_ID,0)),""))</f>
        <v/>
      </c>
      <c r="H469" s="5" t="n"/>
      <c r="I469" s="10" t="n"/>
      <c r="J469" s="9" t="n"/>
      <c r="K469" s="5" t="n"/>
      <c r="L469" s="5" t="n"/>
      <c r="M469" s="5" t="n"/>
      <c r="N469" s="5" t="n"/>
      <c r="O469" s="8">
        <f>IF($B469="","",IF(AND($A469&lt;&gt;"",COUNTIF(INV_ID,$A469)&gt;1),"⚠ this Unit ID already exists",IF(AND($H469&lt;&gt;"",COUNTIF(INV_Serial,$H469)&gt;1),"⚠ this serial already exists",IF(COUNTIFS(INV_Product,$B469,INV_No,$C469)&gt;1,"⚠ piece number reused",""))))</f>
        <v/>
      </c>
      <c r="P469" s="5" t="n"/>
    </row>
    <row r="470">
      <c r="A470" s="8">
        <f>IF(OR($B470="",$C470=""),"",IFERROR(INDEX(PM_Short,MATCH($B470,PM_ID,0))&amp;"-"&amp;TEXT($C470,"00"),"?? no such product"))</f>
        <v/>
      </c>
      <c r="B470" s="5" t="n"/>
      <c r="C470" s="5" t="n"/>
      <c r="D470" s="8">
        <f>IF($B470="","",IFERROR(INDEX(PM_Category,MATCH($B470,PM_ID,0)),""))</f>
        <v/>
      </c>
      <c r="E470" s="8">
        <f>IF($B470="","",IFERROR(INDEX(PM_Subcategory,MATCH($B470,PM_ID,0)),""))</f>
        <v/>
      </c>
      <c r="F470" s="8">
        <f>IF($B470="","",IFERROR(INDEX(PM_Brand,MATCH($B470,PM_ID,0)),""))</f>
        <v/>
      </c>
      <c r="G470" s="8">
        <f>IF($B470="","",IFERROR(INDEX(PM_Model,MATCH($B470,PM_ID,0)),""))</f>
        <v/>
      </c>
      <c r="H470" s="5" t="n"/>
      <c r="I470" s="10" t="n"/>
      <c r="J470" s="9" t="n"/>
      <c r="K470" s="5" t="n"/>
      <c r="L470" s="5" t="n"/>
      <c r="M470" s="5" t="n"/>
      <c r="N470" s="5" t="n"/>
      <c r="O470" s="8">
        <f>IF($B470="","",IF(AND($A470&lt;&gt;"",COUNTIF(INV_ID,$A470)&gt;1),"⚠ this Unit ID already exists",IF(AND($H470&lt;&gt;"",COUNTIF(INV_Serial,$H470)&gt;1),"⚠ this serial already exists",IF(COUNTIFS(INV_Product,$B470,INV_No,$C470)&gt;1,"⚠ piece number reused",""))))</f>
        <v/>
      </c>
      <c r="P470" s="5" t="n"/>
    </row>
    <row r="471">
      <c r="A471" s="8">
        <f>IF(OR($B471="",$C471=""),"",IFERROR(INDEX(PM_Short,MATCH($B471,PM_ID,0))&amp;"-"&amp;TEXT($C471,"00"),"?? no such product"))</f>
        <v/>
      </c>
      <c r="B471" s="5" t="n"/>
      <c r="C471" s="5" t="n"/>
      <c r="D471" s="8">
        <f>IF($B471="","",IFERROR(INDEX(PM_Category,MATCH($B471,PM_ID,0)),""))</f>
        <v/>
      </c>
      <c r="E471" s="8">
        <f>IF($B471="","",IFERROR(INDEX(PM_Subcategory,MATCH($B471,PM_ID,0)),""))</f>
        <v/>
      </c>
      <c r="F471" s="8">
        <f>IF($B471="","",IFERROR(INDEX(PM_Brand,MATCH($B471,PM_ID,0)),""))</f>
        <v/>
      </c>
      <c r="G471" s="8">
        <f>IF($B471="","",IFERROR(INDEX(PM_Model,MATCH($B471,PM_ID,0)),""))</f>
        <v/>
      </c>
      <c r="H471" s="5" t="n"/>
      <c r="I471" s="10" t="n"/>
      <c r="J471" s="9" t="n"/>
      <c r="K471" s="5" t="n"/>
      <c r="L471" s="5" t="n"/>
      <c r="M471" s="5" t="n"/>
      <c r="N471" s="5" t="n"/>
      <c r="O471" s="8">
        <f>IF($B471="","",IF(AND($A471&lt;&gt;"",COUNTIF(INV_ID,$A471)&gt;1),"⚠ this Unit ID already exists",IF(AND($H471&lt;&gt;"",COUNTIF(INV_Serial,$H471)&gt;1),"⚠ this serial already exists",IF(COUNTIFS(INV_Product,$B471,INV_No,$C471)&gt;1,"⚠ piece number reused",""))))</f>
        <v/>
      </c>
      <c r="P471" s="5" t="n"/>
    </row>
    <row r="472">
      <c r="A472" s="8">
        <f>IF(OR($B472="",$C472=""),"",IFERROR(INDEX(PM_Short,MATCH($B472,PM_ID,0))&amp;"-"&amp;TEXT($C472,"00"),"?? no such product"))</f>
        <v/>
      </c>
      <c r="B472" s="5" t="n"/>
      <c r="C472" s="5" t="n"/>
      <c r="D472" s="8">
        <f>IF($B472="","",IFERROR(INDEX(PM_Category,MATCH($B472,PM_ID,0)),""))</f>
        <v/>
      </c>
      <c r="E472" s="8">
        <f>IF($B472="","",IFERROR(INDEX(PM_Subcategory,MATCH($B472,PM_ID,0)),""))</f>
        <v/>
      </c>
      <c r="F472" s="8">
        <f>IF($B472="","",IFERROR(INDEX(PM_Brand,MATCH($B472,PM_ID,0)),""))</f>
        <v/>
      </c>
      <c r="G472" s="8">
        <f>IF($B472="","",IFERROR(INDEX(PM_Model,MATCH($B472,PM_ID,0)),""))</f>
        <v/>
      </c>
      <c r="H472" s="5" t="n"/>
      <c r="I472" s="10" t="n"/>
      <c r="J472" s="9" t="n"/>
      <c r="K472" s="5" t="n"/>
      <c r="L472" s="5" t="n"/>
      <c r="M472" s="5" t="n"/>
      <c r="N472" s="5" t="n"/>
      <c r="O472" s="8">
        <f>IF($B472="","",IF(AND($A472&lt;&gt;"",COUNTIF(INV_ID,$A472)&gt;1),"⚠ this Unit ID already exists",IF(AND($H472&lt;&gt;"",COUNTIF(INV_Serial,$H472)&gt;1),"⚠ this serial already exists",IF(COUNTIFS(INV_Product,$B472,INV_No,$C472)&gt;1,"⚠ piece number reused",""))))</f>
        <v/>
      </c>
      <c r="P472" s="5" t="n"/>
    </row>
    <row r="473">
      <c r="A473" s="8">
        <f>IF(OR($B473="",$C473=""),"",IFERROR(INDEX(PM_Short,MATCH($B473,PM_ID,0))&amp;"-"&amp;TEXT($C473,"00"),"?? no such product"))</f>
        <v/>
      </c>
      <c r="B473" s="5" t="n"/>
      <c r="C473" s="5" t="n"/>
      <c r="D473" s="8">
        <f>IF($B473="","",IFERROR(INDEX(PM_Category,MATCH($B473,PM_ID,0)),""))</f>
        <v/>
      </c>
      <c r="E473" s="8">
        <f>IF($B473="","",IFERROR(INDEX(PM_Subcategory,MATCH($B473,PM_ID,0)),""))</f>
        <v/>
      </c>
      <c r="F473" s="8">
        <f>IF($B473="","",IFERROR(INDEX(PM_Brand,MATCH($B473,PM_ID,0)),""))</f>
        <v/>
      </c>
      <c r="G473" s="8">
        <f>IF($B473="","",IFERROR(INDEX(PM_Model,MATCH($B473,PM_ID,0)),""))</f>
        <v/>
      </c>
      <c r="H473" s="5" t="n"/>
      <c r="I473" s="10" t="n"/>
      <c r="J473" s="9" t="n"/>
      <c r="K473" s="5" t="n"/>
      <c r="L473" s="5" t="n"/>
      <c r="M473" s="5" t="n"/>
      <c r="N473" s="5" t="n"/>
      <c r="O473" s="8">
        <f>IF($B473="","",IF(AND($A473&lt;&gt;"",COUNTIF(INV_ID,$A473)&gt;1),"⚠ this Unit ID already exists",IF(AND($H473&lt;&gt;"",COUNTIF(INV_Serial,$H473)&gt;1),"⚠ this serial already exists",IF(COUNTIFS(INV_Product,$B473,INV_No,$C473)&gt;1,"⚠ piece number reused",""))))</f>
        <v/>
      </c>
      <c r="P473" s="5" t="n"/>
    </row>
    <row r="474">
      <c r="A474" s="8">
        <f>IF(OR($B474="",$C474=""),"",IFERROR(INDEX(PM_Short,MATCH($B474,PM_ID,0))&amp;"-"&amp;TEXT($C474,"00"),"?? no such product"))</f>
        <v/>
      </c>
      <c r="B474" s="5" t="n"/>
      <c r="C474" s="5" t="n"/>
      <c r="D474" s="8">
        <f>IF($B474="","",IFERROR(INDEX(PM_Category,MATCH($B474,PM_ID,0)),""))</f>
        <v/>
      </c>
      <c r="E474" s="8">
        <f>IF($B474="","",IFERROR(INDEX(PM_Subcategory,MATCH($B474,PM_ID,0)),""))</f>
        <v/>
      </c>
      <c r="F474" s="8">
        <f>IF($B474="","",IFERROR(INDEX(PM_Brand,MATCH($B474,PM_ID,0)),""))</f>
        <v/>
      </c>
      <c r="G474" s="8">
        <f>IF($B474="","",IFERROR(INDEX(PM_Model,MATCH($B474,PM_ID,0)),""))</f>
        <v/>
      </c>
      <c r="H474" s="5" t="n"/>
      <c r="I474" s="10" t="n"/>
      <c r="J474" s="9" t="n"/>
      <c r="K474" s="5" t="n"/>
      <c r="L474" s="5" t="n"/>
      <c r="M474" s="5" t="n"/>
      <c r="N474" s="5" t="n"/>
      <c r="O474" s="8">
        <f>IF($B474="","",IF(AND($A474&lt;&gt;"",COUNTIF(INV_ID,$A474)&gt;1),"⚠ this Unit ID already exists",IF(AND($H474&lt;&gt;"",COUNTIF(INV_Serial,$H474)&gt;1),"⚠ this serial already exists",IF(COUNTIFS(INV_Product,$B474,INV_No,$C474)&gt;1,"⚠ piece number reused",""))))</f>
        <v/>
      </c>
      <c r="P474" s="5" t="n"/>
    </row>
    <row r="475">
      <c r="A475" s="8">
        <f>IF(OR($B475="",$C475=""),"",IFERROR(INDEX(PM_Short,MATCH($B475,PM_ID,0))&amp;"-"&amp;TEXT($C475,"00"),"?? no such product"))</f>
        <v/>
      </c>
      <c r="B475" s="5" t="n"/>
      <c r="C475" s="5" t="n"/>
      <c r="D475" s="8">
        <f>IF($B475="","",IFERROR(INDEX(PM_Category,MATCH($B475,PM_ID,0)),""))</f>
        <v/>
      </c>
      <c r="E475" s="8">
        <f>IF($B475="","",IFERROR(INDEX(PM_Subcategory,MATCH($B475,PM_ID,0)),""))</f>
        <v/>
      </c>
      <c r="F475" s="8">
        <f>IF($B475="","",IFERROR(INDEX(PM_Brand,MATCH($B475,PM_ID,0)),""))</f>
        <v/>
      </c>
      <c r="G475" s="8">
        <f>IF($B475="","",IFERROR(INDEX(PM_Model,MATCH($B475,PM_ID,0)),""))</f>
        <v/>
      </c>
      <c r="H475" s="5" t="n"/>
      <c r="I475" s="10" t="n"/>
      <c r="J475" s="9" t="n"/>
      <c r="K475" s="5" t="n"/>
      <c r="L475" s="5" t="n"/>
      <c r="M475" s="5" t="n"/>
      <c r="N475" s="5" t="n"/>
      <c r="O475" s="8">
        <f>IF($B475="","",IF(AND($A475&lt;&gt;"",COUNTIF(INV_ID,$A475)&gt;1),"⚠ this Unit ID already exists",IF(AND($H475&lt;&gt;"",COUNTIF(INV_Serial,$H475)&gt;1),"⚠ this serial already exists",IF(COUNTIFS(INV_Product,$B475,INV_No,$C475)&gt;1,"⚠ piece number reused",""))))</f>
        <v/>
      </c>
      <c r="P475" s="5" t="n"/>
    </row>
    <row r="476">
      <c r="A476" s="8">
        <f>IF(OR($B476="",$C476=""),"",IFERROR(INDEX(PM_Short,MATCH($B476,PM_ID,0))&amp;"-"&amp;TEXT($C476,"00"),"?? no such product"))</f>
        <v/>
      </c>
      <c r="B476" s="5" t="n"/>
      <c r="C476" s="5" t="n"/>
      <c r="D476" s="8">
        <f>IF($B476="","",IFERROR(INDEX(PM_Category,MATCH($B476,PM_ID,0)),""))</f>
        <v/>
      </c>
      <c r="E476" s="8">
        <f>IF($B476="","",IFERROR(INDEX(PM_Subcategory,MATCH($B476,PM_ID,0)),""))</f>
        <v/>
      </c>
      <c r="F476" s="8">
        <f>IF($B476="","",IFERROR(INDEX(PM_Brand,MATCH($B476,PM_ID,0)),""))</f>
        <v/>
      </c>
      <c r="G476" s="8">
        <f>IF($B476="","",IFERROR(INDEX(PM_Model,MATCH($B476,PM_ID,0)),""))</f>
        <v/>
      </c>
      <c r="H476" s="5" t="n"/>
      <c r="I476" s="10" t="n"/>
      <c r="J476" s="9" t="n"/>
      <c r="K476" s="5" t="n"/>
      <c r="L476" s="5" t="n"/>
      <c r="M476" s="5" t="n"/>
      <c r="N476" s="5" t="n"/>
      <c r="O476" s="8">
        <f>IF($B476="","",IF(AND($A476&lt;&gt;"",COUNTIF(INV_ID,$A476)&gt;1),"⚠ this Unit ID already exists",IF(AND($H476&lt;&gt;"",COUNTIF(INV_Serial,$H476)&gt;1),"⚠ this serial already exists",IF(COUNTIFS(INV_Product,$B476,INV_No,$C476)&gt;1,"⚠ piece number reused",""))))</f>
        <v/>
      </c>
      <c r="P476" s="5" t="n"/>
    </row>
    <row r="477">
      <c r="A477" s="8">
        <f>IF(OR($B477="",$C477=""),"",IFERROR(INDEX(PM_Short,MATCH($B477,PM_ID,0))&amp;"-"&amp;TEXT($C477,"00"),"?? no such product"))</f>
        <v/>
      </c>
      <c r="B477" s="5" t="n"/>
      <c r="C477" s="5" t="n"/>
      <c r="D477" s="8">
        <f>IF($B477="","",IFERROR(INDEX(PM_Category,MATCH($B477,PM_ID,0)),""))</f>
        <v/>
      </c>
      <c r="E477" s="8">
        <f>IF($B477="","",IFERROR(INDEX(PM_Subcategory,MATCH($B477,PM_ID,0)),""))</f>
        <v/>
      </c>
      <c r="F477" s="8">
        <f>IF($B477="","",IFERROR(INDEX(PM_Brand,MATCH($B477,PM_ID,0)),""))</f>
        <v/>
      </c>
      <c r="G477" s="8">
        <f>IF($B477="","",IFERROR(INDEX(PM_Model,MATCH($B477,PM_ID,0)),""))</f>
        <v/>
      </c>
      <c r="H477" s="5" t="n"/>
      <c r="I477" s="10" t="n"/>
      <c r="J477" s="9" t="n"/>
      <c r="K477" s="5" t="n"/>
      <c r="L477" s="5" t="n"/>
      <c r="M477" s="5" t="n"/>
      <c r="N477" s="5" t="n"/>
      <c r="O477" s="8">
        <f>IF($B477="","",IF(AND($A477&lt;&gt;"",COUNTIF(INV_ID,$A477)&gt;1),"⚠ this Unit ID already exists",IF(AND($H477&lt;&gt;"",COUNTIF(INV_Serial,$H477)&gt;1),"⚠ this serial already exists",IF(COUNTIFS(INV_Product,$B477,INV_No,$C477)&gt;1,"⚠ piece number reused",""))))</f>
        <v/>
      </c>
      <c r="P477" s="5" t="n"/>
    </row>
    <row r="478">
      <c r="A478" s="8">
        <f>IF(OR($B478="",$C478=""),"",IFERROR(INDEX(PM_Short,MATCH($B478,PM_ID,0))&amp;"-"&amp;TEXT($C478,"00"),"?? no such product"))</f>
        <v/>
      </c>
      <c r="B478" s="5" t="n"/>
      <c r="C478" s="5" t="n"/>
      <c r="D478" s="8">
        <f>IF($B478="","",IFERROR(INDEX(PM_Category,MATCH($B478,PM_ID,0)),""))</f>
        <v/>
      </c>
      <c r="E478" s="8">
        <f>IF($B478="","",IFERROR(INDEX(PM_Subcategory,MATCH($B478,PM_ID,0)),""))</f>
        <v/>
      </c>
      <c r="F478" s="8">
        <f>IF($B478="","",IFERROR(INDEX(PM_Brand,MATCH($B478,PM_ID,0)),""))</f>
        <v/>
      </c>
      <c r="G478" s="8">
        <f>IF($B478="","",IFERROR(INDEX(PM_Model,MATCH($B478,PM_ID,0)),""))</f>
        <v/>
      </c>
      <c r="H478" s="5" t="n"/>
      <c r="I478" s="10" t="n"/>
      <c r="J478" s="9" t="n"/>
      <c r="K478" s="5" t="n"/>
      <c r="L478" s="5" t="n"/>
      <c r="M478" s="5" t="n"/>
      <c r="N478" s="5" t="n"/>
      <c r="O478" s="8">
        <f>IF($B478="","",IF(AND($A478&lt;&gt;"",COUNTIF(INV_ID,$A478)&gt;1),"⚠ this Unit ID already exists",IF(AND($H478&lt;&gt;"",COUNTIF(INV_Serial,$H478)&gt;1),"⚠ this serial already exists",IF(COUNTIFS(INV_Product,$B478,INV_No,$C478)&gt;1,"⚠ piece number reused",""))))</f>
        <v/>
      </c>
      <c r="P478" s="5" t="n"/>
    </row>
    <row r="479">
      <c r="A479" s="8">
        <f>IF(OR($B479="",$C479=""),"",IFERROR(INDEX(PM_Short,MATCH($B479,PM_ID,0))&amp;"-"&amp;TEXT($C479,"00"),"?? no such product"))</f>
        <v/>
      </c>
      <c r="B479" s="5" t="n"/>
      <c r="C479" s="5" t="n"/>
      <c r="D479" s="8">
        <f>IF($B479="","",IFERROR(INDEX(PM_Category,MATCH($B479,PM_ID,0)),""))</f>
        <v/>
      </c>
      <c r="E479" s="8">
        <f>IF($B479="","",IFERROR(INDEX(PM_Subcategory,MATCH($B479,PM_ID,0)),""))</f>
        <v/>
      </c>
      <c r="F479" s="8">
        <f>IF($B479="","",IFERROR(INDEX(PM_Brand,MATCH($B479,PM_ID,0)),""))</f>
        <v/>
      </c>
      <c r="G479" s="8">
        <f>IF($B479="","",IFERROR(INDEX(PM_Model,MATCH($B479,PM_ID,0)),""))</f>
        <v/>
      </c>
      <c r="H479" s="5" t="n"/>
      <c r="I479" s="10" t="n"/>
      <c r="J479" s="9" t="n"/>
      <c r="K479" s="5" t="n"/>
      <c r="L479" s="5" t="n"/>
      <c r="M479" s="5" t="n"/>
      <c r="N479" s="5" t="n"/>
      <c r="O479" s="8">
        <f>IF($B479="","",IF(AND($A479&lt;&gt;"",COUNTIF(INV_ID,$A479)&gt;1),"⚠ this Unit ID already exists",IF(AND($H479&lt;&gt;"",COUNTIF(INV_Serial,$H479)&gt;1),"⚠ this serial already exists",IF(COUNTIFS(INV_Product,$B479,INV_No,$C479)&gt;1,"⚠ piece number reused",""))))</f>
        <v/>
      </c>
      <c r="P479" s="5" t="n"/>
    </row>
    <row r="480">
      <c r="A480" s="8">
        <f>IF(OR($B480="",$C480=""),"",IFERROR(INDEX(PM_Short,MATCH($B480,PM_ID,0))&amp;"-"&amp;TEXT($C480,"00"),"?? no such product"))</f>
        <v/>
      </c>
      <c r="B480" s="5" t="n"/>
      <c r="C480" s="5" t="n"/>
      <c r="D480" s="8">
        <f>IF($B480="","",IFERROR(INDEX(PM_Category,MATCH($B480,PM_ID,0)),""))</f>
        <v/>
      </c>
      <c r="E480" s="8">
        <f>IF($B480="","",IFERROR(INDEX(PM_Subcategory,MATCH($B480,PM_ID,0)),""))</f>
        <v/>
      </c>
      <c r="F480" s="8">
        <f>IF($B480="","",IFERROR(INDEX(PM_Brand,MATCH($B480,PM_ID,0)),""))</f>
        <v/>
      </c>
      <c r="G480" s="8">
        <f>IF($B480="","",IFERROR(INDEX(PM_Model,MATCH($B480,PM_ID,0)),""))</f>
        <v/>
      </c>
      <c r="H480" s="5" t="n"/>
      <c r="I480" s="10" t="n"/>
      <c r="J480" s="9" t="n"/>
      <c r="K480" s="5" t="n"/>
      <c r="L480" s="5" t="n"/>
      <c r="M480" s="5" t="n"/>
      <c r="N480" s="5" t="n"/>
      <c r="O480" s="8">
        <f>IF($B480="","",IF(AND($A480&lt;&gt;"",COUNTIF(INV_ID,$A480)&gt;1),"⚠ this Unit ID already exists",IF(AND($H480&lt;&gt;"",COUNTIF(INV_Serial,$H480)&gt;1),"⚠ this serial already exists",IF(COUNTIFS(INV_Product,$B480,INV_No,$C480)&gt;1,"⚠ piece number reused",""))))</f>
        <v/>
      </c>
      <c r="P480" s="5" t="n"/>
    </row>
    <row r="481">
      <c r="A481" s="8">
        <f>IF(OR($B481="",$C481=""),"",IFERROR(INDEX(PM_Short,MATCH($B481,PM_ID,0))&amp;"-"&amp;TEXT($C481,"00"),"?? no such product"))</f>
        <v/>
      </c>
      <c r="B481" s="5" t="n"/>
      <c r="C481" s="5" t="n"/>
      <c r="D481" s="8">
        <f>IF($B481="","",IFERROR(INDEX(PM_Category,MATCH($B481,PM_ID,0)),""))</f>
        <v/>
      </c>
      <c r="E481" s="8">
        <f>IF($B481="","",IFERROR(INDEX(PM_Subcategory,MATCH($B481,PM_ID,0)),""))</f>
        <v/>
      </c>
      <c r="F481" s="8">
        <f>IF($B481="","",IFERROR(INDEX(PM_Brand,MATCH($B481,PM_ID,0)),""))</f>
        <v/>
      </c>
      <c r="G481" s="8">
        <f>IF($B481="","",IFERROR(INDEX(PM_Model,MATCH($B481,PM_ID,0)),""))</f>
        <v/>
      </c>
      <c r="H481" s="5" t="n"/>
      <c r="I481" s="10" t="n"/>
      <c r="J481" s="9" t="n"/>
      <c r="K481" s="5" t="n"/>
      <c r="L481" s="5" t="n"/>
      <c r="M481" s="5" t="n"/>
      <c r="N481" s="5" t="n"/>
      <c r="O481" s="8">
        <f>IF($B481="","",IF(AND($A481&lt;&gt;"",COUNTIF(INV_ID,$A481)&gt;1),"⚠ this Unit ID already exists",IF(AND($H481&lt;&gt;"",COUNTIF(INV_Serial,$H481)&gt;1),"⚠ this serial already exists",IF(COUNTIFS(INV_Product,$B481,INV_No,$C481)&gt;1,"⚠ piece number reused",""))))</f>
        <v/>
      </c>
      <c r="P481" s="5" t="n"/>
    </row>
    <row r="482">
      <c r="A482" s="8">
        <f>IF(OR($B482="",$C482=""),"",IFERROR(INDEX(PM_Short,MATCH($B482,PM_ID,0))&amp;"-"&amp;TEXT($C482,"00"),"?? no such product"))</f>
        <v/>
      </c>
      <c r="B482" s="5" t="n"/>
      <c r="C482" s="5" t="n"/>
      <c r="D482" s="8">
        <f>IF($B482="","",IFERROR(INDEX(PM_Category,MATCH($B482,PM_ID,0)),""))</f>
        <v/>
      </c>
      <c r="E482" s="8">
        <f>IF($B482="","",IFERROR(INDEX(PM_Subcategory,MATCH($B482,PM_ID,0)),""))</f>
        <v/>
      </c>
      <c r="F482" s="8">
        <f>IF($B482="","",IFERROR(INDEX(PM_Brand,MATCH($B482,PM_ID,0)),""))</f>
        <v/>
      </c>
      <c r="G482" s="8">
        <f>IF($B482="","",IFERROR(INDEX(PM_Model,MATCH($B482,PM_ID,0)),""))</f>
        <v/>
      </c>
      <c r="H482" s="5" t="n"/>
      <c r="I482" s="10" t="n"/>
      <c r="J482" s="9" t="n"/>
      <c r="K482" s="5" t="n"/>
      <c r="L482" s="5" t="n"/>
      <c r="M482" s="5" t="n"/>
      <c r="N482" s="5" t="n"/>
      <c r="O482" s="8">
        <f>IF($B482="","",IF(AND($A482&lt;&gt;"",COUNTIF(INV_ID,$A482)&gt;1),"⚠ this Unit ID already exists",IF(AND($H482&lt;&gt;"",COUNTIF(INV_Serial,$H482)&gt;1),"⚠ this serial already exists",IF(COUNTIFS(INV_Product,$B482,INV_No,$C482)&gt;1,"⚠ piece number reused",""))))</f>
        <v/>
      </c>
      <c r="P482" s="5" t="n"/>
    </row>
    <row r="483">
      <c r="A483" s="8">
        <f>IF(OR($B483="",$C483=""),"",IFERROR(INDEX(PM_Short,MATCH($B483,PM_ID,0))&amp;"-"&amp;TEXT($C483,"00"),"?? no such product"))</f>
        <v/>
      </c>
      <c r="B483" s="5" t="n"/>
      <c r="C483" s="5" t="n"/>
      <c r="D483" s="8">
        <f>IF($B483="","",IFERROR(INDEX(PM_Category,MATCH($B483,PM_ID,0)),""))</f>
        <v/>
      </c>
      <c r="E483" s="8">
        <f>IF($B483="","",IFERROR(INDEX(PM_Subcategory,MATCH($B483,PM_ID,0)),""))</f>
        <v/>
      </c>
      <c r="F483" s="8">
        <f>IF($B483="","",IFERROR(INDEX(PM_Brand,MATCH($B483,PM_ID,0)),""))</f>
        <v/>
      </c>
      <c r="G483" s="8">
        <f>IF($B483="","",IFERROR(INDEX(PM_Model,MATCH($B483,PM_ID,0)),""))</f>
        <v/>
      </c>
      <c r="H483" s="5" t="n"/>
      <c r="I483" s="10" t="n"/>
      <c r="J483" s="9" t="n"/>
      <c r="K483" s="5" t="n"/>
      <c r="L483" s="5" t="n"/>
      <c r="M483" s="5" t="n"/>
      <c r="N483" s="5" t="n"/>
      <c r="O483" s="8">
        <f>IF($B483="","",IF(AND($A483&lt;&gt;"",COUNTIF(INV_ID,$A483)&gt;1),"⚠ this Unit ID already exists",IF(AND($H483&lt;&gt;"",COUNTIF(INV_Serial,$H483)&gt;1),"⚠ this serial already exists",IF(COUNTIFS(INV_Product,$B483,INV_No,$C483)&gt;1,"⚠ piece number reused",""))))</f>
        <v/>
      </c>
      <c r="P483" s="5" t="n"/>
    </row>
    <row r="484">
      <c r="A484" s="8">
        <f>IF(OR($B484="",$C484=""),"",IFERROR(INDEX(PM_Short,MATCH($B484,PM_ID,0))&amp;"-"&amp;TEXT($C484,"00"),"?? no such product"))</f>
        <v/>
      </c>
      <c r="B484" s="5" t="n"/>
      <c r="C484" s="5" t="n"/>
      <c r="D484" s="8">
        <f>IF($B484="","",IFERROR(INDEX(PM_Category,MATCH($B484,PM_ID,0)),""))</f>
        <v/>
      </c>
      <c r="E484" s="8">
        <f>IF($B484="","",IFERROR(INDEX(PM_Subcategory,MATCH($B484,PM_ID,0)),""))</f>
        <v/>
      </c>
      <c r="F484" s="8">
        <f>IF($B484="","",IFERROR(INDEX(PM_Brand,MATCH($B484,PM_ID,0)),""))</f>
        <v/>
      </c>
      <c r="G484" s="8">
        <f>IF($B484="","",IFERROR(INDEX(PM_Model,MATCH($B484,PM_ID,0)),""))</f>
        <v/>
      </c>
      <c r="H484" s="5" t="n"/>
      <c r="I484" s="10" t="n"/>
      <c r="J484" s="9" t="n"/>
      <c r="K484" s="5" t="n"/>
      <c r="L484" s="5" t="n"/>
      <c r="M484" s="5" t="n"/>
      <c r="N484" s="5" t="n"/>
      <c r="O484" s="8">
        <f>IF($B484="","",IF(AND($A484&lt;&gt;"",COUNTIF(INV_ID,$A484)&gt;1),"⚠ this Unit ID already exists",IF(AND($H484&lt;&gt;"",COUNTIF(INV_Serial,$H484)&gt;1),"⚠ this serial already exists",IF(COUNTIFS(INV_Product,$B484,INV_No,$C484)&gt;1,"⚠ piece number reused",""))))</f>
        <v/>
      </c>
      <c r="P484" s="5" t="n"/>
    </row>
    <row r="485">
      <c r="A485" s="8">
        <f>IF(OR($B485="",$C485=""),"",IFERROR(INDEX(PM_Short,MATCH($B485,PM_ID,0))&amp;"-"&amp;TEXT($C485,"00"),"?? no such product"))</f>
        <v/>
      </c>
      <c r="B485" s="5" t="n"/>
      <c r="C485" s="5" t="n"/>
      <c r="D485" s="8">
        <f>IF($B485="","",IFERROR(INDEX(PM_Category,MATCH($B485,PM_ID,0)),""))</f>
        <v/>
      </c>
      <c r="E485" s="8">
        <f>IF($B485="","",IFERROR(INDEX(PM_Subcategory,MATCH($B485,PM_ID,0)),""))</f>
        <v/>
      </c>
      <c r="F485" s="8">
        <f>IF($B485="","",IFERROR(INDEX(PM_Brand,MATCH($B485,PM_ID,0)),""))</f>
        <v/>
      </c>
      <c r="G485" s="8">
        <f>IF($B485="","",IFERROR(INDEX(PM_Model,MATCH($B485,PM_ID,0)),""))</f>
        <v/>
      </c>
      <c r="H485" s="5" t="n"/>
      <c r="I485" s="10" t="n"/>
      <c r="J485" s="9" t="n"/>
      <c r="K485" s="5" t="n"/>
      <c r="L485" s="5" t="n"/>
      <c r="M485" s="5" t="n"/>
      <c r="N485" s="5" t="n"/>
      <c r="O485" s="8">
        <f>IF($B485="","",IF(AND($A485&lt;&gt;"",COUNTIF(INV_ID,$A485)&gt;1),"⚠ this Unit ID already exists",IF(AND($H485&lt;&gt;"",COUNTIF(INV_Serial,$H485)&gt;1),"⚠ this serial already exists",IF(COUNTIFS(INV_Product,$B485,INV_No,$C485)&gt;1,"⚠ piece number reused",""))))</f>
        <v/>
      </c>
      <c r="P485" s="5" t="n"/>
    </row>
    <row r="486">
      <c r="A486" s="8">
        <f>IF(OR($B486="",$C486=""),"",IFERROR(INDEX(PM_Short,MATCH($B486,PM_ID,0))&amp;"-"&amp;TEXT($C486,"00"),"?? no such product"))</f>
        <v/>
      </c>
      <c r="B486" s="5" t="n"/>
      <c r="C486" s="5" t="n"/>
      <c r="D486" s="8">
        <f>IF($B486="","",IFERROR(INDEX(PM_Category,MATCH($B486,PM_ID,0)),""))</f>
        <v/>
      </c>
      <c r="E486" s="8">
        <f>IF($B486="","",IFERROR(INDEX(PM_Subcategory,MATCH($B486,PM_ID,0)),""))</f>
        <v/>
      </c>
      <c r="F486" s="8">
        <f>IF($B486="","",IFERROR(INDEX(PM_Brand,MATCH($B486,PM_ID,0)),""))</f>
        <v/>
      </c>
      <c r="G486" s="8">
        <f>IF($B486="","",IFERROR(INDEX(PM_Model,MATCH($B486,PM_ID,0)),""))</f>
        <v/>
      </c>
      <c r="H486" s="5" t="n"/>
      <c r="I486" s="10" t="n"/>
      <c r="J486" s="9" t="n"/>
      <c r="K486" s="5" t="n"/>
      <c r="L486" s="5" t="n"/>
      <c r="M486" s="5" t="n"/>
      <c r="N486" s="5" t="n"/>
      <c r="O486" s="8">
        <f>IF($B486="","",IF(AND($A486&lt;&gt;"",COUNTIF(INV_ID,$A486)&gt;1),"⚠ this Unit ID already exists",IF(AND($H486&lt;&gt;"",COUNTIF(INV_Serial,$H486)&gt;1),"⚠ this serial already exists",IF(COUNTIFS(INV_Product,$B486,INV_No,$C486)&gt;1,"⚠ piece number reused",""))))</f>
        <v/>
      </c>
      <c r="P486" s="5" t="n"/>
    </row>
    <row r="487">
      <c r="A487" s="8">
        <f>IF(OR($B487="",$C487=""),"",IFERROR(INDEX(PM_Short,MATCH($B487,PM_ID,0))&amp;"-"&amp;TEXT($C487,"00"),"?? no such product"))</f>
        <v/>
      </c>
      <c r="B487" s="5" t="n"/>
      <c r="C487" s="5" t="n"/>
      <c r="D487" s="8">
        <f>IF($B487="","",IFERROR(INDEX(PM_Category,MATCH($B487,PM_ID,0)),""))</f>
        <v/>
      </c>
      <c r="E487" s="8">
        <f>IF($B487="","",IFERROR(INDEX(PM_Subcategory,MATCH($B487,PM_ID,0)),""))</f>
        <v/>
      </c>
      <c r="F487" s="8">
        <f>IF($B487="","",IFERROR(INDEX(PM_Brand,MATCH($B487,PM_ID,0)),""))</f>
        <v/>
      </c>
      <c r="G487" s="8">
        <f>IF($B487="","",IFERROR(INDEX(PM_Model,MATCH($B487,PM_ID,0)),""))</f>
        <v/>
      </c>
      <c r="H487" s="5" t="n"/>
      <c r="I487" s="10" t="n"/>
      <c r="J487" s="9" t="n"/>
      <c r="K487" s="5" t="n"/>
      <c r="L487" s="5" t="n"/>
      <c r="M487" s="5" t="n"/>
      <c r="N487" s="5" t="n"/>
      <c r="O487" s="8">
        <f>IF($B487="","",IF(AND($A487&lt;&gt;"",COUNTIF(INV_ID,$A487)&gt;1),"⚠ this Unit ID already exists",IF(AND($H487&lt;&gt;"",COUNTIF(INV_Serial,$H487)&gt;1),"⚠ this serial already exists",IF(COUNTIFS(INV_Product,$B487,INV_No,$C487)&gt;1,"⚠ piece number reused",""))))</f>
        <v/>
      </c>
      <c r="P487" s="5" t="n"/>
    </row>
    <row r="488">
      <c r="A488" s="8">
        <f>IF(OR($B488="",$C488=""),"",IFERROR(INDEX(PM_Short,MATCH($B488,PM_ID,0))&amp;"-"&amp;TEXT($C488,"00"),"?? no such product"))</f>
        <v/>
      </c>
      <c r="B488" s="5" t="n"/>
      <c r="C488" s="5" t="n"/>
      <c r="D488" s="8">
        <f>IF($B488="","",IFERROR(INDEX(PM_Category,MATCH($B488,PM_ID,0)),""))</f>
        <v/>
      </c>
      <c r="E488" s="8">
        <f>IF($B488="","",IFERROR(INDEX(PM_Subcategory,MATCH($B488,PM_ID,0)),""))</f>
        <v/>
      </c>
      <c r="F488" s="8">
        <f>IF($B488="","",IFERROR(INDEX(PM_Brand,MATCH($B488,PM_ID,0)),""))</f>
        <v/>
      </c>
      <c r="G488" s="8">
        <f>IF($B488="","",IFERROR(INDEX(PM_Model,MATCH($B488,PM_ID,0)),""))</f>
        <v/>
      </c>
      <c r="H488" s="5" t="n"/>
      <c r="I488" s="10" t="n"/>
      <c r="J488" s="9" t="n"/>
      <c r="K488" s="5" t="n"/>
      <c r="L488" s="5" t="n"/>
      <c r="M488" s="5" t="n"/>
      <c r="N488" s="5" t="n"/>
      <c r="O488" s="8">
        <f>IF($B488="","",IF(AND($A488&lt;&gt;"",COUNTIF(INV_ID,$A488)&gt;1),"⚠ this Unit ID already exists",IF(AND($H488&lt;&gt;"",COUNTIF(INV_Serial,$H488)&gt;1),"⚠ this serial already exists",IF(COUNTIFS(INV_Product,$B488,INV_No,$C488)&gt;1,"⚠ piece number reused",""))))</f>
        <v/>
      </c>
      <c r="P488" s="5" t="n"/>
    </row>
    <row r="489">
      <c r="A489" s="8">
        <f>IF(OR($B489="",$C489=""),"",IFERROR(INDEX(PM_Short,MATCH($B489,PM_ID,0))&amp;"-"&amp;TEXT($C489,"00"),"?? no such product"))</f>
        <v/>
      </c>
      <c r="B489" s="5" t="n"/>
      <c r="C489" s="5" t="n"/>
      <c r="D489" s="8">
        <f>IF($B489="","",IFERROR(INDEX(PM_Category,MATCH($B489,PM_ID,0)),""))</f>
        <v/>
      </c>
      <c r="E489" s="8">
        <f>IF($B489="","",IFERROR(INDEX(PM_Subcategory,MATCH($B489,PM_ID,0)),""))</f>
        <v/>
      </c>
      <c r="F489" s="8">
        <f>IF($B489="","",IFERROR(INDEX(PM_Brand,MATCH($B489,PM_ID,0)),""))</f>
        <v/>
      </c>
      <c r="G489" s="8">
        <f>IF($B489="","",IFERROR(INDEX(PM_Model,MATCH($B489,PM_ID,0)),""))</f>
        <v/>
      </c>
      <c r="H489" s="5" t="n"/>
      <c r="I489" s="10" t="n"/>
      <c r="J489" s="9" t="n"/>
      <c r="K489" s="5" t="n"/>
      <c r="L489" s="5" t="n"/>
      <c r="M489" s="5" t="n"/>
      <c r="N489" s="5" t="n"/>
      <c r="O489" s="8">
        <f>IF($B489="","",IF(AND($A489&lt;&gt;"",COUNTIF(INV_ID,$A489)&gt;1),"⚠ this Unit ID already exists",IF(AND($H489&lt;&gt;"",COUNTIF(INV_Serial,$H489)&gt;1),"⚠ this serial already exists",IF(COUNTIFS(INV_Product,$B489,INV_No,$C489)&gt;1,"⚠ piece number reused",""))))</f>
        <v/>
      </c>
      <c r="P489" s="5" t="n"/>
    </row>
    <row r="490">
      <c r="A490" s="8">
        <f>IF(OR($B490="",$C490=""),"",IFERROR(INDEX(PM_Short,MATCH($B490,PM_ID,0))&amp;"-"&amp;TEXT($C490,"00"),"?? no such product"))</f>
        <v/>
      </c>
      <c r="B490" s="5" t="n"/>
      <c r="C490" s="5" t="n"/>
      <c r="D490" s="8">
        <f>IF($B490="","",IFERROR(INDEX(PM_Category,MATCH($B490,PM_ID,0)),""))</f>
        <v/>
      </c>
      <c r="E490" s="8">
        <f>IF($B490="","",IFERROR(INDEX(PM_Subcategory,MATCH($B490,PM_ID,0)),""))</f>
        <v/>
      </c>
      <c r="F490" s="8">
        <f>IF($B490="","",IFERROR(INDEX(PM_Brand,MATCH($B490,PM_ID,0)),""))</f>
        <v/>
      </c>
      <c r="G490" s="8">
        <f>IF($B490="","",IFERROR(INDEX(PM_Model,MATCH($B490,PM_ID,0)),""))</f>
        <v/>
      </c>
      <c r="H490" s="5" t="n"/>
      <c r="I490" s="10" t="n"/>
      <c r="J490" s="9" t="n"/>
      <c r="K490" s="5" t="n"/>
      <c r="L490" s="5" t="n"/>
      <c r="M490" s="5" t="n"/>
      <c r="N490" s="5" t="n"/>
      <c r="O490" s="8">
        <f>IF($B490="","",IF(AND($A490&lt;&gt;"",COUNTIF(INV_ID,$A490)&gt;1),"⚠ this Unit ID already exists",IF(AND($H490&lt;&gt;"",COUNTIF(INV_Serial,$H490)&gt;1),"⚠ this serial already exists",IF(COUNTIFS(INV_Product,$B490,INV_No,$C490)&gt;1,"⚠ piece number reused",""))))</f>
        <v/>
      </c>
      <c r="P490" s="5" t="n"/>
    </row>
    <row r="491">
      <c r="A491" s="8">
        <f>IF(OR($B491="",$C491=""),"",IFERROR(INDEX(PM_Short,MATCH($B491,PM_ID,0))&amp;"-"&amp;TEXT($C491,"00"),"?? no such product"))</f>
        <v/>
      </c>
      <c r="B491" s="5" t="n"/>
      <c r="C491" s="5" t="n"/>
      <c r="D491" s="8">
        <f>IF($B491="","",IFERROR(INDEX(PM_Category,MATCH($B491,PM_ID,0)),""))</f>
        <v/>
      </c>
      <c r="E491" s="8">
        <f>IF($B491="","",IFERROR(INDEX(PM_Subcategory,MATCH($B491,PM_ID,0)),""))</f>
        <v/>
      </c>
      <c r="F491" s="8">
        <f>IF($B491="","",IFERROR(INDEX(PM_Brand,MATCH($B491,PM_ID,0)),""))</f>
        <v/>
      </c>
      <c r="G491" s="8">
        <f>IF($B491="","",IFERROR(INDEX(PM_Model,MATCH($B491,PM_ID,0)),""))</f>
        <v/>
      </c>
      <c r="H491" s="5" t="n"/>
      <c r="I491" s="10" t="n"/>
      <c r="J491" s="9" t="n"/>
      <c r="K491" s="5" t="n"/>
      <c r="L491" s="5" t="n"/>
      <c r="M491" s="5" t="n"/>
      <c r="N491" s="5" t="n"/>
      <c r="O491" s="8">
        <f>IF($B491="","",IF(AND($A491&lt;&gt;"",COUNTIF(INV_ID,$A491)&gt;1),"⚠ this Unit ID already exists",IF(AND($H491&lt;&gt;"",COUNTIF(INV_Serial,$H491)&gt;1),"⚠ this serial already exists",IF(COUNTIFS(INV_Product,$B491,INV_No,$C491)&gt;1,"⚠ piece number reused",""))))</f>
        <v/>
      </c>
      <c r="P491" s="5" t="n"/>
    </row>
    <row r="492">
      <c r="A492" s="8">
        <f>IF(OR($B492="",$C492=""),"",IFERROR(INDEX(PM_Short,MATCH($B492,PM_ID,0))&amp;"-"&amp;TEXT($C492,"00"),"?? no such product"))</f>
        <v/>
      </c>
      <c r="B492" s="5" t="n"/>
      <c r="C492" s="5" t="n"/>
      <c r="D492" s="8">
        <f>IF($B492="","",IFERROR(INDEX(PM_Category,MATCH($B492,PM_ID,0)),""))</f>
        <v/>
      </c>
      <c r="E492" s="8">
        <f>IF($B492="","",IFERROR(INDEX(PM_Subcategory,MATCH($B492,PM_ID,0)),""))</f>
        <v/>
      </c>
      <c r="F492" s="8">
        <f>IF($B492="","",IFERROR(INDEX(PM_Brand,MATCH($B492,PM_ID,0)),""))</f>
        <v/>
      </c>
      <c r="G492" s="8">
        <f>IF($B492="","",IFERROR(INDEX(PM_Model,MATCH($B492,PM_ID,0)),""))</f>
        <v/>
      </c>
      <c r="H492" s="5" t="n"/>
      <c r="I492" s="10" t="n"/>
      <c r="J492" s="9" t="n"/>
      <c r="K492" s="5" t="n"/>
      <c r="L492" s="5" t="n"/>
      <c r="M492" s="5" t="n"/>
      <c r="N492" s="5" t="n"/>
      <c r="O492" s="8">
        <f>IF($B492="","",IF(AND($A492&lt;&gt;"",COUNTIF(INV_ID,$A492)&gt;1),"⚠ this Unit ID already exists",IF(AND($H492&lt;&gt;"",COUNTIF(INV_Serial,$H492)&gt;1),"⚠ this serial already exists",IF(COUNTIFS(INV_Product,$B492,INV_No,$C492)&gt;1,"⚠ piece number reused",""))))</f>
        <v/>
      </c>
      <c r="P492" s="5" t="n"/>
    </row>
    <row r="493">
      <c r="A493" s="8">
        <f>IF(OR($B493="",$C493=""),"",IFERROR(INDEX(PM_Short,MATCH($B493,PM_ID,0))&amp;"-"&amp;TEXT($C493,"00"),"?? no such product"))</f>
        <v/>
      </c>
      <c r="B493" s="5" t="n"/>
      <c r="C493" s="5" t="n"/>
      <c r="D493" s="8">
        <f>IF($B493="","",IFERROR(INDEX(PM_Category,MATCH($B493,PM_ID,0)),""))</f>
        <v/>
      </c>
      <c r="E493" s="8">
        <f>IF($B493="","",IFERROR(INDEX(PM_Subcategory,MATCH($B493,PM_ID,0)),""))</f>
        <v/>
      </c>
      <c r="F493" s="8">
        <f>IF($B493="","",IFERROR(INDEX(PM_Brand,MATCH($B493,PM_ID,0)),""))</f>
        <v/>
      </c>
      <c r="G493" s="8">
        <f>IF($B493="","",IFERROR(INDEX(PM_Model,MATCH($B493,PM_ID,0)),""))</f>
        <v/>
      </c>
      <c r="H493" s="5" t="n"/>
      <c r="I493" s="10" t="n"/>
      <c r="J493" s="9" t="n"/>
      <c r="K493" s="5" t="n"/>
      <c r="L493" s="5" t="n"/>
      <c r="M493" s="5" t="n"/>
      <c r="N493" s="5" t="n"/>
      <c r="O493" s="8">
        <f>IF($B493="","",IF(AND($A493&lt;&gt;"",COUNTIF(INV_ID,$A493)&gt;1),"⚠ this Unit ID already exists",IF(AND($H493&lt;&gt;"",COUNTIF(INV_Serial,$H493)&gt;1),"⚠ this serial already exists",IF(COUNTIFS(INV_Product,$B493,INV_No,$C493)&gt;1,"⚠ piece number reused",""))))</f>
        <v/>
      </c>
      <c r="P493" s="5" t="n"/>
    </row>
    <row r="494">
      <c r="A494" s="8">
        <f>IF(OR($B494="",$C494=""),"",IFERROR(INDEX(PM_Short,MATCH($B494,PM_ID,0))&amp;"-"&amp;TEXT($C494,"00"),"?? no such product"))</f>
        <v/>
      </c>
      <c r="B494" s="5" t="n"/>
      <c r="C494" s="5" t="n"/>
      <c r="D494" s="8">
        <f>IF($B494="","",IFERROR(INDEX(PM_Category,MATCH($B494,PM_ID,0)),""))</f>
        <v/>
      </c>
      <c r="E494" s="8">
        <f>IF($B494="","",IFERROR(INDEX(PM_Subcategory,MATCH($B494,PM_ID,0)),""))</f>
        <v/>
      </c>
      <c r="F494" s="8">
        <f>IF($B494="","",IFERROR(INDEX(PM_Brand,MATCH($B494,PM_ID,0)),""))</f>
        <v/>
      </c>
      <c r="G494" s="8">
        <f>IF($B494="","",IFERROR(INDEX(PM_Model,MATCH($B494,PM_ID,0)),""))</f>
        <v/>
      </c>
      <c r="H494" s="5" t="n"/>
      <c r="I494" s="10" t="n"/>
      <c r="J494" s="9" t="n"/>
      <c r="K494" s="5" t="n"/>
      <c r="L494" s="5" t="n"/>
      <c r="M494" s="5" t="n"/>
      <c r="N494" s="5" t="n"/>
      <c r="O494" s="8">
        <f>IF($B494="","",IF(AND($A494&lt;&gt;"",COUNTIF(INV_ID,$A494)&gt;1),"⚠ this Unit ID already exists",IF(AND($H494&lt;&gt;"",COUNTIF(INV_Serial,$H494)&gt;1),"⚠ this serial already exists",IF(COUNTIFS(INV_Product,$B494,INV_No,$C494)&gt;1,"⚠ piece number reused",""))))</f>
        <v/>
      </c>
      <c r="P494" s="5" t="n"/>
    </row>
    <row r="495">
      <c r="A495" s="8">
        <f>IF(OR($B495="",$C495=""),"",IFERROR(INDEX(PM_Short,MATCH($B495,PM_ID,0))&amp;"-"&amp;TEXT($C495,"00"),"?? no such product"))</f>
        <v/>
      </c>
      <c r="B495" s="5" t="n"/>
      <c r="C495" s="5" t="n"/>
      <c r="D495" s="8">
        <f>IF($B495="","",IFERROR(INDEX(PM_Category,MATCH($B495,PM_ID,0)),""))</f>
        <v/>
      </c>
      <c r="E495" s="8">
        <f>IF($B495="","",IFERROR(INDEX(PM_Subcategory,MATCH($B495,PM_ID,0)),""))</f>
        <v/>
      </c>
      <c r="F495" s="8">
        <f>IF($B495="","",IFERROR(INDEX(PM_Brand,MATCH($B495,PM_ID,0)),""))</f>
        <v/>
      </c>
      <c r="G495" s="8">
        <f>IF($B495="","",IFERROR(INDEX(PM_Model,MATCH($B495,PM_ID,0)),""))</f>
        <v/>
      </c>
      <c r="H495" s="5" t="n"/>
      <c r="I495" s="10" t="n"/>
      <c r="J495" s="9" t="n"/>
      <c r="K495" s="5" t="n"/>
      <c r="L495" s="5" t="n"/>
      <c r="M495" s="5" t="n"/>
      <c r="N495" s="5" t="n"/>
      <c r="O495" s="8">
        <f>IF($B495="","",IF(AND($A495&lt;&gt;"",COUNTIF(INV_ID,$A495)&gt;1),"⚠ this Unit ID already exists",IF(AND($H495&lt;&gt;"",COUNTIF(INV_Serial,$H495)&gt;1),"⚠ this serial already exists",IF(COUNTIFS(INV_Product,$B495,INV_No,$C495)&gt;1,"⚠ piece number reused",""))))</f>
        <v/>
      </c>
      <c r="P495" s="5" t="n"/>
    </row>
    <row r="496">
      <c r="A496" s="8">
        <f>IF(OR($B496="",$C496=""),"",IFERROR(INDEX(PM_Short,MATCH($B496,PM_ID,0))&amp;"-"&amp;TEXT($C496,"00"),"?? no such product"))</f>
        <v/>
      </c>
      <c r="B496" s="5" t="n"/>
      <c r="C496" s="5" t="n"/>
      <c r="D496" s="8">
        <f>IF($B496="","",IFERROR(INDEX(PM_Category,MATCH($B496,PM_ID,0)),""))</f>
        <v/>
      </c>
      <c r="E496" s="8">
        <f>IF($B496="","",IFERROR(INDEX(PM_Subcategory,MATCH($B496,PM_ID,0)),""))</f>
        <v/>
      </c>
      <c r="F496" s="8">
        <f>IF($B496="","",IFERROR(INDEX(PM_Brand,MATCH($B496,PM_ID,0)),""))</f>
        <v/>
      </c>
      <c r="G496" s="8">
        <f>IF($B496="","",IFERROR(INDEX(PM_Model,MATCH($B496,PM_ID,0)),""))</f>
        <v/>
      </c>
      <c r="H496" s="5" t="n"/>
      <c r="I496" s="10" t="n"/>
      <c r="J496" s="9" t="n"/>
      <c r="K496" s="5" t="n"/>
      <c r="L496" s="5" t="n"/>
      <c r="M496" s="5" t="n"/>
      <c r="N496" s="5" t="n"/>
      <c r="O496" s="8">
        <f>IF($B496="","",IF(AND($A496&lt;&gt;"",COUNTIF(INV_ID,$A496)&gt;1),"⚠ this Unit ID already exists",IF(AND($H496&lt;&gt;"",COUNTIF(INV_Serial,$H496)&gt;1),"⚠ this serial already exists",IF(COUNTIFS(INV_Product,$B496,INV_No,$C496)&gt;1,"⚠ piece number reused",""))))</f>
        <v/>
      </c>
      <c r="P496" s="5" t="n"/>
    </row>
    <row r="497">
      <c r="A497" s="8">
        <f>IF(OR($B497="",$C497=""),"",IFERROR(INDEX(PM_Short,MATCH($B497,PM_ID,0))&amp;"-"&amp;TEXT($C497,"00"),"?? no such product"))</f>
        <v/>
      </c>
      <c r="B497" s="5" t="n"/>
      <c r="C497" s="5" t="n"/>
      <c r="D497" s="8">
        <f>IF($B497="","",IFERROR(INDEX(PM_Category,MATCH($B497,PM_ID,0)),""))</f>
        <v/>
      </c>
      <c r="E497" s="8">
        <f>IF($B497="","",IFERROR(INDEX(PM_Subcategory,MATCH($B497,PM_ID,0)),""))</f>
        <v/>
      </c>
      <c r="F497" s="8">
        <f>IF($B497="","",IFERROR(INDEX(PM_Brand,MATCH($B497,PM_ID,0)),""))</f>
        <v/>
      </c>
      <c r="G497" s="8">
        <f>IF($B497="","",IFERROR(INDEX(PM_Model,MATCH($B497,PM_ID,0)),""))</f>
        <v/>
      </c>
      <c r="H497" s="5" t="n"/>
      <c r="I497" s="10" t="n"/>
      <c r="J497" s="9" t="n"/>
      <c r="K497" s="5" t="n"/>
      <c r="L497" s="5" t="n"/>
      <c r="M497" s="5" t="n"/>
      <c r="N497" s="5" t="n"/>
      <c r="O497" s="8">
        <f>IF($B497="","",IF(AND($A497&lt;&gt;"",COUNTIF(INV_ID,$A497)&gt;1),"⚠ this Unit ID already exists",IF(AND($H497&lt;&gt;"",COUNTIF(INV_Serial,$H497)&gt;1),"⚠ this serial already exists",IF(COUNTIFS(INV_Product,$B497,INV_No,$C497)&gt;1,"⚠ piece number reused",""))))</f>
        <v/>
      </c>
      <c r="P497" s="5" t="n"/>
    </row>
    <row r="498">
      <c r="A498" s="8">
        <f>IF(OR($B498="",$C498=""),"",IFERROR(INDEX(PM_Short,MATCH($B498,PM_ID,0))&amp;"-"&amp;TEXT($C498,"00"),"?? no such product"))</f>
        <v/>
      </c>
      <c r="B498" s="5" t="n"/>
      <c r="C498" s="5" t="n"/>
      <c r="D498" s="8">
        <f>IF($B498="","",IFERROR(INDEX(PM_Category,MATCH($B498,PM_ID,0)),""))</f>
        <v/>
      </c>
      <c r="E498" s="8">
        <f>IF($B498="","",IFERROR(INDEX(PM_Subcategory,MATCH($B498,PM_ID,0)),""))</f>
        <v/>
      </c>
      <c r="F498" s="8">
        <f>IF($B498="","",IFERROR(INDEX(PM_Brand,MATCH($B498,PM_ID,0)),""))</f>
        <v/>
      </c>
      <c r="G498" s="8">
        <f>IF($B498="","",IFERROR(INDEX(PM_Model,MATCH($B498,PM_ID,0)),""))</f>
        <v/>
      </c>
      <c r="H498" s="5" t="n"/>
      <c r="I498" s="10" t="n"/>
      <c r="J498" s="9" t="n"/>
      <c r="K498" s="5" t="n"/>
      <c r="L498" s="5" t="n"/>
      <c r="M498" s="5" t="n"/>
      <c r="N498" s="5" t="n"/>
      <c r="O498" s="8">
        <f>IF($B498="","",IF(AND($A498&lt;&gt;"",COUNTIF(INV_ID,$A498)&gt;1),"⚠ this Unit ID already exists",IF(AND($H498&lt;&gt;"",COUNTIF(INV_Serial,$H498)&gt;1),"⚠ this serial already exists",IF(COUNTIFS(INV_Product,$B498,INV_No,$C498)&gt;1,"⚠ piece number reused",""))))</f>
        <v/>
      </c>
      <c r="P498" s="5" t="n"/>
    </row>
    <row r="499">
      <c r="A499" s="8">
        <f>IF(OR($B499="",$C499=""),"",IFERROR(INDEX(PM_Short,MATCH($B499,PM_ID,0))&amp;"-"&amp;TEXT($C499,"00"),"?? no such product"))</f>
        <v/>
      </c>
      <c r="B499" s="5" t="n"/>
      <c r="C499" s="5" t="n"/>
      <c r="D499" s="8">
        <f>IF($B499="","",IFERROR(INDEX(PM_Category,MATCH($B499,PM_ID,0)),""))</f>
        <v/>
      </c>
      <c r="E499" s="8">
        <f>IF($B499="","",IFERROR(INDEX(PM_Subcategory,MATCH($B499,PM_ID,0)),""))</f>
        <v/>
      </c>
      <c r="F499" s="8">
        <f>IF($B499="","",IFERROR(INDEX(PM_Brand,MATCH($B499,PM_ID,0)),""))</f>
        <v/>
      </c>
      <c r="G499" s="8">
        <f>IF($B499="","",IFERROR(INDEX(PM_Model,MATCH($B499,PM_ID,0)),""))</f>
        <v/>
      </c>
      <c r="H499" s="5" t="n"/>
      <c r="I499" s="10" t="n"/>
      <c r="J499" s="9" t="n"/>
      <c r="K499" s="5" t="n"/>
      <c r="L499" s="5" t="n"/>
      <c r="M499" s="5" t="n"/>
      <c r="N499" s="5" t="n"/>
      <c r="O499" s="8">
        <f>IF($B499="","",IF(AND($A499&lt;&gt;"",COUNTIF(INV_ID,$A499)&gt;1),"⚠ this Unit ID already exists",IF(AND($H499&lt;&gt;"",COUNTIF(INV_Serial,$H499)&gt;1),"⚠ this serial already exists",IF(COUNTIFS(INV_Product,$B499,INV_No,$C499)&gt;1,"⚠ piece number reused",""))))</f>
        <v/>
      </c>
      <c r="P499" s="5" t="n"/>
    </row>
    <row r="500">
      <c r="A500" s="8">
        <f>IF(OR($B500="",$C500=""),"",IFERROR(INDEX(PM_Short,MATCH($B500,PM_ID,0))&amp;"-"&amp;TEXT($C500,"00"),"?? no such product"))</f>
        <v/>
      </c>
      <c r="B500" s="5" t="n"/>
      <c r="C500" s="5" t="n"/>
      <c r="D500" s="8">
        <f>IF($B500="","",IFERROR(INDEX(PM_Category,MATCH($B500,PM_ID,0)),""))</f>
        <v/>
      </c>
      <c r="E500" s="8">
        <f>IF($B500="","",IFERROR(INDEX(PM_Subcategory,MATCH($B500,PM_ID,0)),""))</f>
        <v/>
      </c>
      <c r="F500" s="8">
        <f>IF($B500="","",IFERROR(INDEX(PM_Brand,MATCH($B500,PM_ID,0)),""))</f>
        <v/>
      </c>
      <c r="G500" s="8">
        <f>IF($B500="","",IFERROR(INDEX(PM_Model,MATCH($B500,PM_ID,0)),""))</f>
        <v/>
      </c>
      <c r="H500" s="5" t="n"/>
      <c r="I500" s="10" t="n"/>
      <c r="J500" s="9" t="n"/>
      <c r="K500" s="5" t="n"/>
      <c r="L500" s="5" t="n"/>
      <c r="M500" s="5" t="n"/>
      <c r="N500" s="5" t="n"/>
      <c r="O500" s="8">
        <f>IF($B500="","",IF(AND($A500&lt;&gt;"",COUNTIF(INV_ID,$A500)&gt;1),"⚠ this Unit ID already exists",IF(AND($H500&lt;&gt;"",COUNTIF(INV_Serial,$H500)&gt;1),"⚠ this serial already exists",IF(COUNTIFS(INV_Product,$B500,INV_No,$C500)&gt;1,"⚠ piece number reused",""))))</f>
        <v/>
      </c>
      <c r="P500" s="5" t="n"/>
    </row>
    <row r="501">
      <c r="A501" s="8">
        <f>IF(OR($B501="",$C501=""),"",IFERROR(INDEX(PM_Short,MATCH($B501,PM_ID,0))&amp;"-"&amp;TEXT($C501,"00"),"?? no such product"))</f>
        <v/>
      </c>
      <c r="B501" s="5" t="n"/>
      <c r="C501" s="5" t="n"/>
      <c r="D501" s="8">
        <f>IF($B501="","",IFERROR(INDEX(PM_Category,MATCH($B501,PM_ID,0)),""))</f>
        <v/>
      </c>
      <c r="E501" s="8">
        <f>IF($B501="","",IFERROR(INDEX(PM_Subcategory,MATCH($B501,PM_ID,0)),""))</f>
        <v/>
      </c>
      <c r="F501" s="8">
        <f>IF($B501="","",IFERROR(INDEX(PM_Brand,MATCH($B501,PM_ID,0)),""))</f>
        <v/>
      </c>
      <c r="G501" s="8">
        <f>IF($B501="","",IFERROR(INDEX(PM_Model,MATCH($B501,PM_ID,0)),""))</f>
        <v/>
      </c>
      <c r="H501" s="5" t="n"/>
      <c r="I501" s="10" t="n"/>
      <c r="J501" s="9" t="n"/>
      <c r="K501" s="5" t="n"/>
      <c r="L501" s="5" t="n"/>
      <c r="M501" s="5" t="n"/>
      <c r="N501" s="5" t="n"/>
      <c r="O501" s="8">
        <f>IF($B501="","",IF(AND($A501&lt;&gt;"",COUNTIF(INV_ID,$A501)&gt;1),"⚠ this Unit ID already exists",IF(AND($H501&lt;&gt;"",COUNTIF(INV_Serial,$H501)&gt;1),"⚠ this serial already exists",IF(COUNTIFS(INV_Product,$B501,INV_No,$C501)&gt;1,"⚠ piece number reused",""))))</f>
        <v/>
      </c>
      <c r="P501" s="5" t="n"/>
    </row>
    <row r="502">
      <c r="A502" s="8">
        <f>IF(OR($B502="",$C502=""),"",IFERROR(INDEX(PM_Short,MATCH($B502,PM_ID,0))&amp;"-"&amp;TEXT($C502,"00"),"?? no such product"))</f>
        <v/>
      </c>
      <c r="B502" s="5" t="n"/>
      <c r="C502" s="5" t="n"/>
      <c r="D502" s="8">
        <f>IF($B502="","",IFERROR(INDEX(PM_Category,MATCH($B502,PM_ID,0)),""))</f>
        <v/>
      </c>
      <c r="E502" s="8">
        <f>IF($B502="","",IFERROR(INDEX(PM_Subcategory,MATCH($B502,PM_ID,0)),""))</f>
        <v/>
      </c>
      <c r="F502" s="8">
        <f>IF($B502="","",IFERROR(INDEX(PM_Brand,MATCH($B502,PM_ID,0)),""))</f>
        <v/>
      </c>
      <c r="G502" s="8">
        <f>IF($B502="","",IFERROR(INDEX(PM_Model,MATCH($B502,PM_ID,0)),""))</f>
        <v/>
      </c>
      <c r="H502" s="5" t="n"/>
      <c r="I502" s="10" t="n"/>
      <c r="J502" s="9" t="n"/>
      <c r="K502" s="5" t="n"/>
      <c r="L502" s="5" t="n"/>
      <c r="M502" s="5" t="n"/>
      <c r="N502" s="5" t="n"/>
      <c r="O502" s="8">
        <f>IF($B502="","",IF(AND($A502&lt;&gt;"",COUNTIF(INV_ID,$A502)&gt;1),"⚠ this Unit ID already exists",IF(AND($H502&lt;&gt;"",COUNTIF(INV_Serial,$H502)&gt;1),"⚠ this serial already exists",IF(COUNTIFS(INV_Product,$B502,INV_No,$C502)&gt;1,"⚠ piece number reused",""))))</f>
        <v/>
      </c>
      <c r="P502" s="5" t="n"/>
    </row>
    <row r="503">
      <c r="A503" s="8">
        <f>IF(OR($B503="",$C503=""),"",IFERROR(INDEX(PM_Short,MATCH($B503,PM_ID,0))&amp;"-"&amp;TEXT($C503,"00"),"?? no such product"))</f>
        <v/>
      </c>
      <c r="B503" s="5" t="n"/>
      <c r="C503" s="5" t="n"/>
      <c r="D503" s="8">
        <f>IF($B503="","",IFERROR(INDEX(PM_Category,MATCH($B503,PM_ID,0)),""))</f>
        <v/>
      </c>
      <c r="E503" s="8">
        <f>IF($B503="","",IFERROR(INDEX(PM_Subcategory,MATCH($B503,PM_ID,0)),""))</f>
        <v/>
      </c>
      <c r="F503" s="8">
        <f>IF($B503="","",IFERROR(INDEX(PM_Brand,MATCH($B503,PM_ID,0)),""))</f>
        <v/>
      </c>
      <c r="G503" s="8">
        <f>IF($B503="","",IFERROR(INDEX(PM_Model,MATCH($B503,PM_ID,0)),""))</f>
        <v/>
      </c>
      <c r="H503" s="5" t="n"/>
      <c r="I503" s="10" t="n"/>
      <c r="J503" s="9" t="n"/>
      <c r="K503" s="5" t="n"/>
      <c r="L503" s="5" t="n"/>
      <c r="M503" s="5" t="n"/>
      <c r="N503" s="5" t="n"/>
      <c r="O503" s="8">
        <f>IF($B503="","",IF(AND($A503&lt;&gt;"",COUNTIF(INV_ID,$A503)&gt;1),"⚠ this Unit ID already exists",IF(AND($H503&lt;&gt;"",COUNTIF(INV_Serial,$H503)&gt;1),"⚠ this serial already exists",IF(COUNTIFS(INV_Product,$B503,INV_No,$C503)&gt;1,"⚠ piece number reused",""))))</f>
        <v/>
      </c>
      <c r="P503" s="5" t="n"/>
    </row>
    <row r="504">
      <c r="A504" s="8">
        <f>IF(OR($B504="",$C504=""),"",IFERROR(INDEX(PM_Short,MATCH($B504,PM_ID,0))&amp;"-"&amp;TEXT($C504,"00"),"?? no such product"))</f>
        <v/>
      </c>
      <c r="B504" s="5" t="n"/>
      <c r="C504" s="5" t="n"/>
      <c r="D504" s="8">
        <f>IF($B504="","",IFERROR(INDEX(PM_Category,MATCH($B504,PM_ID,0)),""))</f>
        <v/>
      </c>
      <c r="E504" s="8">
        <f>IF($B504="","",IFERROR(INDEX(PM_Subcategory,MATCH($B504,PM_ID,0)),""))</f>
        <v/>
      </c>
      <c r="F504" s="8">
        <f>IF($B504="","",IFERROR(INDEX(PM_Brand,MATCH($B504,PM_ID,0)),""))</f>
        <v/>
      </c>
      <c r="G504" s="8">
        <f>IF($B504="","",IFERROR(INDEX(PM_Model,MATCH($B504,PM_ID,0)),""))</f>
        <v/>
      </c>
      <c r="H504" s="5" t="n"/>
      <c r="I504" s="10" t="n"/>
      <c r="J504" s="9" t="n"/>
      <c r="K504" s="5" t="n"/>
      <c r="L504" s="5" t="n"/>
      <c r="M504" s="5" t="n"/>
      <c r="N504" s="5" t="n"/>
      <c r="O504" s="8">
        <f>IF($B504="","",IF(AND($A504&lt;&gt;"",COUNTIF(INV_ID,$A504)&gt;1),"⚠ this Unit ID already exists",IF(AND($H504&lt;&gt;"",COUNTIF(INV_Serial,$H504)&gt;1),"⚠ this serial already exists",IF(COUNTIFS(INV_Product,$B504,INV_No,$C504)&gt;1,"⚠ piece number reused",""))))</f>
        <v/>
      </c>
      <c r="P504" s="5" t="n"/>
    </row>
    <row r="505">
      <c r="A505" s="8">
        <f>IF(OR($B505="",$C505=""),"",IFERROR(INDEX(PM_Short,MATCH($B505,PM_ID,0))&amp;"-"&amp;TEXT($C505,"00"),"?? no such product"))</f>
        <v/>
      </c>
      <c r="B505" s="5" t="n"/>
      <c r="C505" s="5" t="n"/>
      <c r="D505" s="8">
        <f>IF($B505="","",IFERROR(INDEX(PM_Category,MATCH($B505,PM_ID,0)),""))</f>
        <v/>
      </c>
      <c r="E505" s="8">
        <f>IF($B505="","",IFERROR(INDEX(PM_Subcategory,MATCH($B505,PM_ID,0)),""))</f>
        <v/>
      </c>
      <c r="F505" s="8">
        <f>IF($B505="","",IFERROR(INDEX(PM_Brand,MATCH($B505,PM_ID,0)),""))</f>
        <v/>
      </c>
      <c r="G505" s="8">
        <f>IF($B505="","",IFERROR(INDEX(PM_Model,MATCH($B505,PM_ID,0)),""))</f>
        <v/>
      </c>
      <c r="H505" s="5" t="n"/>
      <c r="I505" s="10" t="n"/>
      <c r="J505" s="9" t="n"/>
      <c r="K505" s="5" t="n"/>
      <c r="L505" s="5" t="n"/>
      <c r="M505" s="5" t="n"/>
      <c r="N505" s="5" t="n"/>
      <c r="O505" s="8">
        <f>IF($B505="","",IF(AND($A505&lt;&gt;"",COUNTIF(INV_ID,$A505)&gt;1),"⚠ this Unit ID already exists",IF(AND($H505&lt;&gt;"",COUNTIF(INV_Serial,$H505)&gt;1),"⚠ this serial already exists",IF(COUNTIFS(INV_Product,$B505,INV_No,$C505)&gt;1,"⚠ piece number reused",""))))</f>
        <v/>
      </c>
      <c r="P505" s="5" t="n"/>
    </row>
    <row r="506">
      <c r="A506" s="8">
        <f>IF(OR($B506="",$C506=""),"",IFERROR(INDEX(PM_Short,MATCH($B506,PM_ID,0))&amp;"-"&amp;TEXT($C506,"00"),"?? no such product"))</f>
        <v/>
      </c>
      <c r="B506" s="5" t="n"/>
      <c r="C506" s="5" t="n"/>
      <c r="D506" s="8">
        <f>IF($B506="","",IFERROR(INDEX(PM_Category,MATCH($B506,PM_ID,0)),""))</f>
        <v/>
      </c>
      <c r="E506" s="8">
        <f>IF($B506="","",IFERROR(INDEX(PM_Subcategory,MATCH($B506,PM_ID,0)),""))</f>
        <v/>
      </c>
      <c r="F506" s="8">
        <f>IF($B506="","",IFERROR(INDEX(PM_Brand,MATCH($B506,PM_ID,0)),""))</f>
        <v/>
      </c>
      <c r="G506" s="8">
        <f>IF($B506="","",IFERROR(INDEX(PM_Model,MATCH($B506,PM_ID,0)),""))</f>
        <v/>
      </c>
      <c r="H506" s="5" t="n"/>
      <c r="I506" s="10" t="n"/>
      <c r="J506" s="9" t="n"/>
      <c r="K506" s="5" t="n"/>
      <c r="L506" s="5" t="n"/>
      <c r="M506" s="5" t="n"/>
      <c r="N506" s="5" t="n"/>
      <c r="O506" s="8">
        <f>IF($B506="","",IF(AND($A506&lt;&gt;"",COUNTIF(INV_ID,$A506)&gt;1),"⚠ this Unit ID already exists",IF(AND($H506&lt;&gt;"",COUNTIF(INV_Serial,$H506)&gt;1),"⚠ this serial already exists",IF(COUNTIFS(INV_Product,$B506,INV_No,$C506)&gt;1,"⚠ piece number reused",""))))</f>
        <v/>
      </c>
      <c r="P506" s="5" t="n"/>
    </row>
    <row r="507">
      <c r="A507" s="8">
        <f>IF(OR($B507="",$C507=""),"",IFERROR(INDEX(PM_Short,MATCH($B507,PM_ID,0))&amp;"-"&amp;TEXT($C507,"00"),"?? no such product"))</f>
        <v/>
      </c>
      <c r="B507" s="5" t="n"/>
      <c r="C507" s="5" t="n"/>
      <c r="D507" s="8">
        <f>IF($B507="","",IFERROR(INDEX(PM_Category,MATCH($B507,PM_ID,0)),""))</f>
        <v/>
      </c>
      <c r="E507" s="8">
        <f>IF($B507="","",IFERROR(INDEX(PM_Subcategory,MATCH($B507,PM_ID,0)),""))</f>
        <v/>
      </c>
      <c r="F507" s="8">
        <f>IF($B507="","",IFERROR(INDEX(PM_Brand,MATCH($B507,PM_ID,0)),""))</f>
        <v/>
      </c>
      <c r="G507" s="8">
        <f>IF($B507="","",IFERROR(INDEX(PM_Model,MATCH($B507,PM_ID,0)),""))</f>
        <v/>
      </c>
      <c r="H507" s="5" t="n"/>
      <c r="I507" s="10" t="n"/>
      <c r="J507" s="9" t="n"/>
      <c r="K507" s="5" t="n"/>
      <c r="L507" s="5" t="n"/>
      <c r="M507" s="5" t="n"/>
      <c r="N507" s="5" t="n"/>
      <c r="O507" s="8">
        <f>IF($B507="","",IF(AND($A507&lt;&gt;"",COUNTIF(INV_ID,$A507)&gt;1),"⚠ this Unit ID already exists",IF(AND($H507&lt;&gt;"",COUNTIF(INV_Serial,$H507)&gt;1),"⚠ this serial already exists",IF(COUNTIFS(INV_Product,$B507,INV_No,$C507)&gt;1,"⚠ piece number reused",""))))</f>
        <v/>
      </c>
      <c r="P507" s="5" t="n"/>
    </row>
    <row r="508">
      <c r="A508" s="8">
        <f>IF(OR($B508="",$C508=""),"",IFERROR(INDEX(PM_Short,MATCH($B508,PM_ID,0))&amp;"-"&amp;TEXT($C508,"00"),"?? no such product"))</f>
        <v/>
      </c>
      <c r="B508" s="5" t="n"/>
      <c r="C508" s="5" t="n"/>
      <c r="D508" s="8">
        <f>IF($B508="","",IFERROR(INDEX(PM_Category,MATCH($B508,PM_ID,0)),""))</f>
        <v/>
      </c>
      <c r="E508" s="8">
        <f>IF($B508="","",IFERROR(INDEX(PM_Subcategory,MATCH($B508,PM_ID,0)),""))</f>
        <v/>
      </c>
      <c r="F508" s="8">
        <f>IF($B508="","",IFERROR(INDEX(PM_Brand,MATCH($B508,PM_ID,0)),""))</f>
        <v/>
      </c>
      <c r="G508" s="8">
        <f>IF($B508="","",IFERROR(INDEX(PM_Model,MATCH($B508,PM_ID,0)),""))</f>
        <v/>
      </c>
      <c r="H508" s="5" t="n"/>
      <c r="I508" s="10" t="n"/>
      <c r="J508" s="9" t="n"/>
      <c r="K508" s="5" t="n"/>
      <c r="L508" s="5" t="n"/>
      <c r="M508" s="5" t="n"/>
      <c r="N508" s="5" t="n"/>
      <c r="O508" s="8">
        <f>IF($B508="","",IF(AND($A508&lt;&gt;"",COUNTIF(INV_ID,$A508)&gt;1),"⚠ this Unit ID already exists",IF(AND($H508&lt;&gt;"",COUNTIF(INV_Serial,$H508)&gt;1),"⚠ this serial already exists",IF(COUNTIFS(INV_Product,$B508,INV_No,$C508)&gt;1,"⚠ piece number reused",""))))</f>
        <v/>
      </c>
      <c r="P508" s="5" t="n"/>
    </row>
    <row r="509">
      <c r="A509" s="8">
        <f>IF(OR($B509="",$C509=""),"",IFERROR(INDEX(PM_Short,MATCH($B509,PM_ID,0))&amp;"-"&amp;TEXT($C509,"00"),"?? no such product"))</f>
        <v/>
      </c>
      <c r="B509" s="5" t="n"/>
      <c r="C509" s="5" t="n"/>
      <c r="D509" s="8">
        <f>IF($B509="","",IFERROR(INDEX(PM_Category,MATCH($B509,PM_ID,0)),""))</f>
        <v/>
      </c>
      <c r="E509" s="8">
        <f>IF($B509="","",IFERROR(INDEX(PM_Subcategory,MATCH($B509,PM_ID,0)),""))</f>
        <v/>
      </c>
      <c r="F509" s="8">
        <f>IF($B509="","",IFERROR(INDEX(PM_Brand,MATCH($B509,PM_ID,0)),""))</f>
        <v/>
      </c>
      <c r="G509" s="8">
        <f>IF($B509="","",IFERROR(INDEX(PM_Model,MATCH($B509,PM_ID,0)),""))</f>
        <v/>
      </c>
      <c r="H509" s="5" t="n"/>
      <c r="I509" s="10" t="n"/>
      <c r="J509" s="9" t="n"/>
      <c r="K509" s="5" t="n"/>
      <c r="L509" s="5" t="n"/>
      <c r="M509" s="5" t="n"/>
      <c r="N509" s="5" t="n"/>
      <c r="O509" s="8">
        <f>IF($B509="","",IF(AND($A509&lt;&gt;"",COUNTIF(INV_ID,$A509)&gt;1),"⚠ this Unit ID already exists",IF(AND($H509&lt;&gt;"",COUNTIF(INV_Serial,$H509)&gt;1),"⚠ this serial already exists",IF(COUNTIFS(INV_Product,$B509,INV_No,$C509)&gt;1,"⚠ piece number reused",""))))</f>
        <v/>
      </c>
      <c r="P509" s="5" t="n"/>
    </row>
    <row r="510">
      <c r="A510" s="8">
        <f>IF(OR($B510="",$C510=""),"",IFERROR(INDEX(PM_Short,MATCH($B510,PM_ID,0))&amp;"-"&amp;TEXT($C510,"00"),"?? no such product"))</f>
        <v/>
      </c>
      <c r="B510" s="5" t="n"/>
      <c r="C510" s="5" t="n"/>
      <c r="D510" s="8">
        <f>IF($B510="","",IFERROR(INDEX(PM_Category,MATCH($B510,PM_ID,0)),""))</f>
        <v/>
      </c>
      <c r="E510" s="8">
        <f>IF($B510="","",IFERROR(INDEX(PM_Subcategory,MATCH($B510,PM_ID,0)),""))</f>
        <v/>
      </c>
      <c r="F510" s="8">
        <f>IF($B510="","",IFERROR(INDEX(PM_Brand,MATCH($B510,PM_ID,0)),""))</f>
        <v/>
      </c>
      <c r="G510" s="8">
        <f>IF($B510="","",IFERROR(INDEX(PM_Model,MATCH($B510,PM_ID,0)),""))</f>
        <v/>
      </c>
      <c r="H510" s="5" t="n"/>
      <c r="I510" s="10" t="n"/>
      <c r="J510" s="9" t="n"/>
      <c r="K510" s="5" t="n"/>
      <c r="L510" s="5" t="n"/>
      <c r="M510" s="5" t="n"/>
      <c r="N510" s="5" t="n"/>
      <c r="O510" s="8">
        <f>IF($B510="","",IF(AND($A510&lt;&gt;"",COUNTIF(INV_ID,$A510)&gt;1),"⚠ this Unit ID already exists",IF(AND($H510&lt;&gt;"",COUNTIF(INV_Serial,$H510)&gt;1),"⚠ this serial already exists",IF(COUNTIFS(INV_Product,$B510,INV_No,$C510)&gt;1,"⚠ piece number reused",""))))</f>
        <v/>
      </c>
      <c r="P510" s="5" t="n"/>
    </row>
    <row r="511">
      <c r="A511" s="8">
        <f>IF(OR($B511="",$C511=""),"",IFERROR(INDEX(PM_Short,MATCH($B511,PM_ID,0))&amp;"-"&amp;TEXT($C511,"00"),"?? no such product"))</f>
        <v/>
      </c>
      <c r="B511" s="5" t="n"/>
      <c r="C511" s="5" t="n"/>
      <c r="D511" s="8">
        <f>IF($B511="","",IFERROR(INDEX(PM_Category,MATCH($B511,PM_ID,0)),""))</f>
        <v/>
      </c>
      <c r="E511" s="8">
        <f>IF($B511="","",IFERROR(INDEX(PM_Subcategory,MATCH($B511,PM_ID,0)),""))</f>
        <v/>
      </c>
      <c r="F511" s="8">
        <f>IF($B511="","",IFERROR(INDEX(PM_Brand,MATCH($B511,PM_ID,0)),""))</f>
        <v/>
      </c>
      <c r="G511" s="8">
        <f>IF($B511="","",IFERROR(INDEX(PM_Model,MATCH($B511,PM_ID,0)),""))</f>
        <v/>
      </c>
      <c r="H511" s="5" t="n"/>
      <c r="I511" s="10" t="n"/>
      <c r="J511" s="9" t="n"/>
      <c r="K511" s="5" t="n"/>
      <c r="L511" s="5" t="n"/>
      <c r="M511" s="5" t="n"/>
      <c r="N511" s="5" t="n"/>
      <c r="O511" s="8">
        <f>IF($B511="","",IF(AND($A511&lt;&gt;"",COUNTIF(INV_ID,$A511)&gt;1),"⚠ this Unit ID already exists",IF(AND($H511&lt;&gt;"",COUNTIF(INV_Serial,$H511)&gt;1),"⚠ this serial already exists",IF(COUNTIFS(INV_Product,$B511,INV_No,$C511)&gt;1,"⚠ piece number reused",""))))</f>
        <v/>
      </c>
      <c r="P511" s="5" t="n"/>
    </row>
    <row r="512">
      <c r="A512" s="8">
        <f>IF(OR($B512="",$C512=""),"",IFERROR(INDEX(PM_Short,MATCH($B512,PM_ID,0))&amp;"-"&amp;TEXT($C512,"00"),"?? no such product"))</f>
        <v/>
      </c>
      <c r="B512" s="5" t="n"/>
      <c r="C512" s="5" t="n"/>
      <c r="D512" s="8">
        <f>IF($B512="","",IFERROR(INDEX(PM_Category,MATCH($B512,PM_ID,0)),""))</f>
        <v/>
      </c>
      <c r="E512" s="8">
        <f>IF($B512="","",IFERROR(INDEX(PM_Subcategory,MATCH($B512,PM_ID,0)),""))</f>
        <v/>
      </c>
      <c r="F512" s="8">
        <f>IF($B512="","",IFERROR(INDEX(PM_Brand,MATCH($B512,PM_ID,0)),""))</f>
        <v/>
      </c>
      <c r="G512" s="8">
        <f>IF($B512="","",IFERROR(INDEX(PM_Model,MATCH($B512,PM_ID,0)),""))</f>
        <v/>
      </c>
      <c r="H512" s="5" t="n"/>
      <c r="I512" s="10" t="n"/>
      <c r="J512" s="9" t="n"/>
      <c r="K512" s="5" t="n"/>
      <c r="L512" s="5" t="n"/>
      <c r="M512" s="5" t="n"/>
      <c r="N512" s="5" t="n"/>
      <c r="O512" s="8">
        <f>IF($B512="","",IF(AND($A512&lt;&gt;"",COUNTIF(INV_ID,$A512)&gt;1),"⚠ this Unit ID already exists",IF(AND($H512&lt;&gt;"",COUNTIF(INV_Serial,$H512)&gt;1),"⚠ this serial already exists",IF(COUNTIFS(INV_Product,$B512,INV_No,$C512)&gt;1,"⚠ piece number reused",""))))</f>
        <v/>
      </c>
      <c r="P512" s="5" t="n"/>
    </row>
    <row r="513">
      <c r="A513" s="8">
        <f>IF(OR($B513="",$C513=""),"",IFERROR(INDEX(PM_Short,MATCH($B513,PM_ID,0))&amp;"-"&amp;TEXT($C513,"00"),"?? no such product"))</f>
        <v/>
      </c>
      <c r="B513" s="5" t="n"/>
      <c r="C513" s="5" t="n"/>
      <c r="D513" s="8">
        <f>IF($B513="","",IFERROR(INDEX(PM_Category,MATCH($B513,PM_ID,0)),""))</f>
        <v/>
      </c>
      <c r="E513" s="8">
        <f>IF($B513="","",IFERROR(INDEX(PM_Subcategory,MATCH($B513,PM_ID,0)),""))</f>
        <v/>
      </c>
      <c r="F513" s="8">
        <f>IF($B513="","",IFERROR(INDEX(PM_Brand,MATCH($B513,PM_ID,0)),""))</f>
        <v/>
      </c>
      <c r="G513" s="8">
        <f>IF($B513="","",IFERROR(INDEX(PM_Model,MATCH($B513,PM_ID,0)),""))</f>
        <v/>
      </c>
      <c r="H513" s="5" t="n"/>
      <c r="I513" s="10" t="n"/>
      <c r="J513" s="9" t="n"/>
      <c r="K513" s="5" t="n"/>
      <c r="L513" s="5" t="n"/>
      <c r="M513" s="5" t="n"/>
      <c r="N513" s="5" t="n"/>
      <c r="O513" s="8">
        <f>IF($B513="","",IF(AND($A513&lt;&gt;"",COUNTIF(INV_ID,$A513)&gt;1),"⚠ this Unit ID already exists",IF(AND($H513&lt;&gt;"",COUNTIF(INV_Serial,$H513)&gt;1),"⚠ this serial already exists",IF(COUNTIFS(INV_Product,$B513,INV_No,$C513)&gt;1,"⚠ piece number reused",""))))</f>
        <v/>
      </c>
      <c r="P513" s="5" t="n"/>
    </row>
    <row r="514">
      <c r="A514" s="8">
        <f>IF(OR($B514="",$C514=""),"",IFERROR(INDEX(PM_Short,MATCH($B514,PM_ID,0))&amp;"-"&amp;TEXT($C514,"00"),"?? no such product"))</f>
        <v/>
      </c>
      <c r="B514" s="5" t="n"/>
      <c r="C514" s="5" t="n"/>
      <c r="D514" s="8">
        <f>IF($B514="","",IFERROR(INDEX(PM_Category,MATCH($B514,PM_ID,0)),""))</f>
        <v/>
      </c>
      <c r="E514" s="8">
        <f>IF($B514="","",IFERROR(INDEX(PM_Subcategory,MATCH($B514,PM_ID,0)),""))</f>
        <v/>
      </c>
      <c r="F514" s="8">
        <f>IF($B514="","",IFERROR(INDEX(PM_Brand,MATCH($B514,PM_ID,0)),""))</f>
        <v/>
      </c>
      <c r="G514" s="8">
        <f>IF($B514="","",IFERROR(INDEX(PM_Model,MATCH($B514,PM_ID,0)),""))</f>
        <v/>
      </c>
      <c r="H514" s="5" t="n"/>
      <c r="I514" s="10" t="n"/>
      <c r="J514" s="9" t="n"/>
      <c r="K514" s="5" t="n"/>
      <c r="L514" s="5" t="n"/>
      <c r="M514" s="5" t="n"/>
      <c r="N514" s="5" t="n"/>
      <c r="O514" s="8">
        <f>IF($B514="","",IF(AND($A514&lt;&gt;"",COUNTIF(INV_ID,$A514)&gt;1),"⚠ this Unit ID already exists",IF(AND($H514&lt;&gt;"",COUNTIF(INV_Serial,$H514)&gt;1),"⚠ this serial already exists",IF(COUNTIFS(INV_Product,$B514,INV_No,$C514)&gt;1,"⚠ piece number reused",""))))</f>
        <v/>
      </c>
      <c r="P514" s="5" t="n"/>
    </row>
    <row r="515">
      <c r="A515" s="8">
        <f>IF(OR($B515="",$C515=""),"",IFERROR(INDEX(PM_Short,MATCH($B515,PM_ID,0))&amp;"-"&amp;TEXT($C515,"00"),"?? no such product"))</f>
        <v/>
      </c>
      <c r="B515" s="5" t="n"/>
      <c r="C515" s="5" t="n"/>
      <c r="D515" s="8">
        <f>IF($B515="","",IFERROR(INDEX(PM_Category,MATCH($B515,PM_ID,0)),""))</f>
        <v/>
      </c>
      <c r="E515" s="8">
        <f>IF($B515="","",IFERROR(INDEX(PM_Subcategory,MATCH($B515,PM_ID,0)),""))</f>
        <v/>
      </c>
      <c r="F515" s="8">
        <f>IF($B515="","",IFERROR(INDEX(PM_Brand,MATCH($B515,PM_ID,0)),""))</f>
        <v/>
      </c>
      <c r="G515" s="8">
        <f>IF($B515="","",IFERROR(INDEX(PM_Model,MATCH($B515,PM_ID,0)),""))</f>
        <v/>
      </c>
      <c r="H515" s="5" t="n"/>
      <c r="I515" s="10" t="n"/>
      <c r="J515" s="9" t="n"/>
      <c r="K515" s="5" t="n"/>
      <c r="L515" s="5" t="n"/>
      <c r="M515" s="5" t="n"/>
      <c r="N515" s="5" t="n"/>
      <c r="O515" s="8">
        <f>IF($B515="","",IF(AND($A515&lt;&gt;"",COUNTIF(INV_ID,$A515)&gt;1),"⚠ this Unit ID already exists",IF(AND($H515&lt;&gt;"",COUNTIF(INV_Serial,$H515)&gt;1),"⚠ this serial already exists",IF(COUNTIFS(INV_Product,$B515,INV_No,$C515)&gt;1,"⚠ piece number reused",""))))</f>
        <v/>
      </c>
      <c r="P515" s="5" t="n"/>
    </row>
    <row r="516">
      <c r="A516" s="8">
        <f>IF(OR($B516="",$C516=""),"",IFERROR(INDEX(PM_Short,MATCH($B516,PM_ID,0))&amp;"-"&amp;TEXT($C516,"00"),"?? no such product"))</f>
        <v/>
      </c>
      <c r="B516" s="5" t="n"/>
      <c r="C516" s="5" t="n"/>
      <c r="D516" s="8">
        <f>IF($B516="","",IFERROR(INDEX(PM_Category,MATCH($B516,PM_ID,0)),""))</f>
        <v/>
      </c>
      <c r="E516" s="8">
        <f>IF($B516="","",IFERROR(INDEX(PM_Subcategory,MATCH($B516,PM_ID,0)),""))</f>
        <v/>
      </c>
      <c r="F516" s="8">
        <f>IF($B516="","",IFERROR(INDEX(PM_Brand,MATCH($B516,PM_ID,0)),""))</f>
        <v/>
      </c>
      <c r="G516" s="8">
        <f>IF($B516="","",IFERROR(INDEX(PM_Model,MATCH($B516,PM_ID,0)),""))</f>
        <v/>
      </c>
      <c r="H516" s="5" t="n"/>
      <c r="I516" s="10" t="n"/>
      <c r="J516" s="9" t="n"/>
      <c r="K516" s="5" t="n"/>
      <c r="L516" s="5" t="n"/>
      <c r="M516" s="5" t="n"/>
      <c r="N516" s="5" t="n"/>
      <c r="O516" s="8">
        <f>IF($B516="","",IF(AND($A516&lt;&gt;"",COUNTIF(INV_ID,$A516)&gt;1),"⚠ this Unit ID already exists",IF(AND($H516&lt;&gt;"",COUNTIF(INV_Serial,$H516)&gt;1),"⚠ this serial already exists",IF(COUNTIFS(INV_Product,$B516,INV_No,$C516)&gt;1,"⚠ piece number reused",""))))</f>
        <v/>
      </c>
      <c r="P516" s="5" t="n"/>
    </row>
    <row r="517">
      <c r="A517" s="8">
        <f>IF(OR($B517="",$C517=""),"",IFERROR(INDEX(PM_Short,MATCH($B517,PM_ID,0))&amp;"-"&amp;TEXT($C517,"00"),"?? no such product"))</f>
        <v/>
      </c>
      <c r="B517" s="5" t="n"/>
      <c r="C517" s="5" t="n"/>
      <c r="D517" s="8">
        <f>IF($B517="","",IFERROR(INDEX(PM_Category,MATCH($B517,PM_ID,0)),""))</f>
        <v/>
      </c>
      <c r="E517" s="8">
        <f>IF($B517="","",IFERROR(INDEX(PM_Subcategory,MATCH($B517,PM_ID,0)),""))</f>
        <v/>
      </c>
      <c r="F517" s="8">
        <f>IF($B517="","",IFERROR(INDEX(PM_Brand,MATCH($B517,PM_ID,0)),""))</f>
        <v/>
      </c>
      <c r="G517" s="8">
        <f>IF($B517="","",IFERROR(INDEX(PM_Model,MATCH($B517,PM_ID,0)),""))</f>
        <v/>
      </c>
      <c r="H517" s="5" t="n"/>
      <c r="I517" s="10" t="n"/>
      <c r="J517" s="9" t="n"/>
      <c r="K517" s="5" t="n"/>
      <c r="L517" s="5" t="n"/>
      <c r="M517" s="5" t="n"/>
      <c r="N517" s="5" t="n"/>
      <c r="O517" s="8">
        <f>IF($B517="","",IF(AND($A517&lt;&gt;"",COUNTIF(INV_ID,$A517)&gt;1),"⚠ this Unit ID already exists",IF(AND($H517&lt;&gt;"",COUNTIF(INV_Serial,$H517)&gt;1),"⚠ this serial already exists",IF(COUNTIFS(INV_Product,$B517,INV_No,$C517)&gt;1,"⚠ piece number reused",""))))</f>
        <v/>
      </c>
      <c r="P517" s="5" t="n"/>
    </row>
    <row r="518">
      <c r="A518" s="8">
        <f>IF(OR($B518="",$C518=""),"",IFERROR(INDEX(PM_Short,MATCH($B518,PM_ID,0))&amp;"-"&amp;TEXT($C518,"00"),"?? no such product"))</f>
        <v/>
      </c>
      <c r="B518" s="5" t="n"/>
      <c r="C518" s="5" t="n"/>
      <c r="D518" s="8">
        <f>IF($B518="","",IFERROR(INDEX(PM_Category,MATCH($B518,PM_ID,0)),""))</f>
        <v/>
      </c>
      <c r="E518" s="8">
        <f>IF($B518="","",IFERROR(INDEX(PM_Subcategory,MATCH($B518,PM_ID,0)),""))</f>
        <v/>
      </c>
      <c r="F518" s="8">
        <f>IF($B518="","",IFERROR(INDEX(PM_Brand,MATCH($B518,PM_ID,0)),""))</f>
        <v/>
      </c>
      <c r="G518" s="8">
        <f>IF($B518="","",IFERROR(INDEX(PM_Model,MATCH($B518,PM_ID,0)),""))</f>
        <v/>
      </c>
      <c r="H518" s="5" t="n"/>
      <c r="I518" s="10" t="n"/>
      <c r="J518" s="9" t="n"/>
      <c r="K518" s="5" t="n"/>
      <c r="L518" s="5" t="n"/>
      <c r="M518" s="5" t="n"/>
      <c r="N518" s="5" t="n"/>
      <c r="O518" s="8">
        <f>IF($B518="","",IF(AND($A518&lt;&gt;"",COUNTIF(INV_ID,$A518)&gt;1),"⚠ this Unit ID already exists",IF(AND($H518&lt;&gt;"",COUNTIF(INV_Serial,$H518)&gt;1),"⚠ this serial already exists",IF(COUNTIFS(INV_Product,$B518,INV_No,$C518)&gt;1,"⚠ piece number reused",""))))</f>
        <v/>
      </c>
      <c r="P518" s="5" t="n"/>
    </row>
    <row r="519">
      <c r="A519" s="8">
        <f>IF(OR($B519="",$C519=""),"",IFERROR(INDEX(PM_Short,MATCH($B519,PM_ID,0))&amp;"-"&amp;TEXT($C519,"00"),"?? no such product"))</f>
        <v/>
      </c>
      <c r="B519" s="5" t="n"/>
      <c r="C519" s="5" t="n"/>
      <c r="D519" s="8">
        <f>IF($B519="","",IFERROR(INDEX(PM_Category,MATCH($B519,PM_ID,0)),""))</f>
        <v/>
      </c>
      <c r="E519" s="8">
        <f>IF($B519="","",IFERROR(INDEX(PM_Subcategory,MATCH($B519,PM_ID,0)),""))</f>
        <v/>
      </c>
      <c r="F519" s="8">
        <f>IF($B519="","",IFERROR(INDEX(PM_Brand,MATCH($B519,PM_ID,0)),""))</f>
        <v/>
      </c>
      <c r="G519" s="8">
        <f>IF($B519="","",IFERROR(INDEX(PM_Model,MATCH($B519,PM_ID,0)),""))</f>
        <v/>
      </c>
      <c r="H519" s="5" t="n"/>
      <c r="I519" s="10" t="n"/>
      <c r="J519" s="9" t="n"/>
      <c r="K519" s="5" t="n"/>
      <c r="L519" s="5" t="n"/>
      <c r="M519" s="5" t="n"/>
      <c r="N519" s="5" t="n"/>
      <c r="O519" s="8">
        <f>IF($B519="","",IF(AND($A519&lt;&gt;"",COUNTIF(INV_ID,$A519)&gt;1),"⚠ this Unit ID already exists",IF(AND($H519&lt;&gt;"",COUNTIF(INV_Serial,$H519)&gt;1),"⚠ this serial already exists",IF(COUNTIFS(INV_Product,$B519,INV_No,$C519)&gt;1,"⚠ piece number reused",""))))</f>
        <v/>
      </c>
      <c r="P519" s="5" t="n"/>
    </row>
    <row r="520">
      <c r="A520" s="8">
        <f>IF(OR($B520="",$C520=""),"",IFERROR(INDEX(PM_Short,MATCH($B520,PM_ID,0))&amp;"-"&amp;TEXT($C520,"00"),"?? no such product"))</f>
        <v/>
      </c>
      <c r="B520" s="5" t="n"/>
      <c r="C520" s="5" t="n"/>
      <c r="D520" s="8">
        <f>IF($B520="","",IFERROR(INDEX(PM_Category,MATCH($B520,PM_ID,0)),""))</f>
        <v/>
      </c>
      <c r="E520" s="8">
        <f>IF($B520="","",IFERROR(INDEX(PM_Subcategory,MATCH($B520,PM_ID,0)),""))</f>
        <v/>
      </c>
      <c r="F520" s="8">
        <f>IF($B520="","",IFERROR(INDEX(PM_Brand,MATCH($B520,PM_ID,0)),""))</f>
        <v/>
      </c>
      <c r="G520" s="8">
        <f>IF($B520="","",IFERROR(INDEX(PM_Model,MATCH($B520,PM_ID,0)),""))</f>
        <v/>
      </c>
      <c r="H520" s="5" t="n"/>
      <c r="I520" s="10" t="n"/>
      <c r="J520" s="9" t="n"/>
      <c r="K520" s="5" t="n"/>
      <c r="L520" s="5" t="n"/>
      <c r="M520" s="5" t="n"/>
      <c r="N520" s="5" t="n"/>
      <c r="O520" s="8">
        <f>IF($B520="","",IF(AND($A520&lt;&gt;"",COUNTIF(INV_ID,$A520)&gt;1),"⚠ this Unit ID already exists",IF(AND($H520&lt;&gt;"",COUNTIF(INV_Serial,$H520)&gt;1),"⚠ this serial already exists",IF(COUNTIFS(INV_Product,$B520,INV_No,$C520)&gt;1,"⚠ piece number reused",""))))</f>
        <v/>
      </c>
      <c r="P520" s="5" t="n"/>
    </row>
    <row r="521">
      <c r="A521" s="8">
        <f>IF(OR($B521="",$C521=""),"",IFERROR(INDEX(PM_Short,MATCH($B521,PM_ID,0))&amp;"-"&amp;TEXT($C521,"00"),"?? no such product"))</f>
        <v/>
      </c>
      <c r="B521" s="5" t="n"/>
      <c r="C521" s="5" t="n"/>
      <c r="D521" s="8">
        <f>IF($B521="","",IFERROR(INDEX(PM_Category,MATCH($B521,PM_ID,0)),""))</f>
        <v/>
      </c>
      <c r="E521" s="8">
        <f>IF($B521="","",IFERROR(INDEX(PM_Subcategory,MATCH($B521,PM_ID,0)),""))</f>
        <v/>
      </c>
      <c r="F521" s="8">
        <f>IF($B521="","",IFERROR(INDEX(PM_Brand,MATCH($B521,PM_ID,0)),""))</f>
        <v/>
      </c>
      <c r="G521" s="8">
        <f>IF($B521="","",IFERROR(INDEX(PM_Model,MATCH($B521,PM_ID,0)),""))</f>
        <v/>
      </c>
      <c r="H521" s="5" t="n"/>
      <c r="I521" s="10" t="n"/>
      <c r="J521" s="9" t="n"/>
      <c r="K521" s="5" t="n"/>
      <c r="L521" s="5" t="n"/>
      <c r="M521" s="5" t="n"/>
      <c r="N521" s="5" t="n"/>
      <c r="O521" s="8">
        <f>IF($B521="","",IF(AND($A521&lt;&gt;"",COUNTIF(INV_ID,$A521)&gt;1),"⚠ this Unit ID already exists",IF(AND($H521&lt;&gt;"",COUNTIF(INV_Serial,$H521)&gt;1),"⚠ this serial already exists",IF(COUNTIFS(INV_Product,$B521,INV_No,$C521)&gt;1,"⚠ piece number reused",""))))</f>
        <v/>
      </c>
      <c r="P521" s="5" t="n"/>
    </row>
    <row r="522">
      <c r="A522" s="8">
        <f>IF(OR($B522="",$C522=""),"",IFERROR(INDEX(PM_Short,MATCH($B522,PM_ID,0))&amp;"-"&amp;TEXT($C522,"00"),"?? no such product"))</f>
        <v/>
      </c>
      <c r="B522" s="5" t="n"/>
      <c r="C522" s="5" t="n"/>
      <c r="D522" s="8">
        <f>IF($B522="","",IFERROR(INDEX(PM_Category,MATCH($B522,PM_ID,0)),""))</f>
        <v/>
      </c>
      <c r="E522" s="8">
        <f>IF($B522="","",IFERROR(INDEX(PM_Subcategory,MATCH($B522,PM_ID,0)),""))</f>
        <v/>
      </c>
      <c r="F522" s="8">
        <f>IF($B522="","",IFERROR(INDEX(PM_Brand,MATCH($B522,PM_ID,0)),""))</f>
        <v/>
      </c>
      <c r="G522" s="8">
        <f>IF($B522="","",IFERROR(INDEX(PM_Model,MATCH($B522,PM_ID,0)),""))</f>
        <v/>
      </c>
      <c r="H522" s="5" t="n"/>
      <c r="I522" s="10" t="n"/>
      <c r="J522" s="9" t="n"/>
      <c r="K522" s="5" t="n"/>
      <c r="L522" s="5" t="n"/>
      <c r="M522" s="5" t="n"/>
      <c r="N522" s="5" t="n"/>
      <c r="O522" s="8">
        <f>IF($B522="","",IF(AND($A522&lt;&gt;"",COUNTIF(INV_ID,$A522)&gt;1),"⚠ this Unit ID already exists",IF(AND($H522&lt;&gt;"",COUNTIF(INV_Serial,$H522)&gt;1),"⚠ this serial already exists",IF(COUNTIFS(INV_Product,$B522,INV_No,$C522)&gt;1,"⚠ piece number reused",""))))</f>
        <v/>
      </c>
      <c r="P522" s="5" t="n"/>
    </row>
    <row r="523">
      <c r="A523" s="8">
        <f>IF(OR($B523="",$C523=""),"",IFERROR(INDEX(PM_Short,MATCH($B523,PM_ID,0))&amp;"-"&amp;TEXT($C523,"00"),"?? no such product"))</f>
        <v/>
      </c>
      <c r="B523" s="5" t="n"/>
      <c r="C523" s="5" t="n"/>
      <c r="D523" s="8">
        <f>IF($B523="","",IFERROR(INDEX(PM_Category,MATCH($B523,PM_ID,0)),""))</f>
        <v/>
      </c>
      <c r="E523" s="8">
        <f>IF($B523="","",IFERROR(INDEX(PM_Subcategory,MATCH($B523,PM_ID,0)),""))</f>
        <v/>
      </c>
      <c r="F523" s="8">
        <f>IF($B523="","",IFERROR(INDEX(PM_Brand,MATCH($B523,PM_ID,0)),""))</f>
        <v/>
      </c>
      <c r="G523" s="8">
        <f>IF($B523="","",IFERROR(INDEX(PM_Model,MATCH($B523,PM_ID,0)),""))</f>
        <v/>
      </c>
      <c r="H523" s="5" t="n"/>
      <c r="I523" s="10" t="n"/>
      <c r="J523" s="9" t="n"/>
      <c r="K523" s="5" t="n"/>
      <c r="L523" s="5" t="n"/>
      <c r="M523" s="5" t="n"/>
      <c r="N523" s="5" t="n"/>
      <c r="O523" s="8">
        <f>IF($B523="","",IF(AND($A523&lt;&gt;"",COUNTIF(INV_ID,$A523)&gt;1),"⚠ this Unit ID already exists",IF(AND($H523&lt;&gt;"",COUNTIF(INV_Serial,$H523)&gt;1),"⚠ this serial already exists",IF(COUNTIFS(INV_Product,$B523,INV_No,$C523)&gt;1,"⚠ piece number reused",""))))</f>
        <v/>
      </c>
      <c r="P523" s="5" t="n"/>
    </row>
    <row r="524">
      <c r="A524" s="8">
        <f>IF(OR($B524="",$C524=""),"",IFERROR(INDEX(PM_Short,MATCH($B524,PM_ID,0))&amp;"-"&amp;TEXT($C524,"00"),"?? no such product"))</f>
        <v/>
      </c>
      <c r="B524" s="5" t="n"/>
      <c r="C524" s="5" t="n"/>
      <c r="D524" s="8">
        <f>IF($B524="","",IFERROR(INDEX(PM_Category,MATCH($B524,PM_ID,0)),""))</f>
        <v/>
      </c>
      <c r="E524" s="8">
        <f>IF($B524="","",IFERROR(INDEX(PM_Subcategory,MATCH($B524,PM_ID,0)),""))</f>
        <v/>
      </c>
      <c r="F524" s="8">
        <f>IF($B524="","",IFERROR(INDEX(PM_Brand,MATCH($B524,PM_ID,0)),""))</f>
        <v/>
      </c>
      <c r="G524" s="8">
        <f>IF($B524="","",IFERROR(INDEX(PM_Model,MATCH($B524,PM_ID,0)),""))</f>
        <v/>
      </c>
      <c r="H524" s="5" t="n"/>
      <c r="I524" s="10" t="n"/>
      <c r="J524" s="9" t="n"/>
      <c r="K524" s="5" t="n"/>
      <c r="L524" s="5" t="n"/>
      <c r="M524" s="5" t="n"/>
      <c r="N524" s="5" t="n"/>
      <c r="O524" s="8">
        <f>IF($B524="","",IF(AND($A524&lt;&gt;"",COUNTIF(INV_ID,$A524)&gt;1),"⚠ this Unit ID already exists",IF(AND($H524&lt;&gt;"",COUNTIF(INV_Serial,$H524)&gt;1),"⚠ this serial already exists",IF(COUNTIFS(INV_Product,$B524,INV_No,$C524)&gt;1,"⚠ piece number reused",""))))</f>
        <v/>
      </c>
      <c r="P524" s="5" t="n"/>
    </row>
    <row r="525">
      <c r="A525" s="8">
        <f>IF(OR($B525="",$C525=""),"",IFERROR(INDEX(PM_Short,MATCH($B525,PM_ID,0))&amp;"-"&amp;TEXT($C525,"00"),"?? no such product"))</f>
        <v/>
      </c>
      <c r="B525" s="5" t="n"/>
      <c r="C525" s="5" t="n"/>
      <c r="D525" s="8">
        <f>IF($B525="","",IFERROR(INDEX(PM_Category,MATCH($B525,PM_ID,0)),""))</f>
        <v/>
      </c>
      <c r="E525" s="8">
        <f>IF($B525="","",IFERROR(INDEX(PM_Subcategory,MATCH($B525,PM_ID,0)),""))</f>
        <v/>
      </c>
      <c r="F525" s="8">
        <f>IF($B525="","",IFERROR(INDEX(PM_Brand,MATCH($B525,PM_ID,0)),""))</f>
        <v/>
      </c>
      <c r="G525" s="8">
        <f>IF($B525="","",IFERROR(INDEX(PM_Model,MATCH($B525,PM_ID,0)),""))</f>
        <v/>
      </c>
      <c r="H525" s="5" t="n"/>
      <c r="I525" s="10" t="n"/>
      <c r="J525" s="9" t="n"/>
      <c r="K525" s="5" t="n"/>
      <c r="L525" s="5" t="n"/>
      <c r="M525" s="5" t="n"/>
      <c r="N525" s="5" t="n"/>
      <c r="O525" s="8">
        <f>IF($B525="","",IF(AND($A525&lt;&gt;"",COUNTIF(INV_ID,$A525)&gt;1),"⚠ this Unit ID already exists",IF(AND($H525&lt;&gt;"",COUNTIF(INV_Serial,$H525)&gt;1),"⚠ this serial already exists",IF(COUNTIFS(INV_Product,$B525,INV_No,$C525)&gt;1,"⚠ piece number reused",""))))</f>
        <v/>
      </c>
      <c r="P525" s="5" t="n"/>
    </row>
    <row r="526">
      <c r="A526" s="8">
        <f>IF(OR($B526="",$C526=""),"",IFERROR(INDEX(PM_Short,MATCH($B526,PM_ID,0))&amp;"-"&amp;TEXT($C526,"00"),"?? no such product"))</f>
        <v/>
      </c>
      <c r="B526" s="5" t="n"/>
      <c r="C526" s="5" t="n"/>
      <c r="D526" s="8">
        <f>IF($B526="","",IFERROR(INDEX(PM_Category,MATCH($B526,PM_ID,0)),""))</f>
        <v/>
      </c>
      <c r="E526" s="8">
        <f>IF($B526="","",IFERROR(INDEX(PM_Subcategory,MATCH($B526,PM_ID,0)),""))</f>
        <v/>
      </c>
      <c r="F526" s="8">
        <f>IF($B526="","",IFERROR(INDEX(PM_Brand,MATCH($B526,PM_ID,0)),""))</f>
        <v/>
      </c>
      <c r="G526" s="8">
        <f>IF($B526="","",IFERROR(INDEX(PM_Model,MATCH($B526,PM_ID,0)),""))</f>
        <v/>
      </c>
      <c r="H526" s="5" t="n"/>
      <c r="I526" s="10" t="n"/>
      <c r="J526" s="9" t="n"/>
      <c r="K526" s="5" t="n"/>
      <c r="L526" s="5" t="n"/>
      <c r="M526" s="5" t="n"/>
      <c r="N526" s="5" t="n"/>
      <c r="O526" s="8">
        <f>IF($B526="","",IF(AND($A526&lt;&gt;"",COUNTIF(INV_ID,$A526)&gt;1),"⚠ this Unit ID already exists",IF(AND($H526&lt;&gt;"",COUNTIF(INV_Serial,$H526)&gt;1),"⚠ this serial already exists",IF(COUNTIFS(INV_Product,$B526,INV_No,$C526)&gt;1,"⚠ piece number reused",""))))</f>
        <v/>
      </c>
      <c r="P526" s="5" t="n"/>
    </row>
    <row r="527">
      <c r="A527" s="8">
        <f>IF(OR($B527="",$C527=""),"",IFERROR(INDEX(PM_Short,MATCH($B527,PM_ID,0))&amp;"-"&amp;TEXT($C527,"00"),"?? no such product"))</f>
        <v/>
      </c>
      <c r="B527" s="5" t="n"/>
      <c r="C527" s="5" t="n"/>
      <c r="D527" s="8">
        <f>IF($B527="","",IFERROR(INDEX(PM_Category,MATCH($B527,PM_ID,0)),""))</f>
        <v/>
      </c>
      <c r="E527" s="8">
        <f>IF($B527="","",IFERROR(INDEX(PM_Subcategory,MATCH($B527,PM_ID,0)),""))</f>
        <v/>
      </c>
      <c r="F527" s="8">
        <f>IF($B527="","",IFERROR(INDEX(PM_Brand,MATCH($B527,PM_ID,0)),""))</f>
        <v/>
      </c>
      <c r="G527" s="8">
        <f>IF($B527="","",IFERROR(INDEX(PM_Model,MATCH($B527,PM_ID,0)),""))</f>
        <v/>
      </c>
      <c r="H527" s="5" t="n"/>
      <c r="I527" s="10" t="n"/>
      <c r="J527" s="9" t="n"/>
      <c r="K527" s="5" t="n"/>
      <c r="L527" s="5" t="n"/>
      <c r="M527" s="5" t="n"/>
      <c r="N527" s="5" t="n"/>
      <c r="O527" s="8">
        <f>IF($B527="","",IF(AND($A527&lt;&gt;"",COUNTIF(INV_ID,$A527)&gt;1),"⚠ this Unit ID already exists",IF(AND($H527&lt;&gt;"",COUNTIF(INV_Serial,$H527)&gt;1),"⚠ this serial already exists",IF(COUNTIFS(INV_Product,$B527,INV_No,$C527)&gt;1,"⚠ piece number reused",""))))</f>
        <v/>
      </c>
      <c r="P527" s="5" t="n"/>
    </row>
    <row r="528">
      <c r="A528" s="8">
        <f>IF(OR($B528="",$C528=""),"",IFERROR(INDEX(PM_Short,MATCH($B528,PM_ID,0))&amp;"-"&amp;TEXT($C528,"00"),"?? no such product"))</f>
        <v/>
      </c>
      <c r="B528" s="5" t="n"/>
      <c r="C528" s="5" t="n"/>
      <c r="D528" s="8">
        <f>IF($B528="","",IFERROR(INDEX(PM_Category,MATCH($B528,PM_ID,0)),""))</f>
        <v/>
      </c>
      <c r="E528" s="8">
        <f>IF($B528="","",IFERROR(INDEX(PM_Subcategory,MATCH($B528,PM_ID,0)),""))</f>
        <v/>
      </c>
      <c r="F528" s="8">
        <f>IF($B528="","",IFERROR(INDEX(PM_Brand,MATCH($B528,PM_ID,0)),""))</f>
        <v/>
      </c>
      <c r="G528" s="8">
        <f>IF($B528="","",IFERROR(INDEX(PM_Model,MATCH($B528,PM_ID,0)),""))</f>
        <v/>
      </c>
      <c r="H528" s="5" t="n"/>
      <c r="I528" s="10" t="n"/>
      <c r="J528" s="9" t="n"/>
      <c r="K528" s="5" t="n"/>
      <c r="L528" s="5" t="n"/>
      <c r="M528" s="5" t="n"/>
      <c r="N528" s="5" t="n"/>
      <c r="O528" s="8">
        <f>IF($B528="","",IF(AND($A528&lt;&gt;"",COUNTIF(INV_ID,$A528)&gt;1),"⚠ this Unit ID already exists",IF(AND($H528&lt;&gt;"",COUNTIF(INV_Serial,$H528)&gt;1),"⚠ this serial already exists",IF(COUNTIFS(INV_Product,$B528,INV_No,$C528)&gt;1,"⚠ piece number reused",""))))</f>
        <v/>
      </c>
      <c r="P528" s="5" t="n"/>
    </row>
    <row r="529">
      <c r="A529" s="8">
        <f>IF(OR($B529="",$C529=""),"",IFERROR(INDEX(PM_Short,MATCH($B529,PM_ID,0))&amp;"-"&amp;TEXT($C529,"00"),"?? no such product"))</f>
        <v/>
      </c>
      <c r="B529" s="5" t="n"/>
      <c r="C529" s="5" t="n"/>
      <c r="D529" s="8">
        <f>IF($B529="","",IFERROR(INDEX(PM_Category,MATCH($B529,PM_ID,0)),""))</f>
        <v/>
      </c>
      <c r="E529" s="8">
        <f>IF($B529="","",IFERROR(INDEX(PM_Subcategory,MATCH($B529,PM_ID,0)),""))</f>
        <v/>
      </c>
      <c r="F529" s="8">
        <f>IF($B529="","",IFERROR(INDEX(PM_Brand,MATCH($B529,PM_ID,0)),""))</f>
        <v/>
      </c>
      <c r="G529" s="8">
        <f>IF($B529="","",IFERROR(INDEX(PM_Model,MATCH($B529,PM_ID,0)),""))</f>
        <v/>
      </c>
      <c r="H529" s="5" t="n"/>
      <c r="I529" s="10" t="n"/>
      <c r="J529" s="9" t="n"/>
      <c r="K529" s="5" t="n"/>
      <c r="L529" s="5" t="n"/>
      <c r="M529" s="5" t="n"/>
      <c r="N529" s="5" t="n"/>
      <c r="O529" s="8">
        <f>IF($B529="","",IF(AND($A529&lt;&gt;"",COUNTIF(INV_ID,$A529)&gt;1),"⚠ this Unit ID already exists",IF(AND($H529&lt;&gt;"",COUNTIF(INV_Serial,$H529)&gt;1),"⚠ this serial already exists",IF(COUNTIFS(INV_Product,$B529,INV_No,$C529)&gt;1,"⚠ piece number reused",""))))</f>
        <v/>
      </c>
      <c r="P529" s="5" t="n"/>
    </row>
    <row r="530">
      <c r="A530" s="8">
        <f>IF(OR($B530="",$C530=""),"",IFERROR(INDEX(PM_Short,MATCH($B530,PM_ID,0))&amp;"-"&amp;TEXT($C530,"00"),"?? no such product"))</f>
        <v/>
      </c>
      <c r="B530" s="5" t="n"/>
      <c r="C530" s="5" t="n"/>
      <c r="D530" s="8">
        <f>IF($B530="","",IFERROR(INDEX(PM_Category,MATCH($B530,PM_ID,0)),""))</f>
        <v/>
      </c>
      <c r="E530" s="8">
        <f>IF($B530="","",IFERROR(INDEX(PM_Subcategory,MATCH($B530,PM_ID,0)),""))</f>
        <v/>
      </c>
      <c r="F530" s="8">
        <f>IF($B530="","",IFERROR(INDEX(PM_Brand,MATCH($B530,PM_ID,0)),""))</f>
        <v/>
      </c>
      <c r="G530" s="8">
        <f>IF($B530="","",IFERROR(INDEX(PM_Model,MATCH($B530,PM_ID,0)),""))</f>
        <v/>
      </c>
      <c r="H530" s="5" t="n"/>
      <c r="I530" s="10" t="n"/>
      <c r="J530" s="9" t="n"/>
      <c r="K530" s="5" t="n"/>
      <c r="L530" s="5" t="n"/>
      <c r="M530" s="5" t="n"/>
      <c r="N530" s="5" t="n"/>
      <c r="O530" s="8">
        <f>IF($B530="","",IF(AND($A530&lt;&gt;"",COUNTIF(INV_ID,$A530)&gt;1),"⚠ this Unit ID already exists",IF(AND($H530&lt;&gt;"",COUNTIF(INV_Serial,$H530)&gt;1),"⚠ this serial already exists",IF(COUNTIFS(INV_Product,$B530,INV_No,$C530)&gt;1,"⚠ piece number reused",""))))</f>
        <v/>
      </c>
      <c r="P530" s="5" t="n"/>
    </row>
    <row r="531">
      <c r="A531" s="8">
        <f>IF(OR($B531="",$C531=""),"",IFERROR(INDEX(PM_Short,MATCH($B531,PM_ID,0))&amp;"-"&amp;TEXT($C531,"00"),"?? no such product"))</f>
        <v/>
      </c>
      <c r="B531" s="5" t="n"/>
      <c r="C531" s="5" t="n"/>
      <c r="D531" s="8">
        <f>IF($B531="","",IFERROR(INDEX(PM_Category,MATCH($B531,PM_ID,0)),""))</f>
        <v/>
      </c>
      <c r="E531" s="8">
        <f>IF($B531="","",IFERROR(INDEX(PM_Subcategory,MATCH($B531,PM_ID,0)),""))</f>
        <v/>
      </c>
      <c r="F531" s="8">
        <f>IF($B531="","",IFERROR(INDEX(PM_Brand,MATCH($B531,PM_ID,0)),""))</f>
        <v/>
      </c>
      <c r="G531" s="8">
        <f>IF($B531="","",IFERROR(INDEX(PM_Model,MATCH($B531,PM_ID,0)),""))</f>
        <v/>
      </c>
      <c r="H531" s="5" t="n"/>
      <c r="I531" s="10" t="n"/>
      <c r="J531" s="9" t="n"/>
      <c r="K531" s="5" t="n"/>
      <c r="L531" s="5" t="n"/>
      <c r="M531" s="5" t="n"/>
      <c r="N531" s="5" t="n"/>
      <c r="O531" s="8">
        <f>IF($B531="","",IF(AND($A531&lt;&gt;"",COUNTIF(INV_ID,$A531)&gt;1),"⚠ this Unit ID already exists",IF(AND($H531&lt;&gt;"",COUNTIF(INV_Serial,$H531)&gt;1),"⚠ this serial already exists",IF(COUNTIFS(INV_Product,$B531,INV_No,$C531)&gt;1,"⚠ piece number reused",""))))</f>
        <v/>
      </c>
      <c r="P531" s="5" t="n"/>
    </row>
    <row r="532">
      <c r="A532" s="8">
        <f>IF(OR($B532="",$C532=""),"",IFERROR(INDEX(PM_Short,MATCH($B532,PM_ID,0))&amp;"-"&amp;TEXT($C532,"00"),"?? no such product"))</f>
        <v/>
      </c>
      <c r="B532" s="5" t="n"/>
      <c r="C532" s="5" t="n"/>
      <c r="D532" s="8">
        <f>IF($B532="","",IFERROR(INDEX(PM_Category,MATCH($B532,PM_ID,0)),""))</f>
        <v/>
      </c>
      <c r="E532" s="8">
        <f>IF($B532="","",IFERROR(INDEX(PM_Subcategory,MATCH($B532,PM_ID,0)),""))</f>
        <v/>
      </c>
      <c r="F532" s="8">
        <f>IF($B532="","",IFERROR(INDEX(PM_Brand,MATCH($B532,PM_ID,0)),""))</f>
        <v/>
      </c>
      <c r="G532" s="8">
        <f>IF($B532="","",IFERROR(INDEX(PM_Model,MATCH($B532,PM_ID,0)),""))</f>
        <v/>
      </c>
      <c r="H532" s="5" t="n"/>
      <c r="I532" s="10" t="n"/>
      <c r="J532" s="9" t="n"/>
      <c r="K532" s="5" t="n"/>
      <c r="L532" s="5" t="n"/>
      <c r="M532" s="5" t="n"/>
      <c r="N532" s="5" t="n"/>
      <c r="O532" s="8">
        <f>IF($B532="","",IF(AND($A532&lt;&gt;"",COUNTIF(INV_ID,$A532)&gt;1),"⚠ this Unit ID already exists",IF(AND($H532&lt;&gt;"",COUNTIF(INV_Serial,$H532)&gt;1),"⚠ this serial already exists",IF(COUNTIFS(INV_Product,$B532,INV_No,$C532)&gt;1,"⚠ piece number reused",""))))</f>
        <v/>
      </c>
      <c r="P532" s="5" t="n"/>
    </row>
    <row r="533">
      <c r="A533" s="8">
        <f>IF(OR($B533="",$C533=""),"",IFERROR(INDEX(PM_Short,MATCH($B533,PM_ID,0))&amp;"-"&amp;TEXT($C533,"00"),"?? no such product"))</f>
        <v/>
      </c>
      <c r="B533" s="5" t="n"/>
      <c r="C533" s="5" t="n"/>
      <c r="D533" s="8">
        <f>IF($B533="","",IFERROR(INDEX(PM_Category,MATCH($B533,PM_ID,0)),""))</f>
        <v/>
      </c>
      <c r="E533" s="8">
        <f>IF($B533="","",IFERROR(INDEX(PM_Subcategory,MATCH($B533,PM_ID,0)),""))</f>
        <v/>
      </c>
      <c r="F533" s="8">
        <f>IF($B533="","",IFERROR(INDEX(PM_Brand,MATCH($B533,PM_ID,0)),""))</f>
        <v/>
      </c>
      <c r="G533" s="8">
        <f>IF($B533="","",IFERROR(INDEX(PM_Model,MATCH($B533,PM_ID,0)),""))</f>
        <v/>
      </c>
      <c r="H533" s="5" t="n"/>
      <c r="I533" s="10" t="n"/>
      <c r="J533" s="9" t="n"/>
      <c r="K533" s="5" t="n"/>
      <c r="L533" s="5" t="n"/>
      <c r="M533" s="5" t="n"/>
      <c r="N533" s="5" t="n"/>
      <c r="O533" s="8">
        <f>IF($B533="","",IF(AND($A533&lt;&gt;"",COUNTIF(INV_ID,$A533)&gt;1),"⚠ this Unit ID already exists",IF(AND($H533&lt;&gt;"",COUNTIF(INV_Serial,$H533)&gt;1),"⚠ this serial already exists",IF(COUNTIFS(INV_Product,$B533,INV_No,$C533)&gt;1,"⚠ piece number reused",""))))</f>
        <v/>
      </c>
      <c r="P533" s="5" t="n"/>
    </row>
    <row r="534">
      <c r="A534" s="8">
        <f>IF(OR($B534="",$C534=""),"",IFERROR(INDEX(PM_Short,MATCH($B534,PM_ID,0))&amp;"-"&amp;TEXT($C534,"00"),"?? no such product"))</f>
        <v/>
      </c>
      <c r="B534" s="5" t="n"/>
      <c r="C534" s="5" t="n"/>
      <c r="D534" s="8">
        <f>IF($B534="","",IFERROR(INDEX(PM_Category,MATCH($B534,PM_ID,0)),""))</f>
        <v/>
      </c>
      <c r="E534" s="8">
        <f>IF($B534="","",IFERROR(INDEX(PM_Subcategory,MATCH($B534,PM_ID,0)),""))</f>
        <v/>
      </c>
      <c r="F534" s="8">
        <f>IF($B534="","",IFERROR(INDEX(PM_Brand,MATCH($B534,PM_ID,0)),""))</f>
        <v/>
      </c>
      <c r="G534" s="8">
        <f>IF($B534="","",IFERROR(INDEX(PM_Model,MATCH($B534,PM_ID,0)),""))</f>
        <v/>
      </c>
      <c r="H534" s="5" t="n"/>
      <c r="I534" s="10" t="n"/>
      <c r="J534" s="9" t="n"/>
      <c r="K534" s="5" t="n"/>
      <c r="L534" s="5" t="n"/>
      <c r="M534" s="5" t="n"/>
      <c r="N534" s="5" t="n"/>
      <c r="O534" s="8">
        <f>IF($B534="","",IF(AND($A534&lt;&gt;"",COUNTIF(INV_ID,$A534)&gt;1),"⚠ this Unit ID already exists",IF(AND($H534&lt;&gt;"",COUNTIF(INV_Serial,$H534)&gt;1),"⚠ this serial already exists",IF(COUNTIFS(INV_Product,$B534,INV_No,$C534)&gt;1,"⚠ piece number reused",""))))</f>
        <v/>
      </c>
      <c r="P534" s="5" t="n"/>
    </row>
    <row r="535">
      <c r="A535" s="8">
        <f>IF(OR($B535="",$C535=""),"",IFERROR(INDEX(PM_Short,MATCH($B535,PM_ID,0))&amp;"-"&amp;TEXT($C535,"00"),"?? no such product"))</f>
        <v/>
      </c>
      <c r="B535" s="5" t="n"/>
      <c r="C535" s="5" t="n"/>
      <c r="D535" s="8">
        <f>IF($B535="","",IFERROR(INDEX(PM_Category,MATCH($B535,PM_ID,0)),""))</f>
        <v/>
      </c>
      <c r="E535" s="8">
        <f>IF($B535="","",IFERROR(INDEX(PM_Subcategory,MATCH($B535,PM_ID,0)),""))</f>
        <v/>
      </c>
      <c r="F535" s="8">
        <f>IF($B535="","",IFERROR(INDEX(PM_Brand,MATCH($B535,PM_ID,0)),""))</f>
        <v/>
      </c>
      <c r="G535" s="8">
        <f>IF($B535="","",IFERROR(INDEX(PM_Model,MATCH($B535,PM_ID,0)),""))</f>
        <v/>
      </c>
      <c r="H535" s="5" t="n"/>
      <c r="I535" s="10" t="n"/>
      <c r="J535" s="9" t="n"/>
      <c r="K535" s="5" t="n"/>
      <c r="L535" s="5" t="n"/>
      <c r="M535" s="5" t="n"/>
      <c r="N535" s="5" t="n"/>
      <c r="O535" s="8">
        <f>IF($B535="","",IF(AND($A535&lt;&gt;"",COUNTIF(INV_ID,$A535)&gt;1),"⚠ this Unit ID already exists",IF(AND($H535&lt;&gt;"",COUNTIF(INV_Serial,$H535)&gt;1),"⚠ this serial already exists",IF(COUNTIFS(INV_Product,$B535,INV_No,$C535)&gt;1,"⚠ piece number reused",""))))</f>
        <v/>
      </c>
      <c r="P535" s="5" t="n"/>
    </row>
    <row r="536">
      <c r="A536" s="8">
        <f>IF(OR($B536="",$C536=""),"",IFERROR(INDEX(PM_Short,MATCH($B536,PM_ID,0))&amp;"-"&amp;TEXT($C536,"00"),"?? no such product"))</f>
        <v/>
      </c>
      <c r="B536" s="5" t="n"/>
      <c r="C536" s="5" t="n"/>
      <c r="D536" s="8">
        <f>IF($B536="","",IFERROR(INDEX(PM_Category,MATCH($B536,PM_ID,0)),""))</f>
        <v/>
      </c>
      <c r="E536" s="8">
        <f>IF($B536="","",IFERROR(INDEX(PM_Subcategory,MATCH($B536,PM_ID,0)),""))</f>
        <v/>
      </c>
      <c r="F536" s="8">
        <f>IF($B536="","",IFERROR(INDEX(PM_Brand,MATCH($B536,PM_ID,0)),""))</f>
        <v/>
      </c>
      <c r="G536" s="8">
        <f>IF($B536="","",IFERROR(INDEX(PM_Model,MATCH($B536,PM_ID,0)),""))</f>
        <v/>
      </c>
      <c r="H536" s="5" t="n"/>
      <c r="I536" s="10" t="n"/>
      <c r="J536" s="9" t="n"/>
      <c r="K536" s="5" t="n"/>
      <c r="L536" s="5" t="n"/>
      <c r="M536" s="5" t="n"/>
      <c r="N536" s="5" t="n"/>
      <c r="O536" s="8">
        <f>IF($B536="","",IF(AND($A536&lt;&gt;"",COUNTIF(INV_ID,$A536)&gt;1),"⚠ this Unit ID already exists",IF(AND($H536&lt;&gt;"",COUNTIF(INV_Serial,$H536)&gt;1),"⚠ this serial already exists",IF(COUNTIFS(INV_Product,$B536,INV_No,$C536)&gt;1,"⚠ piece number reused",""))))</f>
        <v/>
      </c>
      <c r="P536" s="5" t="n"/>
    </row>
    <row r="537">
      <c r="A537" s="8">
        <f>IF(OR($B537="",$C537=""),"",IFERROR(INDEX(PM_Short,MATCH($B537,PM_ID,0))&amp;"-"&amp;TEXT($C537,"00"),"?? no such product"))</f>
        <v/>
      </c>
      <c r="B537" s="5" t="n"/>
      <c r="C537" s="5" t="n"/>
      <c r="D537" s="8">
        <f>IF($B537="","",IFERROR(INDEX(PM_Category,MATCH($B537,PM_ID,0)),""))</f>
        <v/>
      </c>
      <c r="E537" s="8">
        <f>IF($B537="","",IFERROR(INDEX(PM_Subcategory,MATCH($B537,PM_ID,0)),""))</f>
        <v/>
      </c>
      <c r="F537" s="8">
        <f>IF($B537="","",IFERROR(INDEX(PM_Brand,MATCH($B537,PM_ID,0)),""))</f>
        <v/>
      </c>
      <c r="G537" s="8">
        <f>IF($B537="","",IFERROR(INDEX(PM_Model,MATCH($B537,PM_ID,0)),""))</f>
        <v/>
      </c>
      <c r="H537" s="5" t="n"/>
      <c r="I537" s="10" t="n"/>
      <c r="J537" s="9" t="n"/>
      <c r="K537" s="5" t="n"/>
      <c r="L537" s="5" t="n"/>
      <c r="M537" s="5" t="n"/>
      <c r="N537" s="5" t="n"/>
      <c r="O537" s="8">
        <f>IF($B537="","",IF(AND($A537&lt;&gt;"",COUNTIF(INV_ID,$A537)&gt;1),"⚠ this Unit ID already exists",IF(AND($H537&lt;&gt;"",COUNTIF(INV_Serial,$H537)&gt;1),"⚠ this serial already exists",IF(COUNTIFS(INV_Product,$B537,INV_No,$C537)&gt;1,"⚠ piece number reused",""))))</f>
        <v/>
      </c>
      <c r="P537" s="5" t="n"/>
    </row>
    <row r="538">
      <c r="A538" s="8">
        <f>IF(OR($B538="",$C538=""),"",IFERROR(INDEX(PM_Short,MATCH($B538,PM_ID,0))&amp;"-"&amp;TEXT($C538,"00"),"?? no such product"))</f>
        <v/>
      </c>
      <c r="B538" s="5" t="n"/>
      <c r="C538" s="5" t="n"/>
      <c r="D538" s="8">
        <f>IF($B538="","",IFERROR(INDEX(PM_Category,MATCH($B538,PM_ID,0)),""))</f>
        <v/>
      </c>
      <c r="E538" s="8">
        <f>IF($B538="","",IFERROR(INDEX(PM_Subcategory,MATCH($B538,PM_ID,0)),""))</f>
        <v/>
      </c>
      <c r="F538" s="8">
        <f>IF($B538="","",IFERROR(INDEX(PM_Brand,MATCH($B538,PM_ID,0)),""))</f>
        <v/>
      </c>
      <c r="G538" s="8">
        <f>IF($B538="","",IFERROR(INDEX(PM_Model,MATCH($B538,PM_ID,0)),""))</f>
        <v/>
      </c>
      <c r="H538" s="5" t="n"/>
      <c r="I538" s="10" t="n"/>
      <c r="J538" s="9" t="n"/>
      <c r="K538" s="5" t="n"/>
      <c r="L538" s="5" t="n"/>
      <c r="M538" s="5" t="n"/>
      <c r="N538" s="5" t="n"/>
      <c r="O538" s="8">
        <f>IF($B538="","",IF(AND($A538&lt;&gt;"",COUNTIF(INV_ID,$A538)&gt;1),"⚠ this Unit ID already exists",IF(AND($H538&lt;&gt;"",COUNTIF(INV_Serial,$H538)&gt;1),"⚠ this serial already exists",IF(COUNTIFS(INV_Product,$B538,INV_No,$C538)&gt;1,"⚠ piece number reused",""))))</f>
        <v/>
      </c>
      <c r="P538" s="5" t="n"/>
    </row>
    <row r="539">
      <c r="A539" s="8">
        <f>IF(OR($B539="",$C539=""),"",IFERROR(INDEX(PM_Short,MATCH($B539,PM_ID,0))&amp;"-"&amp;TEXT($C539,"00"),"?? no such product"))</f>
        <v/>
      </c>
      <c r="B539" s="5" t="n"/>
      <c r="C539" s="5" t="n"/>
      <c r="D539" s="8">
        <f>IF($B539="","",IFERROR(INDEX(PM_Category,MATCH($B539,PM_ID,0)),""))</f>
        <v/>
      </c>
      <c r="E539" s="8">
        <f>IF($B539="","",IFERROR(INDEX(PM_Subcategory,MATCH($B539,PM_ID,0)),""))</f>
        <v/>
      </c>
      <c r="F539" s="8">
        <f>IF($B539="","",IFERROR(INDEX(PM_Brand,MATCH($B539,PM_ID,0)),""))</f>
        <v/>
      </c>
      <c r="G539" s="8">
        <f>IF($B539="","",IFERROR(INDEX(PM_Model,MATCH($B539,PM_ID,0)),""))</f>
        <v/>
      </c>
      <c r="H539" s="5" t="n"/>
      <c r="I539" s="10" t="n"/>
      <c r="J539" s="9" t="n"/>
      <c r="K539" s="5" t="n"/>
      <c r="L539" s="5" t="n"/>
      <c r="M539" s="5" t="n"/>
      <c r="N539" s="5" t="n"/>
      <c r="O539" s="8">
        <f>IF($B539="","",IF(AND($A539&lt;&gt;"",COUNTIF(INV_ID,$A539)&gt;1),"⚠ this Unit ID already exists",IF(AND($H539&lt;&gt;"",COUNTIF(INV_Serial,$H539)&gt;1),"⚠ this serial already exists",IF(COUNTIFS(INV_Product,$B539,INV_No,$C539)&gt;1,"⚠ piece number reused",""))))</f>
        <v/>
      </c>
      <c r="P539" s="5" t="n"/>
    </row>
    <row r="540">
      <c r="A540" s="8">
        <f>IF(OR($B540="",$C540=""),"",IFERROR(INDEX(PM_Short,MATCH($B540,PM_ID,0))&amp;"-"&amp;TEXT($C540,"00"),"?? no such product"))</f>
        <v/>
      </c>
      <c r="B540" s="5" t="n"/>
      <c r="C540" s="5" t="n"/>
      <c r="D540" s="8">
        <f>IF($B540="","",IFERROR(INDEX(PM_Category,MATCH($B540,PM_ID,0)),""))</f>
        <v/>
      </c>
      <c r="E540" s="8">
        <f>IF($B540="","",IFERROR(INDEX(PM_Subcategory,MATCH($B540,PM_ID,0)),""))</f>
        <v/>
      </c>
      <c r="F540" s="8">
        <f>IF($B540="","",IFERROR(INDEX(PM_Brand,MATCH($B540,PM_ID,0)),""))</f>
        <v/>
      </c>
      <c r="G540" s="8">
        <f>IF($B540="","",IFERROR(INDEX(PM_Model,MATCH($B540,PM_ID,0)),""))</f>
        <v/>
      </c>
      <c r="H540" s="5" t="n"/>
      <c r="I540" s="10" t="n"/>
      <c r="J540" s="9" t="n"/>
      <c r="K540" s="5" t="n"/>
      <c r="L540" s="5" t="n"/>
      <c r="M540" s="5" t="n"/>
      <c r="N540" s="5" t="n"/>
      <c r="O540" s="8">
        <f>IF($B540="","",IF(AND($A540&lt;&gt;"",COUNTIF(INV_ID,$A540)&gt;1),"⚠ this Unit ID already exists",IF(AND($H540&lt;&gt;"",COUNTIF(INV_Serial,$H540)&gt;1),"⚠ this serial already exists",IF(COUNTIFS(INV_Product,$B540,INV_No,$C540)&gt;1,"⚠ piece number reused",""))))</f>
        <v/>
      </c>
      <c r="P540" s="5" t="n"/>
    </row>
    <row r="541">
      <c r="A541" s="8">
        <f>IF(OR($B541="",$C541=""),"",IFERROR(INDEX(PM_Short,MATCH($B541,PM_ID,0))&amp;"-"&amp;TEXT($C541,"00"),"?? no such product"))</f>
        <v/>
      </c>
      <c r="B541" s="5" t="n"/>
      <c r="C541" s="5" t="n"/>
      <c r="D541" s="8">
        <f>IF($B541="","",IFERROR(INDEX(PM_Category,MATCH($B541,PM_ID,0)),""))</f>
        <v/>
      </c>
      <c r="E541" s="8">
        <f>IF($B541="","",IFERROR(INDEX(PM_Subcategory,MATCH($B541,PM_ID,0)),""))</f>
        <v/>
      </c>
      <c r="F541" s="8">
        <f>IF($B541="","",IFERROR(INDEX(PM_Brand,MATCH($B541,PM_ID,0)),""))</f>
        <v/>
      </c>
      <c r="G541" s="8">
        <f>IF($B541="","",IFERROR(INDEX(PM_Model,MATCH($B541,PM_ID,0)),""))</f>
        <v/>
      </c>
      <c r="H541" s="5" t="n"/>
      <c r="I541" s="10" t="n"/>
      <c r="J541" s="9" t="n"/>
      <c r="K541" s="5" t="n"/>
      <c r="L541" s="5" t="n"/>
      <c r="M541" s="5" t="n"/>
      <c r="N541" s="5" t="n"/>
      <c r="O541" s="8">
        <f>IF($B541="","",IF(AND($A541&lt;&gt;"",COUNTIF(INV_ID,$A541)&gt;1),"⚠ this Unit ID already exists",IF(AND($H541&lt;&gt;"",COUNTIF(INV_Serial,$H541)&gt;1),"⚠ this serial already exists",IF(COUNTIFS(INV_Product,$B541,INV_No,$C541)&gt;1,"⚠ piece number reused",""))))</f>
        <v/>
      </c>
      <c r="P541" s="5" t="n"/>
    </row>
    <row r="542">
      <c r="A542" s="8">
        <f>IF(OR($B542="",$C542=""),"",IFERROR(INDEX(PM_Short,MATCH($B542,PM_ID,0))&amp;"-"&amp;TEXT($C542,"00"),"?? no such product"))</f>
        <v/>
      </c>
      <c r="B542" s="5" t="n"/>
      <c r="C542" s="5" t="n"/>
      <c r="D542" s="8">
        <f>IF($B542="","",IFERROR(INDEX(PM_Category,MATCH($B542,PM_ID,0)),""))</f>
        <v/>
      </c>
      <c r="E542" s="8">
        <f>IF($B542="","",IFERROR(INDEX(PM_Subcategory,MATCH($B542,PM_ID,0)),""))</f>
        <v/>
      </c>
      <c r="F542" s="8">
        <f>IF($B542="","",IFERROR(INDEX(PM_Brand,MATCH($B542,PM_ID,0)),""))</f>
        <v/>
      </c>
      <c r="G542" s="8">
        <f>IF($B542="","",IFERROR(INDEX(PM_Model,MATCH($B542,PM_ID,0)),""))</f>
        <v/>
      </c>
      <c r="H542" s="5" t="n"/>
      <c r="I542" s="10" t="n"/>
      <c r="J542" s="9" t="n"/>
      <c r="K542" s="5" t="n"/>
      <c r="L542" s="5" t="n"/>
      <c r="M542" s="5" t="n"/>
      <c r="N542" s="5" t="n"/>
      <c r="O542" s="8">
        <f>IF($B542="","",IF(AND($A542&lt;&gt;"",COUNTIF(INV_ID,$A542)&gt;1),"⚠ this Unit ID already exists",IF(AND($H542&lt;&gt;"",COUNTIF(INV_Serial,$H542)&gt;1),"⚠ this serial already exists",IF(COUNTIFS(INV_Product,$B542,INV_No,$C542)&gt;1,"⚠ piece number reused",""))))</f>
        <v/>
      </c>
      <c r="P542" s="5" t="n"/>
    </row>
    <row r="543">
      <c r="A543" s="8">
        <f>IF(OR($B543="",$C543=""),"",IFERROR(INDEX(PM_Short,MATCH($B543,PM_ID,0))&amp;"-"&amp;TEXT($C543,"00"),"?? no such product"))</f>
        <v/>
      </c>
      <c r="B543" s="5" t="n"/>
      <c r="C543" s="5" t="n"/>
      <c r="D543" s="8">
        <f>IF($B543="","",IFERROR(INDEX(PM_Category,MATCH($B543,PM_ID,0)),""))</f>
        <v/>
      </c>
      <c r="E543" s="8">
        <f>IF($B543="","",IFERROR(INDEX(PM_Subcategory,MATCH($B543,PM_ID,0)),""))</f>
        <v/>
      </c>
      <c r="F543" s="8">
        <f>IF($B543="","",IFERROR(INDEX(PM_Brand,MATCH($B543,PM_ID,0)),""))</f>
        <v/>
      </c>
      <c r="G543" s="8">
        <f>IF($B543="","",IFERROR(INDEX(PM_Model,MATCH($B543,PM_ID,0)),""))</f>
        <v/>
      </c>
      <c r="H543" s="5" t="n"/>
      <c r="I543" s="10" t="n"/>
      <c r="J543" s="9" t="n"/>
      <c r="K543" s="5" t="n"/>
      <c r="L543" s="5" t="n"/>
      <c r="M543" s="5" t="n"/>
      <c r="N543" s="5" t="n"/>
      <c r="O543" s="8">
        <f>IF($B543="","",IF(AND($A543&lt;&gt;"",COUNTIF(INV_ID,$A543)&gt;1),"⚠ this Unit ID already exists",IF(AND($H543&lt;&gt;"",COUNTIF(INV_Serial,$H543)&gt;1),"⚠ this serial already exists",IF(COUNTIFS(INV_Product,$B543,INV_No,$C543)&gt;1,"⚠ piece number reused",""))))</f>
        <v/>
      </c>
      <c r="P543" s="5" t="n"/>
    </row>
    <row r="544">
      <c r="A544" s="8">
        <f>IF(OR($B544="",$C544=""),"",IFERROR(INDEX(PM_Short,MATCH($B544,PM_ID,0))&amp;"-"&amp;TEXT($C544,"00"),"?? no such product"))</f>
        <v/>
      </c>
      <c r="B544" s="5" t="n"/>
      <c r="C544" s="5" t="n"/>
      <c r="D544" s="8">
        <f>IF($B544="","",IFERROR(INDEX(PM_Category,MATCH($B544,PM_ID,0)),""))</f>
        <v/>
      </c>
      <c r="E544" s="8">
        <f>IF($B544="","",IFERROR(INDEX(PM_Subcategory,MATCH($B544,PM_ID,0)),""))</f>
        <v/>
      </c>
      <c r="F544" s="8">
        <f>IF($B544="","",IFERROR(INDEX(PM_Brand,MATCH($B544,PM_ID,0)),""))</f>
        <v/>
      </c>
      <c r="G544" s="8">
        <f>IF($B544="","",IFERROR(INDEX(PM_Model,MATCH($B544,PM_ID,0)),""))</f>
        <v/>
      </c>
      <c r="H544" s="5" t="n"/>
      <c r="I544" s="10" t="n"/>
      <c r="J544" s="9" t="n"/>
      <c r="K544" s="5" t="n"/>
      <c r="L544" s="5" t="n"/>
      <c r="M544" s="5" t="n"/>
      <c r="N544" s="5" t="n"/>
      <c r="O544" s="8">
        <f>IF($B544="","",IF(AND($A544&lt;&gt;"",COUNTIF(INV_ID,$A544)&gt;1),"⚠ this Unit ID already exists",IF(AND($H544&lt;&gt;"",COUNTIF(INV_Serial,$H544)&gt;1),"⚠ this serial already exists",IF(COUNTIFS(INV_Product,$B544,INV_No,$C544)&gt;1,"⚠ piece number reused",""))))</f>
        <v/>
      </c>
      <c r="P544" s="5" t="n"/>
    </row>
    <row r="545">
      <c r="A545" s="8">
        <f>IF(OR($B545="",$C545=""),"",IFERROR(INDEX(PM_Short,MATCH($B545,PM_ID,0))&amp;"-"&amp;TEXT($C545,"00"),"?? no such product"))</f>
        <v/>
      </c>
      <c r="B545" s="5" t="n"/>
      <c r="C545" s="5" t="n"/>
      <c r="D545" s="8">
        <f>IF($B545="","",IFERROR(INDEX(PM_Category,MATCH($B545,PM_ID,0)),""))</f>
        <v/>
      </c>
      <c r="E545" s="8">
        <f>IF($B545="","",IFERROR(INDEX(PM_Subcategory,MATCH($B545,PM_ID,0)),""))</f>
        <v/>
      </c>
      <c r="F545" s="8">
        <f>IF($B545="","",IFERROR(INDEX(PM_Brand,MATCH($B545,PM_ID,0)),""))</f>
        <v/>
      </c>
      <c r="G545" s="8">
        <f>IF($B545="","",IFERROR(INDEX(PM_Model,MATCH($B545,PM_ID,0)),""))</f>
        <v/>
      </c>
      <c r="H545" s="5" t="n"/>
      <c r="I545" s="10" t="n"/>
      <c r="J545" s="9" t="n"/>
      <c r="K545" s="5" t="n"/>
      <c r="L545" s="5" t="n"/>
      <c r="M545" s="5" t="n"/>
      <c r="N545" s="5" t="n"/>
      <c r="O545" s="8">
        <f>IF($B545="","",IF(AND($A545&lt;&gt;"",COUNTIF(INV_ID,$A545)&gt;1),"⚠ this Unit ID already exists",IF(AND($H545&lt;&gt;"",COUNTIF(INV_Serial,$H545)&gt;1),"⚠ this serial already exists",IF(COUNTIFS(INV_Product,$B545,INV_No,$C545)&gt;1,"⚠ piece number reused",""))))</f>
        <v/>
      </c>
      <c r="P545" s="5" t="n"/>
    </row>
    <row r="546">
      <c r="A546" s="8">
        <f>IF(OR($B546="",$C546=""),"",IFERROR(INDEX(PM_Short,MATCH($B546,PM_ID,0))&amp;"-"&amp;TEXT($C546,"00"),"?? no such product"))</f>
        <v/>
      </c>
      <c r="B546" s="5" t="n"/>
      <c r="C546" s="5" t="n"/>
      <c r="D546" s="8">
        <f>IF($B546="","",IFERROR(INDEX(PM_Category,MATCH($B546,PM_ID,0)),""))</f>
        <v/>
      </c>
      <c r="E546" s="8">
        <f>IF($B546="","",IFERROR(INDEX(PM_Subcategory,MATCH($B546,PM_ID,0)),""))</f>
        <v/>
      </c>
      <c r="F546" s="8">
        <f>IF($B546="","",IFERROR(INDEX(PM_Brand,MATCH($B546,PM_ID,0)),""))</f>
        <v/>
      </c>
      <c r="G546" s="8">
        <f>IF($B546="","",IFERROR(INDEX(PM_Model,MATCH($B546,PM_ID,0)),""))</f>
        <v/>
      </c>
      <c r="H546" s="5" t="n"/>
      <c r="I546" s="10" t="n"/>
      <c r="J546" s="9" t="n"/>
      <c r="K546" s="5" t="n"/>
      <c r="L546" s="5" t="n"/>
      <c r="M546" s="5" t="n"/>
      <c r="N546" s="5" t="n"/>
      <c r="O546" s="8">
        <f>IF($B546="","",IF(AND($A546&lt;&gt;"",COUNTIF(INV_ID,$A546)&gt;1),"⚠ this Unit ID already exists",IF(AND($H546&lt;&gt;"",COUNTIF(INV_Serial,$H546)&gt;1),"⚠ this serial already exists",IF(COUNTIFS(INV_Product,$B546,INV_No,$C546)&gt;1,"⚠ piece number reused",""))))</f>
        <v/>
      </c>
      <c r="P546" s="5" t="n"/>
    </row>
    <row r="547">
      <c r="A547" s="8">
        <f>IF(OR($B547="",$C547=""),"",IFERROR(INDEX(PM_Short,MATCH($B547,PM_ID,0))&amp;"-"&amp;TEXT($C547,"00"),"?? no such product"))</f>
        <v/>
      </c>
      <c r="B547" s="5" t="n"/>
      <c r="C547" s="5" t="n"/>
      <c r="D547" s="8">
        <f>IF($B547="","",IFERROR(INDEX(PM_Category,MATCH($B547,PM_ID,0)),""))</f>
        <v/>
      </c>
      <c r="E547" s="8">
        <f>IF($B547="","",IFERROR(INDEX(PM_Subcategory,MATCH($B547,PM_ID,0)),""))</f>
        <v/>
      </c>
      <c r="F547" s="8">
        <f>IF($B547="","",IFERROR(INDEX(PM_Brand,MATCH($B547,PM_ID,0)),""))</f>
        <v/>
      </c>
      <c r="G547" s="8">
        <f>IF($B547="","",IFERROR(INDEX(PM_Model,MATCH($B547,PM_ID,0)),""))</f>
        <v/>
      </c>
      <c r="H547" s="5" t="n"/>
      <c r="I547" s="10" t="n"/>
      <c r="J547" s="9" t="n"/>
      <c r="K547" s="5" t="n"/>
      <c r="L547" s="5" t="n"/>
      <c r="M547" s="5" t="n"/>
      <c r="N547" s="5" t="n"/>
      <c r="O547" s="8">
        <f>IF($B547="","",IF(AND($A547&lt;&gt;"",COUNTIF(INV_ID,$A547)&gt;1),"⚠ this Unit ID already exists",IF(AND($H547&lt;&gt;"",COUNTIF(INV_Serial,$H547)&gt;1),"⚠ this serial already exists",IF(COUNTIFS(INV_Product,$B547,INV_No,$C547)&gt;1,"⚠ piece number reused",""))))</f>
        <v/>
      </c>
      <c r="P547" s="5" t="n"/>
    </row>
    <row r="548">
      <c r="A548" s="8">
        <f>IF(OR($B548="",$C548=""),"",IFERROR(INDEX(PM_Short,MATCH($B548,PM_ID,0))&amp;"-"&amp;TEXT($C548,"00"),"?? no such product"))</f>
        <v/>
      </c>
      <c r="B548" s="5" t="n"/>
      <c r="C548" s="5" t="n"/>
      <c r="D548" s="8">
        <f>IF($B548="","",IFERROR(INDEX(PM_Category,MATCH($B548,PM_ID,0)),""))</f>
        <v/>
      </c>
      <c r="E548" s="8">
        <f>IF($B548="","",IFERROR(INDEX(PM_Subcategory,MATCH($B548,PM_ID,0)),""))</f>
        <v/>
      </c>
      <c r="F548" s="8">
        <f>IF($B548="","",IFERROR(INDEX(PM_Brand,MATCH($B548,PM_ID,0)),""))</f>
        <v/>
      </c>
      <c r="G548" s="8">
        <f>IF($B548="","",IFERROR(INDEX(PM_Model,MATCH($B548,PM_ID,0)),""))</f>
        <v/>
      </c>
      <c r="H548" s="5" t="n"/>
      <c r="I548" s="10" t="n"/>
      <c r="J548" s="9" t="n"/>
      <c r="K548" s="5" t="n"/>
      <c r="L548" s="5" t="n"/>
      <c r="M548" s="5" t="n"/>
      <c r="N548" s="5" t="n"/>
      <c r="O548" s="8">
        <f>IF($B548="","",IF(AND($A548&lt;&gt;"",COUNTIF(INV_ID,$A548)&gt;1),"⚠ this Unit ID already exists",IF(AND($H548&lt;&gt;"",COUNTIF(INV_Serial,$H548)&gt;1),"⚠ this serial already exists",IF(COUNTIFS(INV_Product,$B548,INV_No,$C548)&gt;1,"⚠ piece number reused",""))))</f>
        <v/>
      </c>
      <c r="P548" s="5" t="n"/>
    </row>
    <row r="549">
      <c r="A549" s="8">
        <f>IF(OR($B549="",$C549=""),"",IFERROR(INDEX(PM_Short,MATCH($B549,PM_ID,0))&amp;"-"&amp;TEXT($C549,"00"),"?? no such product"))</f>
        <v/>
      </c>
      <c r="B549" s="5" t="n"/>
      <c r="C549" s="5" t="n"/>
      <c r="D549" s="8">
        <f>IF($B549="","",IFERROR(INDEX(PM_Category,MATCH($B549,PM_ID,0)),""))</f>
        <v/>
      </c>
      <c r="E549" s="8">
        <f>IF($B549="","",IFERROR(INDEX(PM_Subcategory,MATCH($B549,PM_ID,0)),""))</f>
        <v/>
      </c>
      <c r="F549" s="8">
        <f>IF($B549="","",IFERROR(INDEX(PM_Brand,MATCH($B549,PM_ID,0)),""))</f>
        <v/>
      </c>
      <c r="G549" s="8">
        <f>IF($B549="","",IFERROR(INDEX(PM_Model,MATCH($B549,PM_ID,0)),""))</f>
        <v/>
      </c>
      <c r="H549" s="5" t="n"/>
      <c r="I549" s="10" t="n"/>
      <c r="J549" s="9" t="n"/>
      <c r="K549" s="5" t="n"/>
      <c r="L549" s="5" t="n"/>
      <c r="M549" s="5" t="n"/>
      <c r="N549" s="5" t="n"/>
      <c r="O549" s="8">
        <f>IF($B549="","",IF(AND($A549&lt;&gt;"",COUNTIF(INV_ID,$A549)&gt;1),"⚠ this Unit ID already exists",IF(AND($H549&lt;&gt;"",COUNTIF(INV_Serial,$H549)&gt;1),"⚠ this serial already exists",IF(COUNTIFS(INV_Product,$B549,INV_No,$C549)&gt;1,"⚠ piece number reused",""))))</f>
        <v/>
      </c>
      <c r="P549" s="5" t="n"/>
    </row>
    <row r="550">
      <c r="A550" s="8">
        <f>IF(OR($B550="",$C550=""),"",IFERROR(INDEX(PM_Short,MATCH($B550,PM_ID,0))&amp;"-"&amp;TEXT($C550,"00"),"?? no such product"))</f>
        <v/>
      </c>
      <c r="B550" s="5" t="n"/>
      <c r="C550" s="5" t="n"/>
      <c r="D550" s="8">
        <f>IF($B550="","",IFERROR(INDEX(PM_Category,MATCH($B550,PM_ID,0)),""))</f>
        <v/>
      </c>
      <c r="E550" s="8">
        <f>IF($B550="","",IFERROR(INDEX(PM_Subcategory,MATCH($B550,PM_ID,0)),""))</f>
        <v/>
      </c>
      <c r="F550" s="8">
        <f>IF($B550="","",IFERROR(INDEX(PM_Brand,MATCH($B550,PM_ID,0)),""))</f>
        <v/>
      </c>
      <c r="G550" s="8">
        <f>IF($B550="","",IFERROR(INDEX(PM_Model,MATCH($B550,PM_ID,0)),""))</f>
        <v/>
      </c>
      <c r="H550" s="5" t="n"/>
      <c r="I550" s="10" t="n"/>
      <c r="J550" s="9" t="n"/>
      <c r="K550" s="5" t="n"/>
      <c r="L550" s="5" t="n"/>
      <c r="M550" s="5" t="n"/>
      <c r="N550" s="5" t="n"/>
      <c r="O550" s="8">
        <f>IF($B550="","",IF(AND($A550&lt;&gt;"",COUNTIF(INV_ID,$A550)&gt;1),"⚠ this Unit ID already exists",IF(AND($H550&lt;&gt;"",COUNTIF(INV_Serial,$H550)&gt;1),"⚠ this serial already exists",IF(COUNTIFS(INV_Product,$B550,INV_No,$C550)&gt;1,"⚠ piece number reused",""))))</f>
        <v/>
      </c>
      <c r="P550" s="5" t="n"/>
    </row>
    <row r="551">
      <c r="A551" s="8">
        <f>IF(OR($B551="",$C551=""),"",IFERROR(INDEX(PM_Short,MATCH($B551,PM_ID,0))&amp;"-"&amp;TEXT($C551,"00"),"?? no such product"))</f>
        <v/>
      </c>
      <c r="B551" s="5" t="n"/>
      <c r="C551" s="5" t="n"/>
      <c r="D551" s="8">
        <f>IF($B551="","",IFERROR(INDEX(PM_Category,MATCH($B551,PM_ID,0)),""))</f>
        <v/>
      </c>
      <c r="E551" s="8">
        <f>IF($B551="","",IFERROR(INDEX(PM_Subcategory,MATCH($B551,PM_ID,0)),""))</f>
        <v/>
      </c>
      <c r="F551" s="8">
        <f>IF($B551="","",IFERROR(INDEX(PM_Brand,MATCH($B551,PM_ID,0)),""))</f>
        <v/>
      </c>
      <c r="G551" s="8">
        <f>IF($B551="","",IFERROR(INDEX(PM_Model,MATCH($B551,PM_ID,0)),""))</f>
        <v/>
      </c>
      <c r="H551" s="5" t="n"/>
      <c r="I551" s="10" t="n"/>
      <c r="J551" s="9" t="n"/>
      <c r="K551" s="5" t="n"/>
      <c r="L551" s="5" t="n"/>
      <c r="M551" s="5" t="n"/>
      <c r="N551" s="5" t="n"/>
      <c r="O551" s="8">
        <f>IF($B551="","",IF(AND($A551&lt;&gt;"",COUNTIF(INV_ID,$A551)&gt;1),"⚠ this Unit ID already exists",IF(AND($H551&lt;&gt;"",COUNTIF(INV_Serial,$H551)&gt;1),"⚠ this serial already exists",IF(COUNTIFS(INV_Product,$B551,INV_No,$C551)&gt;1,"⚠ piece number reused",""))))</f>
        <v/>
      </c>
      <c r="P551" s="5" t="n"/>
    </row>
    <row r="552">
      <c r="A552" s="8">
        <f>IF(OR($B552="",$C552=""),"",IFERROR(INDEX(PM_Short,MATCH($B552,PM_ID,0))&amp;"-"&amp;TEXT($C552,"00"),"?? no such product"))</f>
        <v/>
      </c>
      <c r="B552" s="5" t="n"/>
      <c r="C552" s="5" t="n"/>
      <c r="D552" s="8">
        <f>IF($B552="","",IFERROR(INDEX(PM_Category,MATCH($B552,PM_ID,0)),""))</f>
        <v/>
      </c>
      <c r="E552" s="8">
        <f>IF($B552="","",IFERROR(INDEX(PM_Subcategory,MATCH($B552,PM_ID,0)),""))</f>
        <v/>
      </c>
      <c r="F552" s="8">
        <f>IF($B552="","",IFERROR(INDEX(PM_Brand,MATCH($B552,PM_ID,0)),""))</f>
        <v/>
      </c>
      <c r="G552" s="8">
        <f>IF($B552="","",IFERROR(INDEX(PM_Model,MATCH($B552,PM_ID,0)),""))</f>
        <v/>
      </c>
      <c r="H552" s="5" t="n"/>
      <c r="I552" s="10" t="n"/>
      <c r="J552" s="9" t="n"/>
      <c r="K552" s="5" t="n"/>
      <c r="L552" s="5" t="n"/>
      <c r="M552" s="5" t="n"/>
      <c r="N552" s="5" t="n"/>
      <c r="O552" s="8">
        <f>IF($B552="","",IF(AND($A552&lt;&gt;"",COUNTIF(INV_ID,$A552)&gt;1),"⚠ this Unit ID already exists",IF(AND($H552&lt;&gt;"",COUNTIF(INV_Serial,$H552)&gt;1),"⚠ this serial already exists",IF(COUNTIFS(INV_Product,$B552,INV_No,$C552)&gt;1,"⚠ piece number reused",""))))</f>
        <v/>
      </c>
      <c r="P552" s="5" t="n"/>
    </row>
    <row r="553">
      <c r="A553" s="8">
        <f>IF(OR($B553="",$C553=""),"",IFERROR(INDEX(PM_Short,MATCH($B553,PM_ID,0))&amp;"-"&amp;TEXT($C553,"00"),"?? no such product"))</f>
        <v/>
      </c>
      <c r="B553" s="5" t="n"/>
      <c r="C553" s="5" t="n"/>
      <c r="D553" s="8">
        <f>IF($B553="","",IFERROR(INDEX(PM_Category,MATCH($B553,PM_ID,0)),""))</f>
        <v/>
      </c>
      <c r="E553" s="8">
        <f>IF($B553="","",IFERROR(INDEX(PM_Subcategory,MATCH($B553,PM_ID,0)),""))</f>
        <v/>
      </c>
      <c r="F553" s="8">
        <f>IF($B553="","",IFERROR(INDEX(PM_Brand,MATCH($B553,PM_ID,0)),""))</f>
        <v/>
      </c>
      <c r="G553" s="8">
        <f>IF($B553="","",IFERROR(INDEX(PM_Model,MATCH($B553,PM_ID,0)),""))</f>
        <v/>
      </c>
      <c r="H553" s="5" t="n"/>
      <c r="I553" s="10" t="n"/>
      <c r="J553" s="9" t="n"/>
      <c r="K553" s="5" t="n"/>
      <c r="L553" s="5" t="n"/>
      <c r="M553" s="5" t="n"/>
      <c r="N553" s="5" t="n"/>
      <c r="O553" s="8">
        <f>IF($B553="","",IF(AND($A553&lt;&gt;"",COUNTIF(INV_ID,$A553)&gt;1),"⚠ this Unit ID already exists",IF(AND($H553&lt;&gt;"",COUNTIF(INV_Serial,$H553)&gt;1),"⚠ this serial already exists",IF(COUNTIFS(INV_Product,$B553,INV_No,$C553)&gt;1,"⚠ piece number reused",""))))</f>
        <v/>
      </c>
      <c r="P553" s="5" t="n"/>
    </row>
    <row r="554">
      <c r="A554" s="8">
        <f>IF(OR($B554="",$C554=""),"",IFERROR(INDEX(PM_Short,MATCH($B554,PM_ID,0))&amp;"-"&amp;TEXT($C554,"00"),"?? no such product"))</f>
        <v/>
      </c>
      <c r="B554" s="5" t="n"/>
      <c r="C554" s="5" t="n"/>
      <c r="D554" s="8">
        <f>IF($B554="","",IFERROR(INDEX(PM_Category,MATCH($B554,PM_ID,0)),""))</f>
        <v/>
      </c>
      <c r="E554" s="8">
        <f>IF($B554="","",IFERROR(INDEX(PM_Subcategory,MATCH($B554,PM_ID,0)),""))</f>
        <v/>
      </c>
      <c r="F554" s="8">
        <f>IF($B554="","",IFERROR(INDEX(PM_Brand,MATCH($B554,PM_ID,0)),""))</f>
        <v/>
      </c>
      <c r="G554" s="8">
        <f>IF($B554="","",IFERROR(INDEX(PM_Model,MATCH($B554,PM_ID,0)),""))</f>
        <v/>
      </c>
      <c r="H554" s="5" t="n"/>
      <c r="I554" s="10" t="n"/>
      <c r="J554" s="9" t="n"/>
      <c r="K554" s="5" t="n"/>
      <c r="L554" s="5" t="n"/>
      <c r="M554" s="5" t="n"/>
      <c r="N554" s="5" t="n"/>
      <c r="O554" s="8">
        <f>IF($B554="","",IF(AND($A554&lt;&gt;"",COUNTIF(INV_ID,$A554)&gt;1),"⚠ this Unit ID already exists",IF(AND($H554&lt;&gt;"",COUNTIF(INV_Serial,$H554)&gt;1),"⚠ this serial already exists",IF(COUNTIFS(INV_Product,$B554,INV_No,$C554)&gt;1,"⚠ piece number reused",""))))</f>
        <v/>
      </c>
      <c r="P554" s="5" t="n"/>
    </row>
    <row r="555">
      <c r="A555" s="8">
        <f>IF(OR($B555="",$C555=""),"",IFERROR(INDEX(PM_Short,MATCH($B555,PM_ID,0))&amp;"-"&amp;TEXT($C555,"00"),"?? no such product"))</f>
        <v/>
      </c>
      <c r="B555" s="5" t="n"/>
      <c r="C555" s="5" t="n"/>
      <c r="D555" s="8">
        <f>IF($B555="","",IFERROR(INDEX(PM_Category,MATCH($B555,PM_ID,0)),""))</f>
        <v/>
      </c>
      <c r="E555" s="8">
        <f>IF($B555="","",IFERROR(INDEX(PM_Subcategory,MATCH($B555,PM_ID,0)),""))</f>
        <v/>
      </c>
      <c r="F555" s="8">
        <f>IF($B555="","",IFERROR(INDEX(PM_Brand,MATCH($B555,PM_ID,0)),""))</f>
        <v/>
      </c>
      <c r="G555" s="8">
        <f>IF($B555="","",IFERROR(INDEX(PM_Model,MATCH($B555,PM_ID,0)),""))</f>
        <v/>
      </c>
      <c r="H555" s="5" t="n"/>
      <c r="I555" s="10" t="n"/>
      <c r="J555" s="9" t="n"/>
      <c r="K555" s="5" t="n"/>
      <c r="L555" s="5" t="n"/>
      <c r="M555" s="5" t="n"/>
      <c r="N555" s="5" t="n"/>
      <c r="O555" s="8">
        <f>IF($B555="","",IF(AND($A555&lt;&gt;"",COUNTIF(INV_ID,$A555)&gt;1),"⚠ this Unit ID already exists",IF(AND($H555&lt;&gt;"",COUNTIF(INV_Serial,$H555)&gt;1),"⚠ this serial already exists",IF(COUNTIFS(INV_Product,$B555,INV_No,$C555)&gt;1,"⚠ piece number reused",""))))</f>
        <v/>
      </c>
      <c r="P555" s="5" t="n"/>
    </row>
    <row r="556">
      <c r="A556" s="8">
        <f>IF(OR($B556="",$C556=""),"",IFERROR(INDEX(PM_Short,MATCH($B556,PM_ID,0))&amp;"-"&amp;TEXT($C556,"00"),"?? no such product"))</f>
        <v/>
      </c>
      <c r="B556" s="5" t="n"/>
      <c r="C556" s="5" t="n"/>
      <c r="D556" s="8">
        <f>IF($B556="","",IFERROR(INDEX(PM_Category,MATCH($B556,PM_ID,0)),""))</f>
        <v/>
      </c>
      <c r="E556" s="8">
        <f>IF($B556="","",IFERROR(INDEX(PM_Subcategory,MATCH($B556,PM_ID,0)),""))</f>
        <v/>
      </c>
      <c r="F556" s="8">
        <f>IF($B556="","",IFERROR(INDEX(PM_Brand,MATCH($B556,PM_ID,0)),""))</f>
        <v/>
      </c>
      <c r="G556" s="8">
        <f>IF($B556="","",IFERROR(INDEX(PM_Model,MATCH($B556,PM_ID,0)),""))</f>
        <v/>
      </c>
      <c r="H556" s="5" t="n"/>
      <c r="I556" s="10" t="n"/>
      <c r="J556" s="9" t="n"/>
      <c r="K556" s="5" t="n"/>
      <c r="L556" s="5" t="n"/>
      <c r="M556" s="5" t="n"/>
      <c r="N556" s="5" t="n"/>
      <c r="O556" s="8">
        <f>IF($B556="","",IF(AND($A556&lt;&gt;"",COUNTIF(INV_ID,$A556)&gt;1),"⚠ this Unit ID already exists",IF(AND($H556&lt;&gt;"",COUNTIF(INV_Serial,$H556)&gt;1),"⚠ this serial already exists",IF(COUNTIFS(INV_Product,$B556,INV_No,$C556)&gt;1,"⚠ piece number reused",""))))</f>
        <v/>
      </c>
      <c r="P556" s="5" t="n"/>
    </row>
    <row r="557">
      <c r="A557" s="8">
        <f>IF(OR($B557="",$C557=""),"",IFERROR(INDEX(PM_Short,MATCH($B557,PM_ID,0))&amp;"-"&amp;TEXT($C557,"00"),"?? no such product"))</f>
        <v/>
      </c>
      <c r="B557" s="5" t="n"/>
      <c r="C557" s="5" t="n"/>
      <c r="D557" s="8">
        <f>IF($B557="","",IFERROR(INDEX(PM_Category,MATCH($B557,PM_ID,0)),""))</f>
        <v/>
      </c>
      <c r="E557" s="8">
        <f>IF($B557="","",IFERROR(INDEX(PM_Subcategory,MATCH($B557,PM_ID,0)),""))</f>
        <v/>
      </c>
      <c r="F557" s="8">
        <f>IF($B557="","",IFERROR(INDEX(PM_Brand,MATCH($B557,PM_ID,0)),""))</f>
        <v/>
      </c>
      <c r="G557" s="8">
        <f>IF($B557="","",IFERROR(INDEX(PM_Model,MATCH($B557,PM_ID,0)),""))</f>
        <v/>
      </c>
      <c r="H557" s="5" t="n"/>
      <c r="I557" s="10" t="n"/>
      <c r="J557" s="9" t="n"/>
      <c r="K557" s="5" t="n"/>
      <c r="L557" s="5" t="n"/>
      <c r="M557" s="5" t="n"/>
      <c r="N557" s="5" t="n"/>
      <c r="O557" s="8">
        <f>IF($B557="","",IF(AND($A557&lt;&gt;"",COUNTIF(INV_ID,$A557)&gt;1),"⚠ this Unit ID already exists",IF(AND($H557&lt;&gt;"",COUNTIF(INV_Serial,$H557)&gt;1),"⚠ this serial already exists",IF(COUNTIFS(INV_Product,$B557,INV_No,$C557)&gt;1,"⚠ piece number reused",""))))</f>
        <v/>
      </c>
      <c r="P557" s="5" t="n"/>
    </row>
    <row r="558">
      <c r="A558" s="8">
        <f>IF(OR($B558="",$C558=""),"",IFERROR(INDEX(PM_Short,MATCH($B558,PM_ID,0))&amp;"-"&amp;TEXT($C558,"00"),"?? no such product"))</f>
        <v/>
      </c>
      <c r="B558" s="5" t="n"/>
      <c r="C558" s="5" t="n"/>
      <c r="D558" s="8">
        <f>IF($B558="","",IFERROR(INDEX(PM_Category,MATCH($B558,PM_ID,0)),""))</f>
        <v/>
      </c>
      <c r="E558" s="8">
        <f>IF($B558="","",IFERROR(INDEX(PM_Subcategory,MATCH($B558,PM_ID,0)),""))</f>
        <v/>
      </c>
      <c r="F558" s="8">
        <f>IF($B558="","",IFERROR(INDEX(PM_Brand,MATCH($B558,PM_ID,0)),""))</f>
        <v/>
      </c>
      <c r="G558" s="8">
        <f>IF($B558="","",IFERROR(INDEX(PM_Model,MATCH($B558,PM_ID,0)),""))</f>
        <v/>
      </c>
      <c r="H558" s="5" t="n"/>
      <c r="I558" s="10" t="n"/>
      <c r="J558" s="9" t="n"/>
      <c r="K558" s="5" t="n"/>
      <c r="L558" s="5" t="n"/>
      <c r="M558" s="5" t="n"/>
      <c r="N558" s="5" t="n"/>
      <c r="O558" s="8">
        <f>IF($B558="","",IF(AND($A558&lt;&gt;"",COUNTIF(INV_ID,$A558)&gt;1),"⚠ this Unit ID already exists",IF(AND($H558&lt;&gt;"",COUNTIF(INV_Serial,$H558)&gt;1),"⚠ this serial already exists",IF(COUNTIFS(INV_Product,$B558,INV_No,$C558)&gt;1,"⚠ piece number reused",""))))</f>
        <v/>
      </c>
      <c r="P558" s="5" t="n"/>
    </row>
    <row r="559">
      <c r="A559" s="8">
        <f>IF(OR($B559="",$C559=""),"",IFERROR(INDEX(PM_Short,MATCH($B559,PM_ID,0))&amp;"-"&amp;TEXT($C559,"00"),"?? no such product"))</f>
        <v/>
      </c>
      <c r="B559" s="5" t="n"/>
      <c r="C559" s="5" t="n"/>
      <c r="D559" s="8">
        <f>IF($B559="","",IFERROR(INDEX(PM_Category,MATCH($B559,PM_ID,0)),""))</f>
        <v/>
      </c>
      <c r="E559" s="8">
        <f>IF($B559="","",IFERROR(INDEX(PM_Subcategory,MATCH($B559,PM_ID,0)),""))</f>
        <v/>
      </c>
      <c r="F559" s="8">
        <f>IF($B559="","",IFERROR(INDEX(PM_Brand,MATCH($B559,PM_ID,0)),""))</f>
        <v/>
      </c>
      <c r="G559" s="8">
        <f>IF($B559="","",IFERROR(INDEX(PM_Model,MATCH($B559,PM_ID,0)),""))</f>
        <v/>
      </c>
      <c r="H559" s="5" t="n"/>
      <c r="I559" s="10" t="n"/>
      <c r="J559" s="9" t="n"/>
      <c r="K559" s="5" t="n"/>
      <c r="L559" s="5" t="n"/>
      <c r="M559" s="5" t="n"/>
      <c r="N559" s="5" t="n"/>
      <c r="O559" s="8">
        <f>IF($B559="","",IF(AND($A559&lt;&gt;"",COUNTIF(INV_ID,$A559)&gt;1),"⚠ this Unit ID already exists",IF(AND($H559&lt;&gt;"",COUNTIF(INV_Serial,$H559)&gt;1),"⚠ this serial already exists",IF(COUNTIFS(INV_Product,$B559,INV_No,$C559)&gt;1,"⚠ piece number reused",""))))</f>
        <v/>
      </c>
      <c r="P559" s="5" t="n"/>
    </row>
    <row r="560">
      <c r="A560" s="8">
        <f>IF(OR($B560="",$C560=""),"",IFERROR(INDEX(PM_Short,MATCH($B560,PM_ID,0))&amp;"-"&amp;TEXT($C560,"00"),"?? no such product"))</f>
        <v/>
      </c>
      <c r="B560" s="5" t="n"/>
      <c r="C560" s="5" t="n"/>
      <c r="D560" s="8">
        <f>IF($B560="","",IFERROR(INDEX(PM_Category,MATCH($B560,PM_ID,0)),""))</f>
        <v/>
      </c>
      <c r="E560" s="8">
        <f>IF($B560="","",IFERROR(INDEX(PM_Subcategory,MATCH($B560,PM_ID,0)),""))</f>
        <v/>
      </c>
      <c r="F560" s="8">
        <f>IF($B560="","",IFERROR(INDEX(PM_Brand,MATCH($B560,PM_ID,0)),""))</f>
        <v/>
      </c>
      <c r="G560" s="8">
        <f>IF($B560="","",IFERROR(INDEX(PM_Model,MATCH($B560,PM_ID,0)),""))</f>
        <v/>
      </c>
      <c r="H560" s="5" t="n"/>
      <c r="I560" s="10" t="n"/>
      <c r="J560" s="9" t="n"/>
      <c r="K560" s="5" t="n"/>
      <c r="L560" s="5" t="n"/>
      <c r="M560" s="5" t="n"/>
      <c r="N560" s="5" t="n"/>
      <c r="O560" s="8">
        <f>IF($B560="","",IF(AND($A560&lt;&gt;"",COUNTIF(INV_ID,$A560)&gt;1),"⚠ this Unit ID already exists",IF(AND($H560&lt;&gt;"",COUNTIF(INV_Serial,$H560)&gt;1),"⚠ this serial already exists",IF(COUNTIFS(INV_Product,$B560,INV_No,$C560)&gt;1,"⚠ piece number reused",""))))</f>
        <v/>
      </c>
      <c r="P560" s="5" t="n"/>
    </row>
    <row r="561">
      <c r="A561" s="8">
        <f>IF(OR($B561="",$C561=""),"",IFERROR(INDEX(PM_Short,MATCH($B561,PM_ID,0))&amp;"-"&amp;TEXT($C561,"00"),"?? no such product"))</f>
        <v/>
      </c>
      <c r="B561" s="5" t="n"/>
      <c r="C561" s="5" t="n"/>
      <c r="D561" s="8">
        <f>IF($B561="","",IFERROR(INDEX(PM_Category,MATCH($B561,PM_ID,0)),""))</f>
        <v/>
      </c>
      <c r="E561" s="8">
        <f>IF($B561="","",IFERROR(INDEX(PM_Subcategory,MATCH($B561,PM_ID,0)),""))</f>
        <v/>
      </c>
      <c r="F561" s="8">
        <f>IF($B561="","",IFERROR(INDEX(PM_Brand,MATCH($B561,PM_ID,0)),""))</f>
        <v/>
      </c>
      <c r="G561" s="8">
        <f>IF($B561="","",IFERROR(INDEX(PM_Model,MATCH($B561,PM_ID,0)),""))</f>
        <v/>
      </c>
      <c r="H561" s="5" t="n"/>
      <c r="I561" s="10" t="n"/>
      <c r="J561" s="9" t="n"/>
      <c r="K561" s="5" t="n"/>
      <c r="L561" s="5" t="n"/>
      <c r="M561" s="5" t="n"/>
      <c r="N561" s="5" t="n"/>
      <c r="O561" s="8">
        <f>IF($B561="","",IF(AND($A561&lt;&gt;"",COUNTIF(INV_ID,$A561)&gt;1),"⚠ this Unit ID already exists",IF(AND($H561&lt;&gt;"",COUNTIF(INV_Serial,$H561)&gt;1),"⚠ this serial already exists",IF(COUNTIFS(INV_Product,$B561,INV_No,$C561)&gt;1,"⚠ piece number reused",""))))</f>
        <v/>
      </c>
      <c r="P561" s="5" t="n"/>
    </row>
    <row r="562">
      <c r="A562" s="8">
        <f>IF(OR($B562="",$C562=""),"",IFERROR(INDEX(PM_Short,MATCH($B562,PM_ID,0))&amp;"-"&amp;TEXT($C562,"00"),"?? no such product"))</f>
        <v/>
      </c>
      <c r="B562" s="5" t="n"/>
      <c r="C562" s="5" t="n"/>
      <c r="D562" s="8">
        <f>IF($B562="","",IFERROR(INDEX(PM_Category,MATCH($B562,PM_ID,0)),""))</f>
        <v/>
      </c>
      <c r="E562" s="8">
        <f>IF($B562="","",IFERROR(INDEX(PM_Subcategory,MATCH($B562,PM_ID,0)),""))</f>
        <v/>
      </c>
      <c r="F562" s="8">
        <f>IF($B562="","",IFERROR(INDEX(PM_Brand,MATCH($B562,PM_ID,0)),""))</f>
        <v/>
      </c>
      <c r="G562" s="8">
        <f>IF($B562="","",IFERROR(INDEX(PM_Model,MATCH($B562,PM_ID,0)),""))</f>
        <v/>
      </c>
      <c r="H562" s="5" t="n"/>
      <c r="I562" s="10" t="n"/>
      <c r="J562" s="9" t="n"/>
      <c r="K562" s="5" t="n"/>
      <c r="L562" s="5" t="n"/>
      <c r="M562" s="5" t="n"/>
      <c r="N562" s="5" t="n"/>
      <c r="O562" s="8">
        <f>IF($B562="","",IF(AND($A562&lt;&gt;"",COUNTIF(INV_ID,$A562)&gt;1),"⚠ this Unit ID already exists",IF(AND($H562&lt;&gt;"",COUNTIF(INV_Serial,$H562)&gt;1),"⚠ this serial already exists",IF(COUNTIFS(INV_Product,$B562,INV_No,$C562)&gt;1,"⚠ piece number reused",""))))</f>
        <v/>
      </c>
      <c r="P562" s="5" t="n"/>
    </row>
    <row r="563">
      <c r="A563" s="8">
        <f>IF(OR($B563="",$C563=""),"",IFERROR(INDEX(PM_Short,MATCH($B563,PM_ID,0))&amp;"-"&amp;TEXT($C563,"00"),"?? no such product"))</f>
        <v/>
      </c>
      <c r="B563" s="5" t="n"/>
      <c r="C563" s="5" t="n"/>
      <c r="D563" s="8">
        <f>IF($B563="","",IFERROR(INDEX(PM_Category,MATCH($B563,PM_ID,0)),""))</f>
        <v/>
      </c>
      <c r="E563" s="8">
        <f>IF($B563="","",IFERROR(INDEX(PM_Subcategory,MATCH($B563,PM_ID,0)),""))</f>
        <v/>
      </c>
      <c r="F563" s="8">
        <f>IF($B563="","",IFERROR(INDEX(PM_Brand,MATCH($B563,PM_ID,0)),""))</f>
        <v/>
      </c>
      <c r="G563" s="8">
        <f>IF($B563="","",IFERROR(INDEX(PM_Model,MATCH($B563,PM_ID,0)),""))</f>
        <v/>
      </c>
      <c r="H563" s="5" t="n"/>
      <c r="I563" s="10" t="n"/>
      <c r="J563" s="9" t="n"/>
      <c r="K563" s="5" t="n"/>
      <c r="L563" s="5" t="n"/>
      <c r="M563" s="5" t="n"/>
      <c r="N563" s="5" t="n"/>
      <c r="O563" s="8">
        <f>IF($B563="","",IF(AND($A563&lt;&gt;"",COUNTIF(INV_ID,$A563)&gt;1),"⚠ this Unit ID already exists",IF(AND($H563&lt;&gt;"",COUNTIF(INV_Serial,$H563)&gt;1),"⚠ this serial already exists",IF(COUNTIFS(INV_Product,$B563,INV_No,$C563)&gt;1,"⚠ piece number reused",""))))</f>
        <v/>
      </c>
      <c r="P563" s="5" t="n"/>
    </row>
    <row r="564">
      <c r="A564" s="8">
        <f>IF(OR($B564="",$C564=""),"",IFERROR(INDEX(PM_Short,MATCH($B564,PM_ID,0))&amp;"-"&amp;TEXT($C564,"00"),"?? no such product"))</f>
        <v/>
      </c>
      <c r="B564" s="5" t="n"/>
      <c r="C564" s="5" t="n"/>
      <c r="D564" s="8">
        <f>IF($B564="","",IFERROR(INDEX(PM_Category,MATCH($B564,PM_ID,0)),""))</f>
        <v/>
      </c>
      <c r="E564" s="8">
        <f>IF($B564="","",IFERROR(INDEX(PM_Subcategory,MATCH($B564,PM_ID,0)),""))</f>
        <v/>
      </c>
      <c r="F564" s="8">
        <f>IF($B564="","",IFERROR(INDEX(PM_Brand,MATCH($B564,PM_ID,0)),""))</f>
        <v/>
      </c>
      <c r="G564" s="8">
        <f>IF($B564="","",IFERROR(INDEX(PM_Model,MATCH($B564,PM_ID,0)),""))</f>
        <v/>
      </c>
      <c r="H564" s="5" t="n"/>
      <c r="I564" s="10" t="n"/>
      <c r="J564" s="9" t="n"/>
      <c r="K564" s="5" t="n"/>
      <c r="L564" s="5" t="n"/>
      <c r="M564" s="5" t="n"/>
      <c r="N564" s="5" t="n"/>
      <c r="O564" s="8">
        <f>IF($B564="","",IF(AND($A564&lt;&gt;"",COUNTIF(INV_ID,$A564)&gt;1),"⚠ this Unit ID already exists",IF(AND($H564&lt;&gt;"",COUNTIF(INV_Serial,$H564)&gt;1),"⚠ this serial already exists",IF(COUNTIFS(INV_Product,$B564,INV_No,$C564)&gt;1,"⚠ piece number reused",""))))</f>
        <v/>
      </c>
      <c r="P564" s="5" t="n"/>
    </row>
    <row r="565">
      <c r="A565" s="8">
        <f>IF(OR($B565="",$C565=""),"",IFERROR(INDEX(PM_Short,MATCH($B565,PM_ID,0))&amp;"-"&amp;TEXT($C565,"00"),"?? no such product"))</f>
        <v/>
      </c>
      <c r="B565" s="5" t="n"/>
      <c r="C565" s="5" t="n"/>
      <c r="D565" s="8">
        <f>IF($B565="","",IFERROR(INDEX(PM_Category,MATCH($B565,PM_ID,0)),""))</f>
        <v/>
      </c>
      <c r="E565" s="8">
        <f>IF($B565="","",IFERROR(INDEX(PM_Subcategory,MATCH($B565,PM_ID,0)),""))</f>
        <v/>
      </c>
      <c r="F565" s="8">
        <f>IF($B565="","",IFERROR(INDEX(PM_Brand,MATCH($B565,PM_ID,0)),""))</f>
        <v/>
      </c>
      <c r="G565" s="8">
        <f>IF($B565="","",IFERROR(INDEX(PM_Model,MATCH($B565,PM_ID,0)),""))</f>
        <v/>
      </c>
      <c r="H565" s="5" t="n"/>
      <c r="I565" s="10" t="n"/>
      <c r="J565" s="9" t="n"/>
      <c r="K565" s="5" t="n"/>
      <c r="L565" s="5" t="n"/>
      <c r="M565" s="5" t="n"/>
      <c r="N565" s="5" t="n"/>
      <c r="O565" s="8">
        <f>IF($B565="","",IF(AND($A565&lt;&gt;"",COUNTIF(INV_ID,$A565)&gt;1),"⚠ this Unit ID already exists",IF(AND($H565&lt;&gt;"",COUNTIF(INV_Serial,$H565)&gt;1),"⚠ this serial already exists",IF(COUNTIFS(INV_Product,$B565,INV_No,$C565)&gt;1,"⚠ piece number reused",""))))</f>
        <v/>
      </c>
      <c r="P565" s="5" t="n"/>
    </row>
    <row r="566">
      <c r="A566" s="8">
        <f>IF(OR($B566="",$C566=""),"",IFERROR(INDEX(PM_Short,MATCH($B566,PM_ID,0))&amp;"-"&amp;TEXT($C566,"00"),"?? no such product"))</f>
        <v/>
      </c>
      <c r="B566" s="5" t="n"/>
      <c r="C566" s="5" t="n"/>
      <c r="D566" s="8">
        <f>IF($B566="","",IFERROR(INDEX(PM_Category,MATCH($B566,PM_ID,0)),""))</f>
        <v/>
      </c>
      <c r="E566" s="8">
        <f>IF($B566="","",IFERROR(INDEX(PM_Subcategory,MATCH($B566,PM_ID,0)),""))</f>
        <v/>
      </c>
      <c r="F566" s="8">
        <f>IF($B566="","",IFERROR(INDEX(PM_Brand,MATCH($B566,PM_ID,0)),""))</f>
        <v/>
      </c>
      <c r="G566" s="8">
        <f>IF($B566="","",IFERROR(INDEX(PM_Model,MATCH($B566,PM_ID,0)),""))</f>
        <v/>
      </c>
      <c r="H566" s="5" t="n"/>
      <c r="I566" s="10" t="n"/>
      <c r="J566" s="9" t="n"/>
      <c r="K566" s="5" t="n"/>
      <c r="L566" s="5" t="n"/>
      <c r="M566" s="5" t="n"/>
      <c r="N566" s="5" t="n"/>
      <c r="O566" s="8">
        <f>IF($B566="","",IF(AND($A566&lt;&gt;"",COUNTIF(INV_ID,$A566)&gt;1),"⚠ this Unit ID already exists",IF(AND($H566&lt;&gt;"",COUNTIF(INV_Serial,$H566)&gt;1),"⚠ this serial already exists",IF(COUNTIFS(INV_Product,$B566,INV_No,$C566)&gt;1,"⚠ piece number reused",""))))</f>
        <v/>
      </c>
      <c r="P566" s="5" t="n"/>
    </row>
    <row r="567">
      <c r="A567" s="8">
        <f>IF(OR($B567="",$C567=""),"",IFERROR(INDEX(PM_Short,MATCH($B567,PM_ID,0))&amp;"-"&amp;TEXT($C567,"00"),"?? no such product"))</f>
        <v/>
      </c>
      <c r="B567" s="5" t="n"/>
      <c r="C567" s="5" t="n"/>
      <c r="D567" s="8">
        <f>IF($B567="","",IFERROR(INDEX(PM_Category,MATCH($B567,PM_ID,0)),""))</f>
        <v/>
      </c>
      <c r="E567" s="8">
        <f>IF($B567="","",IFERROR(INDEX(PM_Subcategory,MATCH($B567,PM_ID,0)),""))</f>
        <v/>
      </c>
      <c r="F567" s="8">
        <f>IF($B567="","",IFERROR(INDEX(PM_Brand,MATCH($B567,PM_ID,0)),""))</f>
        <v/>
      </c>
      <c r="G567" s="8">
        <f>IF($B567="","",IFERROR(INDEX(PM_Model,MATCH($B567,PM_ID,0)),""))</f>
        <v/>
      </c>
      <c r="H567" s="5" t="n"/>
      <c r="I567" s="10" t="n"/>
      <c r="J567" s="9" t="n"/>
      <c r="K567" s="5" t="n"/>
      <c r="L567" s="5" t="n"/>
      <c r="M567" s="5" t="n"/>
      <c r="N567" s="5" t="n"/>
      <c r="O567" s="8">
        <f>IF($B567="","",IF(AND($A567&lt;&gt;"",COUNTIF(INV_ID,$A567)&gt;1),"⚠ this Unit ID already exists",IF(AND($H567&lt;&gt;"",COUNTIF(INV_Serial,$H567)&gt;1),"⚠ this serial already exists",IF(COUNTIFS(INV_Product,$B567,INV_No,$C567)&gt;1,"⚠ piece number reused",""))))</f>
        <v/>
      </c>
      <c r="P567" s="5" t="n"/>
    </row>
    <row r="568">
      <c r="A568" s="8">
        <f>IF(OR($B568="",$C568=""),"",IFERROR(INDEX(PM_Short,MATCH($B568,PM_ID,0))&amp;"-"&amp;TEXT($C568,"00"),"?? no such product"))</f>
        <v/>
      </c>
      <c r="B568" s="5" t="n"/>
      <c r="C568" s="5" t="n"/>
      <c r="D568" s="8">
        <f>IF($B568="","",IFERROR(INDEX(PM_Category,MATCH($B568,PM_ID,0)),""))</f>
        <v/>
      </c>
      <c r="E568" s="8">
        <f>IF($B568="","",IFERROR(INDEX(PM_Subcategory,MATCH($B568,PM_ID,0)),""))</f>
        <v/>
      </c>
      <c r="F568" s="8">
        <f>IF($B568="","",IFERROR(INDEX(PM_Brand,MATCH($B568,PM_ID,0)),""))</f>
        <v/>
      </c>
      <c r="G568" s="8">
        <f>IF($B568="","",IFERROR(INDEX(PM_Model,MATCH($B568,PM_ID,0)),""))</f>
        <v/>
      </c>
      <c r="H568" s="5" t="n"/>
      <c r="I568" s="10" t="n"/>
      <c r="J568" s="9" t="n"/>
      <c r="K568" s="5" t="n"/>
      <c r="L568" s="5" t="n"/>
      <c r="M568" s="5" t="n"/>
      <c r="N568" s="5" t="n"/>
      <c r="O568" s="8">
        <f>IF($B568="","",IF(AND($A568&lt;&gt;"",COUNTIF(INV_ID,$A568)&gt;1),"⚠ this Unit ID already exists",IF(AND($H568&lt;&gt;"",COUNTIF(INV_Serial,$H568)&gt;1),"⚠ this serial already exists",IF(COUNTIFS(INV_Product,$B568,INV_No,$C568)&gt;1,"⚠ piece number reused",""))))</f>
        <v/>
      </c>
      <c r="P568" s="5" t="n"/>
    </row>
    <row r="569">
      <c r="A569" s="8">
        <f>IF(OR($B569="",$C569=""),"",IFERROR(INDEX(PM_Short,MATCH($B569,PM_ID,0))&amp;"-"&amp;TEXT($C569,"00"),"?? no such product"))</f>
        <v/>
      </c>
      <c r="B569" s="5" t="n"/>
      <c r="C569" s="5" t="n"/>
      <c r="D569" s="8">
        <f>IF($B569="","",IFERROR(INDEX(PM_Category,MATCH($B569,PM_ID,0)),""))</f>
        <v/>
      </c>
      <c r="E569" s="8">
        <f>IF($B569="","",IFERROR(INDEX(PM_Subcategory,MATCH($B569,PM_ID,0)),""))</f>
        <v/>
      </c>
      <c r="F569" s="8">
        <f>IF($B569="","",IFERROR(INDEX(PM_Brand,MATCH($B569,PM_ID,0)),""))</f>
        <v/>
      </c>
      <c r="G569" s="8">
        <f>IF($B569="","",IFERROR(INDEX(PM_Model,MATCH($B569,PM_ID,0)),""))</f>
        <v/>
      </c>
      <c r="H569" s="5" t="n"/>
      <c r="I569" s="10" t="n"/>
      <c r="J569" s="9" t="n"/>
      <c r="K569" s="5" t="n"/>
      <c r="L569" s="5" t="n"/>
      <c r="M569" s="5" t="n"/>
      <c r="N569" s="5" t="n"/>
      <c r="O569" s="8">
        <f>IF($B569="","",IF(AND($A569&lt;&gt;"",COUNTIF(INV_ID,$A569)&gt;1),"⚠ this Unit ID already exists",IF(AND($H569&lt;&gt;"",COUNTIF(INV_Serial,$H569)&gt;1),"⚠ this serial already exists",IF(COUNTIFS(INV_Product,$B569,INV_No,$C569)&gt;1,"⚠ piece number reused",""))))</f>
        <v/>
      </c>
      <c r="P569" s="5" t="n"/>
    </row>
    <row r="570">
      <c r="A570" s="8">
        <f>IF(OR($B570="",$C570=""),"",IFERROR(INDEX(PM_Short,MATCH($B570,PM_ID,0))&amp;"-"&amp;TEXT($C570,"00"),"?? no such product"))</f>
        <v/>
      </c>
      <c r="B570" s="5" t="n"/>
      <c r="C570" s="5" t="n"/>
      <c r="D570" s="8">
        <f>IF($B570="","",IFERROR(INDEX(PM_Category,MATCH($B570,PM_ID,0)),""))</f>
        <v/>
      </c>
      <c r="E570" s="8">
        <f>IF($B570="","",IFERROR(INDEX(PM_Subcategory,MATCH($B570,PM_ID,0)),""))</f>
        <v/>
      </c>
      <c r="F570" s="8">
        <f>IF($B570="","",IFERROR(INDEX(PM_Brand,MATCH($B570,PM_ID,0)),""))</f>
        <v/>
      </c>
      <c r="G570" s="8">
        <f>IF($B570="","",IFERROR(INDEX(PM_Model,MATCH($B570,PM_ID,0)),""))</f>
        <v/>
      </c>
      <c r="H570" s="5" t="n"/>
      <c r="I570" s="10" t="n"/>
      <c r="J570" s="9" t="n"/>
      <c r="K570" s="5" t="n"/>
      <c r="L570" s="5" t="n"/>
      <c r="M570" s="5" t="n"/>
      <c r="N570" s="5" t="n"/>
      <c r="O570" s="8">
        <f>IF($B570="","",IF(AND($A570&lt;&gt;"",COUNTIF(INV_ID,$A570)&gt;1),"⚠ this Unit ID already exists",IF(AND($H570&lt;&gt;"",COUNTIF(INV_Serial,$H570)&gt;1),"⚠ this serial already exists",IF(COUNTIFS(INV_Product,$B570,INV_No,$C570)&gt;1,"⚠ piece number reused",""))))</f>
        <v/>
      </c>
      <c r="P570" s="5" t="n"/>
    </row>
    <row r="571">
      <c r="A571" s="8">
        <f>IF(OR($B571="",$C571=""),"",IFERROR(INDEX(PM_Short,MATCH($B571,PM_ID,0))&amp;"-"&amp;TEXT($C571,"00"),"?? no such product"))</f>
        <v/>
      </c>
      <c r="B571" s="5" t="n"/>
      <c r="C571" s="5" t="n"/>
      <c r="D571" s="8">
        <f>IF($B571="","",IFERROR(INDEX(PM_Category,MATCH($B571,PM_ID,0)),""))</f>
        <v/>
      </c>
      <c r="E571" s="8">
        <f>IF($B571="","",IFERROR(INDEX(PM_Subcategory,MATCH($B571,PM_ID,0)),""))</f>
        <v/>
      </c>
      <c r="F571" s="8">
        <f>IF($B571="","",IFERROR(INDEX(PM_Brand,MATCH($B571,PM_ID,0)),""))</f>
        <v/>
      </c>
      <c r="G571" s="8">
        <f>IF($B571="","",IFERROR(INDEX(PM_Model,MATCH($B571,PM_ID,0)),""))</f>
        <v/>
      </c>
      <c r="H571" s="5" t="n"/>
      <c r="I571" s="10" t="n"/>
      <c r="J571" s="9" t="n"/>
      <c r="K571" s="5" t="n"/>
      <c r="L571" s="5" t="n"/>
      <c r="M571" s="5" t="n"/>
      <c r="N571" s="5" t="n"/>
      <c r="O571" s="8">
        <f>IF($B571="","",IF(AND($A571&lt;&gt;"",COUNTIF(INV_ID,$A571)&gt;1),"⚠ this Unit ID already exists",IF(AND($H571&lt;&gt;"",COUNTIF(INV_Serial,$H571)&gt;1),"⚠ this serial already exists",IF(COUNTIFS(INV_Product,$B571,INV_No,$C571)&gt;1,"⚠ piece number reused",""))))</f>
        <v/>
      </c>
      <c r="P571" s="5" t="n"/>
    </row>
    <row r="572">
      <c r="A572" s="8">
        <f>IF(OR($B572="",$C572=""),"",IFERROR(INDEX(PM_Short,MATCH($B572,PM_ID,0))&amp;"-"&amp;TEXT($C572,"00"),"?? no such product"))</f>
        <v/>
      </c>
      <c r="B572" s="5" t="n"/>
      <c r="C572" s="5" t="n"/>
      <c r="D572" s="8">
        <f>IF($B572="","",IFERROR(INDEX(PM_Category,MATCH($B572,PM_ID,0)),""))</f>
        <v/>
      </c>
      <c r="E572" s="8">
        <f>IF($B572="","",IFERROR(INDEX(PM_Subcategory,MATCH($B572,PM_ID,0)),""))</f>
        <v/>
      </c>
      <c r="F572" s="8">
        <f>IF($B572="","",IFERROR(INDEX(PM_Brand,MATCH($B572,PM_ID,0)),""))</f>
        <v/>
      </c>
      <c r="G572" s="8">
        <f>IF($B572="","",IFERROR(INDEX(PM_Model,MATCH($B572,PM_ID,0)),""))</f>
        <v/>
      </c>
      <c r="H572" s="5" t="n"/>
      <c r="I572" s="10" t="n"/>
      <c r="J572" s="9" t="n"/>
      <c r="K572" s="5" t="n"/>
      <c r="L572" s="5" t="n"/>
      <c r="M572" s="5" t="n"/>
      <c r="N572" s="5" t="n"/>
      <c r="O572" s="8">
        <f>IF($B572="","",IF(AND($A572&lt;&gt;"",COUNTIF(INV_ID,$A572)&gt;1),"⚠ this Unit ID already exists",IF(AND($H572&lt;&gt;"",COUNTIF(INV_Serial,$H572)&gt;1),"⚠ this serial already exists",IF(COUNTIFS(INV_Product,$B572,INV_No,$C572)&gt;1,"⚠ piece number reused",""))))</f>
        <v/>
      </c>
      <c r="P572" s="5" t="n"/>
    </row>
    <row r="573">
      <c r="A573" s="8">
        <f>IF(OR($B573="",$C573=""),"",IFERROR(INDEX(PM_Short,MATCH($B573,PM_ID,0))&amp;"-"&amp;TEXT($C573,"00"),"?? no such product"))</f>
        <v/>
      </c>
      <c r="B573" s="5" t="n"/>
      <c r="C573" s="5" t="n"/>
      <c r="D573" s="8">
        <f>IF($B573="","",IFERROR(INDEX(PM_Category,MATCH($B573,PM_ID,0)),""))</f>
        <v/>
      </c>
      <c r="E573" s="8">
        <f>IF($B573="","",IFERROR(INDEX(PM_Subcategory,MATCH($B573,PM_ID,0)),""))</f>
        <v/>
      </c>
      <c r="F573" s="8">
        <f>IF($B573="","",IFERROR(INDEX(PM_Brand,MATCH($B573,PM_ID,0)),""))</f>
        <v/>
      </c>
      <c r="G573" s="8">
        <f>IF($B573="","",IFERROR(INDEX(PM_Model,MATCH($B573,PM_ID,0)),""))</f>
        <v/>
      </c>
      <c r="H573" s="5" t="n"/>
      <c r="I573" s="10" t="n"/>
      <c r="J573" s="9" t="n"/>
      <c r="K573" s="5" t="n"/>
      <c r="L573" s="5" t="n"/>
      <c r="M573" s="5" t="n"/>
      <c r="N573" s="5" t="n"/>
      <c r="O573" s="8">
        <f>IF($B573="","",IF(AND($A573&lt;&gt;"",COUNTIF(INV_ID,$A573)&gt;1),"⚠ this Unit ID already exists",IF(AND($H573&lt;&gt;"",COUNTIF(INV_Serial,$H573)&gt;1),"⚠ this serial already exists",IF(COUNTIFS(INV_Product,$B573,INV_No,$C573)&gt;1,"⚠ piece number reused",""))))</f>
        <v/>
      </c>
      <c r="P573" s="5" t="n"/>
    </row>
    <row r="574">
      <c r="A574" s="8">
        <f>IF(OR($B574="",$C574=""),"",IFERROR(INDEX(PM_Short,MATCH($B574,PM_ID,0))&amp;"-"&amp;TEXT($C574,"00"),"?? no such product"))</f>
        <v/>
      </c>
      <c r="B574" s="5" t="n"/>
      <c r="C574" s="5" t="n"/>
      <c r="D574" s="8">
        <f>IF($B574="","",IFERROR(INDEX(PM_Category,MATCH($B574,PM_ID,0)),""))</f>
        <v/>
      </c>
      <c r="E574" s="8">
        <f>IF($B574="","",IFERROR(INDEX(PM_Subcategory,MATCH($B574,PM_ID,0)),""))</f>
        <v/>
      </c>
      <c r="F574" s="8">
        <f>IF($B574="","",IFERROR(INDEX(PM_Brand,MATCH($B574,PM_ID,0)),""))</f>
        <v/>
      </c>
      <c r="G574" s="8">
        <f>IF($B574="","",IFERROR(INDEX(PM_Model,MATCH($B574,PM_ID,0)),""))</f>
        <v/>
      </c>
      <c r="H574" s="5" t="n"/>
      <c r="I574" s="10" t="n"/>
      <c r="J574" s="9" t="n"/>
      <c r="K574" s="5" t="n"/>
      <c r="L574" s="5" t="n"/>
      <c r="M574" s="5" t="n"/>
      <c r="N574" s="5" t="n"/>
      <c r="O574" s="8">
        <f>IF($B574="","",IF(AND($A574&lt;&gt;"",COUNTIF(INV_ID,$A574)&gt;1),"⚠ this Unit ID already exists",IF(AND($H574&lt;&gt;"",COUNTIF(INV_Serial,$H574)&gt;1),"⚠ this serial already exists",IF(COUNTIFS(INV_Product,$B574,INV_No,$C574)&gt;1,"⚠ piece number reused",""))))</f>
        <v/>
      </c>
      <c r="P574" s="5" t="n"/>
    </row>
    <row r="575">
      <c r="A575" s="8">
        <f>IF(OR($B575="",$C575=""),"",IFERROR(INDEX(PM_Short,MATCH($B575,PM_ID,0))&amp;"-"&amp;TEXT($C575,"00"),"?? no such product"))</f>
        <v/>
      </c>
      <c r="B575" s="5" t="n"/>
      <c r="C575" s="5" t="n"/>
      <c r="D575" s="8">
        <f>IF($B575="","",IFERROR(INDEX(PM_Category,MATCH($B575,PM_ID,0)),""))</f>
        <v/>
      </c>
      <c r="E575" s="8">
        <f>IF($B575="","",IFERROR(INDEX(PM_Subcategory,MATCH($B575,PM_ID,0)),""))</f>
        <v/>
      </c>
      <c r="F575" s="8">
        <f>IF($B575="","",IFERROR(INDEX(PM_Brand,MATCH($B575,PM_ID,0)),""))</f>
        <v/>
      </c>
      <c r="G575" s="8">
        <f>IF($B575="","",IFERROR(INDEX(PM_Model,MATCH($B575,PM_ID,0)),""))</f>
        <v/>
      </c>
      <c r="H575" s="5" t="n"/>
      <c r="I575" s="10" t="n"/>
      <c r="J575" s="9" t="n"/>
      <c r="K575" s="5" t="n"/>
      <c r="L575" s="5" t="n"/>
      <c r="M575" s="5" t="n"/>
      <c r="N575" s="5" t="n"/>
      <c r="O575" s="8">
        <f>IF($B575="","",IF(AND($A575&lt;&gt;"",COUNTIF(INV_ID,$A575)&gt;1),"⚠ this Unit ID already exists",IF(AND($H575&lt;&gt;"",COUNTIF(INV_Serial,$H575)&gt;1),"⚠ this serial already exists",IF(COUNTIFS(INV_Product,$B575,INV_No,$C575)&gt;1,"⚠ piece number reused",""))))</f>
        <v/>
      </c>
      <c r="P575" s="5" t="n"/>
    </row>
    <row r="576">
      <c r="A576" s="8">
        <f>IF(OR($B576="",$C576=""),"",IFERROR(INDEX(PM_Short,MATCH($B576,PM_ID,0))&amp;"-"&amp;TEXT($C576,"00"),"?? no such product"))</f>
        <v/>
      </c>
      <c r="B576" s="5" t="n"/>
      <c r="C576" s="5" t="n"/>
      <c r="D576" s="8">
        <f>IF($B576="","",IFERROR(INDEX(PM_Category,MATCH($B576,PM_ID,0)),""))</f>
        <v/>
      </c>
      <c r="E576" s="8">
        <f>IF($B576="","",IFERROR(INDEX(PM_Subcategory,MATCH($B576,PM_ID,0)),""))</f>
        <v/>
      </c>
      <c r="F576" s="8">
        <f>IF($B576="","",IFERROR(INDEX(PM_Brand,MATCH($B576,PM_ID,0)),""))</f>
        <v/>
      </c>
      <c r="G576" s="8">
        <f>IF($B576="","",IFERROR(INDEX(PM_Model,MATCH($B576,PM_ID,0)),""))</f>
        <v/>
      </c>
      <c r="H576" s="5" t="n"/>
      <c r="I576" s="10" t="n"/>
      <c r="J576" s="9" t="n"/>
      <c r="K576" s="5" t="n"/>
      <c r="L576" s="5" t="n"/>
      <c r="M576" s="5" t="n"/>
      <c r="N576" s="5" t="n"/>
      <c r="O576" s="8">
        <f>IF($B576="","",IF(AND($A576&lt;&gt;"",COUNTIF(INV_ID,$A576)&gt;1),"⚠ this Unit ID already exists",IF(AND($H576&lt;&gt;"",COUNTIF(INV_Serial,$H576)&gt;1),"⚠ this serial already exists",IF(COUNTIFS(INV_Product,$B576,INV_No,$C576)&gt;1,"⚠ piece number reused",""))))</f>
        <v/>
      </c>
      <c r="P576" s="5" t="n"/>
    </row>
    <row r="577">
      <c r="A577" s="8">
        <f>IF(OR($B577="",$C577=""),"",IFERROR(INDEX(PM_Short,MATCH($B577,PM_ID,0))&amp;"-"&amp;TEXT($C577,"00"),"?? no such product"))</f>
        <v/>
      </c>
      <c r="B577" s="5" t="n"/>
      <c r="C577" s="5" t="n"/>
      <c r="D577" s="8">
        <f>IF($B577="","",IFERROR(INDEX(PM_Category,MATCH($B577,PM_ID,0)),""))</f>
        <v/>
      </c>
      <c r="E577" s="8">
        <f>IF($B577="","",IFERROR(INDEX(PM_Subcategory,MATCH($B577,PM_ID,0)),""))</f>
        <v/>
      </c>
      <c r="F577" s="8">
        <f>IF($B577="","",IFERROR(INDEX(PM_Brand,MATCH($B577,PM_ID,0)),""))</f>
        <v/>
      </c>
      <c r="G577" s="8">
        <f>IF($B577="","",IFERROR(INDEX(PM_Model,MATCH($B577,PM_ID,0)),""))</f>
        <v/>
      </c>
      <c r="H577" s="5" t="n"/>
      <c r="I577" s="10" t="n"/>
      <c r="J577" s="9" t="n"/>
      <c r="K577" s="5" t="n"/>
      <c r="L577" s="5" t="n"/>
      <c r="M577" s="5" t="n"/>
      <c r="N577" s="5" t="n"/>
      <c r="O577" s="8">
        <f>IF($B577="","",IF(AND($A577&lt;&gt;"",COUNTIF(INV_ID,$A577)&gt;1),"⚠ this Unit ID already exists",IF(AND($H577&lt;&gt;"",COUNTIF(INV_Serial,$H577)&gt;1),"⚠ this serial already exists",IF(COUNTIFS(INV_Product,$B577,INV_No,$C577)&gt;1,"⚠ piece number reused",""))))</f>
        <v/>
      </c>
      <c r="P577" s="5" t="n"/>
    </row>
    <row r="578">
      <c r="A578" s="8">
        <f>IF(OR($B578="",$C578=""),"",IFERROR(INDEX(PM_Short,MATCH($B578,PM_ID,0))&amp;"-"&amp;TEXT($C578,"00"),"?? no such product"))</f>
        <v/>
      </c>
      <c r="B578" s="5" t="n"/>
      <c r="C578" s="5" t="n"/>
      <c r="D578" s="8">
        <f>IF($B578="","",IFERROR(INDEX(PM_Category,MATCH($B578,PM_ID,0)),""))</f>
        <v/>
      </c>
      <c r="E578" s="8">
        <f>IF($B578="","",IFERROR(INDEX(PM_Subcategory,MATCH($B578,PM_ID,0)),""))</f>
        <v/>
      </c>
      <c r="F578" s="8">
        <f>IF($B578="","",IFERROR(INDEX(PM_Brand,MATCH($B578,PM_ID,0)),""))</f>
        <v/>
      </c>
      <c r="G578" s="8">
        <f>IF($B578="","",IFERROR(INDEX(PM_Model,MATCH($B578,PM_ID,0)),""))</f>
        <v/>
      </c>
      <c r="H578" s="5" t="n"/>
      <c r="I578" s="10" t="n"/>
      <c r="J578" s="9" t="n"/>
      <c r="K578" s="5" t="n"/>
      <c r="L578" s="5" t="n"/>
      <c r="M578" s="5" t="n"/>
      <c r="N578" s="5" t="n"/>
      <c r="O578" s="8">
        <f>IF($B578="","",IF(AND($A578&lt;&gt;"",COUNTIF(INV_ID,$A578)&gt;1),"⚠ this Unit ID already exists",IF(AND($H578&lt;&gt;"",COUNTIF(INV_Serial,$H578)&gt;1),"⚠ this serial already exists",IF(COUNTIFS(INV_Product,$B578,INV_No,$C578)&gt;1,"⚠ piece number reused",""))))</f>
        <v/>
      </c>
      <c r="P578" s="5" t="n"/>
    </row>
    <row r="579">
      <c r="A579" s="8">
        <f>IF(OR($B579="",$C579=""),"",IFERROR(INDEX(PM_Short,MATCH($B579,PM_ID,0))&amp;"-"&amp;TEXT($C579,"00"),"?? no such product"))</f>
        <v/>
      </c>
      <c r="B579" s="5" t="n"/>
      <c r="C579" s="5" t="n"/>
      <c r="D579" s="8">
        <f>IF($B579="","",IFERROR(INDEX(PM_Category,MATCH($B579,PM_ID,0)),""))</f>
        <v/>
      </c>
      <c r="E579" s="8">
        <f>IF($B579="","",IFERROR(INDEX(PM_Subcategory,MATCH($B579,PM_ID,0)),""))</f>
        <v/>
      </c>
      <c r="F579" s="8">
        <f>IF($B579="","",IFERROR(INDEX(PM_Brand,MATCH($B579,PM_ID,0)),""))</f>
        <v/>
      </c>
      <c r="G579" s="8">
        <f>IF($B579="","",IFERROR(INDEX(PM_Model,MATCH($B579,PM_ID,0)),""))</f>
        <v/>
      </c>
      <c r="H579" s="5" t="n"/>
      <c r="I579" s="10" t="n"/>
      <c r="J579" s="9" t="n"/>
      <c r="K579" s="5" t="n"/>
      <c r="L579" s="5" t="n"/>
      <c r="M579" s="5" t="n"/>
      <c r="N579" s="5" t="n"/>
      <c r="O579" s="8">
        <f>IF($B579="","",IF(AND($A579&lt;&gt;"",COUNTIF(INV_ID,$A579)&gt;1),"⚠ this Unit ID already exists",IF(AND($H579&lt;&gt;"",COUNTIF(INV_Serial,$H579)&gt;1),"⚠ this serial already exists",IF(COUNTIFS(INV_Product,$B579,INV_No,$C579)&gt;1,"⚠ piece number reused",""))))</f>
        <v/>
      </c>
      <c r="P579" s="5" t="n"/>
    </row>
    <row r="580">
      <c r="A580" s="8">
        <f>IF(OR($B580="",$C580=""),"",IFERROR(INDEX(PM_Short,MATCH($B580,PM_ID,0))&amp;"-"&amp;TEXT($C580,"00"),"?? no such product"))</f>
        <v/>
      </c>
      <c r="B580" s="5" t="n"/>
      <c r="C580" s="5" t="n"/>
      <c r="D580" s="8">
        <f>IF($B580="","",IFERROR(INDEX(PM_Category,MATCH($B580,PM_ID,0)),""))</f>
        <v/>
      </c>
      <c r="E580" s="8">
        <f>IF($B580="","",IFERROR(INDEX(PM_Subcategory,MATCH($B580,PM_ID,0)),""))</f>
        <v/>
      </c>
      <c r="F580" s="8">
        <f>IF($B580="","",IFERROR(INDEX(PM_Brand,MATCH($B580,PM_ID,0)),""))</f>
        <v/>
      </c>
      <c r="G580" s="8">
        <f>IF($B580="","",IFERROR(INDEX(PM_Model,MATCH($B580,PM_ID,0)),""))</f>
        <v/>
      </c>
      <c r="H580" s="5" t="n"/>
      <c r="I580" s="10" t="n"/>
      <c r="J580" s="9" t="n"/>
      <c r="K580" s="5" t="n"/>
      <c r="L580" s="5" t="n"/>
      <c r="M580" s="5" t="n"/>
      <c r="N580" s="5" t="n"/>
      <c r="O580" s="8">
        <f>IF($B580="","",IF(AND($A580&lt;&gt;"",COUNTIF(INV_ID,$A580)&gt;1),"⚠ this Unit ID already exists",IF(AND($H580&lt;&gt;"",COUNTIF(INV_Serial,$H580)&gt;1),"⚠ this serial already exists",IF(COUNTIFS(INV_Product,$B580,INV_No,$C580)&gt;1,"⚠ piece number reused",""))))</f>
        <v/>
      </c>
      <c r="P580" s="5" t="n"/>
    </row>
    <row r="581">
      <c r="A581" s="8">
        <f>IF(OR($B581="",$C581=""),"",IFERROR(INDEX(PM_Short,MATCH($B581,PM_ID,0))&amp;"-"&amp;TEXT($C581,"00"),"?? no such product"))</f>
        <v/>
      </c>
      <c r="B581" s="5" t="n"/>
      <c r="C581" s="5" t="n"/>
      <c r="D581" s="8">
        <f>IF($B581="","",IFERROR(INDEX(PM_Category,MATCH($B581,PM_ID,0)),""))</f>
        <v/>
      </c>
      <c r="E581" s="8">
        <f>IF($B581="","",IFERROR(INDEX(PM_Subcategory,MATCH($B581,PM_ID,0)),""))</f>
        <v/>
      </c>
      <c r="F581" s="8">
        <f>IF($B581="","",IFERROR(INDEX(PM_Brand,MATCH($B581,PM_ID,0)),""))</f>
        <v/>
      </c>
      <c r="G581" s="8">
        <f>IF($B581="","",IFERROR(INDEX(PM_Model,MATCH($B581,PM_ID,0)),""))</f>
        <v/>
      </c>
      <c r="H581" s="5" t="n"/>
      <c r="I581" s="10" t="n"/>
      <c r="J581" s="9" t="n"/>
      <c r="K581" s="5" t="n"/>
      <c r="L581" s="5" t="n"/>
      <c r="M581" s="5" t="n"/>
      <c r="N581" s="5" t="n"/>
      <c r="O581" s="8">
        <f>IF($B581="","",IF(AND($A581&lt;&gt;"",COUNTIF(INV_ID,$A581)&gt;1),"⚠ this Unit ID already exists",IF(AND($H581&lt;&gt;"",COUNTIF(INV_Serial,$H581)&gt;1),"⚠ this serial already exists",IF(COUNTIFS(INV_Product,$B581,INV_No,$C581)&gt;1,"⚠ piece number reused",""))))</f>
        <v/>
      </c>
      <c r="P581" s="5" t="n"/>
    </row>
    <row r="582">
      <c r="A582" s="8">
        <f>IF(OR($B582="",$C582=""),"",IFERROR(INDEX(PM_Short,MATCH($B582,PM_ID,0))&amp;"-"&amp;TEXT($C582,"00"),"?? no such product"))</f>
        <v/>
      </c>
      <c r="B582" s="5" t="n"/>
      <c r="C582" s="5" t="n"/>
      <c r="D582" s="8">
        <f>IF($B582="","",IFERROR(INDEX(PM_Category,MATCH($B582,PM_ID,0)),""))</f>
        <v/>
      </c>
      <c r="E582" s="8">
        <f>IF($B582="","",IFERROR(INDEX(PM_Subcategory,MATCH($B582,PM_ID,0)),""))</f>
        <v/>
      </c>
      <c r="F582" s="8">
        <f>IF($B582="","",IFERROR(INDEX(PM_Brand,MATCH($B582,PM_ID,0)),""))</f>
        <v/>
      </c>
      <c r="G582" s="8">
        <f>IF($B582="","",IFERROR(INDEX(PM_Model,MATCH($B582,PM_ID,0)),""))</f>
        <v/>
      </c>
      <c r="H582" s="5" t="n"/>
      <c r="I582" s="10" t="n"/>
      <c r="J582" s="9" t="n"/>
      <c r="K582" s="5" t="n"/>
      <c r="L582" s="5" t="n"/>
      <c r="M582" s="5" t="n"/>
      <c r="N582" s="5" t="n"/>
      <c r="O582" s="8">
        <f>IF($B582="","",IF(AND($A582&lt;&gt;"",COUNTIF(INV_ID,$A582)&gt;1),"⚠ this Unit ID already exists",IF(AND($H582&lt;&gt;"",COUNTIF(INV_Serial,$H582)&gt;1),"⚠ this serial already exists",IF(COUNTIFS(INV_Product,$B582,INV_No,$C582)&gt;1,"⚠ piece number reused",""))))</f>
        <v/>
      </c>
      <c r="P582" s="5" t="n"/>
    </row>
    <row r="583">
      <c r="A583" s="8">
        <f>IF(OR($B583="",$C583=""),"",IFERROR(INDEX(PM_Short,MATCH($B583,PM_ID,0))&amp;"-"&amp;TEXT($C583,"00"),"?? no such product"))</f>
        <v/>
      </c>
      <c r="B583" s="5" t="n"/>
      <c r="C583" s="5" t="n"/>
      <c r="D583" s="8">
        <f>IF($B583="","",IFERROR(INDEX(PM_Category,MATCH($B583,PM_ID,0)),""))</f>
        <v/>
      </c>
      <c r="E583" s="8">
        <f>IF($B583="","",IFERROR(INDEX(PM_Subcategory,MATCH($B583,PM_ID,0)),""))</f>
        <v/>
      </c>
      <c r="F583" s="8">
        <f>IF($B583="","",IFERROR(INDEX(PM_Brand,MATCH($B583,PM_ID,0)),""))</f>
        <v/>
      </c>
      <c r="G583" s="8">
        <f>IF($B583="","",IFERROR(INDEX(PM_Model,MATCH($B583,PM_ID,0)),""))</f>
        <v/>
      </c>
      <c r="H583" s="5" t="n"/>
      <c r="I583" s="10" t="n"/>
      <c r="J583" s="9" t="n"/>
      <c r="K583" s="5" t="n"/>
      <c r="L583" s="5" t="n"/>
      <c r="M583" s="5" t="n"/>
      <c r="N583" s="5" t="n"/>
      <c r="O583" s="8">
        <f>IF($B583="","",IF(AND($A583&lt;&gt;"",COUNTIF(INV_ID,$A583)&gt;1),"⚠ this Unit ID already exists",IF(AND($H583&lt;&gt;"",COUNTIF(INV_Serial,$H583)&gt;1),"⚠ this serial already exists",IF(COUNTIFS(INV_Product,$B583,INV_No,$C583)&gt;1,"⚠ piece number reused",""))))</f>
        <v/>
      </c>
      <c r="P583" s="5" t="n"/>
    </row>
    <row r="584">
      <c r="A584" s="8">
        <f>IF(OR($B584="",$C584=""),"",IFERROR(INDEX(PM_Short,MATCH($B584,PM_ID,0))&amp;"-"&amp;TEXT($C584,"00"),"?? no such product"))</f>
        <v/>
      </c>
      <c r="B584" s="5" t="n"/>
      <c r="C584" s="5" t="n"/>
      <c r="D584" s="8">
        <f>IF($B584="","",IFERROR(INDEX(PM_Category,MATCH($B584,PM_ID,0)),""))</f>
        <v/>
      </c>
      <c r="E584" s="8">
        <f>IF($B584="","",IFERROR(INDEX(PM_Subcategory,MATCH($B584,PM_ID,0)),""))</f>
        <v/>
      </c>
      <c r="F584" s="8">
        <f>IF($B584="","",IFERROR(INDEX(PM_Brand,MATCH($B584,PM_ID,0)),""))</f>
        <v/>
      </c>
      <c r="G584" s="8">
        <f>IF($B584="","",IFERROR(INDEX(PM_Model,MATCH($B584,PM_ID,0)),""))</f>
        <v/>
      </c>
      <c r="H584" s="5" t="n"/>
      <c r="I584" s="10" t="n"/>
      <c r="J584" s="9" t="n"/>
      <c r="K584" s="5" t="n"/>
      <c r="L584" s="5" t="n"/>
      <c r="M584" s="5" t="n"/>
      <c r="N584" s="5" t="n"/>
      <c r="O584" s="8">
        <f>IF($B584="","",IF(AND($A584&lt;&gt;"",COUNTIF(INV_ID,$A584)&gt;1),"⚠ this Unit ID already exists",IF(AND($H584&lt;&gt;"",COUNTIF(INV_Serial,$H584)&gt;1),"⚠ this serial already exists",IF(COUNTIFS(INV_Product,$B584,INV_No,$C584)&gt;1,"⚠ piece number reused",""))))</f>
        <v/>
      </c>
      <c r="P584" s="5" t="n"/>
    </row>
    <row r="585">
      <c r="A585" s="8">
        <f>IF(OR($B585="",$C585=""),"",IFERROR(INDEX(PM_Short,MATCH($B585,PM_ID,0))&amp;"-"&amp;TEXT($C585,"00"),"?? no such product"))</f>
        <v/>
      </c>
      <c r="B585" s="5" t="n"/>
      <c r="C585" s="5" t="n"/>
      <c r="D585" s="8">
        <f>IF($B585="","",IFERROR(INDEX(PM_Category,MATCH($B585,PM_ID,0)),""))</f>
        <v/>
      </c>
      <c r="E585" s="8">
        <f>IF($B585="","",IFERROR(INDEX(PM_Subcategory,MATCH($B585,PM_ID,0)),""))</f>
        <v/>
      </c>
      <c r="F585" s="8">
        <f>IF($B585="","",IFERROR(INDEX(PM_Brand,MATCH($B585,PM_ID,0)),""))</f>
        <v/>
      </c>
      <c r="G585" s="8">
        <f>IF($B585="","",IFERROR(INDEX(PM_Model,MATCH($B585,PM_ID,0)),""))</f>
        <v/>
      </c>
      <c r="H585" s="5" t="n"/>
      <c r="I585" s="10" t="n"/>
      <c r="J585" s="9" t="n"/>
      <c r="K585" s="5" t="n"/>
      <c r="L585" s="5" t="n"/>
      <c r="M585" s="5" t="n"/>
      <c r="N585" s="5" t="n"/>
      <c r="O585" s="8">
        <f>IF($B585="","",IF(AND($A585&lt;&gt;"",COUNTIF(INV_ID,$A585)&gt;1),"⚠ this Unit ID already exists",IF(AND($H585&lt;&gt;"",COUNTIF(INV_Serial,$H585)&gt;1),"⚠ this serial already exists",IF(COUNTIFS(INV_Product,$B585,INV_No,$C585)&gt;1,"⚠ piece number reused",""))))</f>
        <v/>
      </c>
      <c r="P585" s="5" t="n"/>
    </row>
    <row r="586">
      <c r="A586" s="8">
        <f>IF(OR($B586="",$C586=""),"",IFERROR(INDEX(PM_Short,MATCH($B586,PM_ID,0))&amp;"-"&amp;TEXT($C586,"00"),"?? no such product"))</f>
        <v/>
      </c>
      <c r="B586" s="5" t="n"/>
      <c r="C586" s="5" t="n"/>
      <c r="D586" s="8">
        <f>IF($B586="","",IFERROR(INDEX(PM_Category,MATCH($B586,PM_ID,0)),""))</f>
        <v/>
      </c>
      <c r="E586" s="8">
        <f>IF($B586="","",IFERROR(INDEX(PM_Subcategory,MATCH($B586,PM_ID,0)),""))</f>
        <v/>
      </c>
      <c r="F586" s="8">
        <f>IF($B586="","",IFERROR(INDEX(PM_Brand,MATCH($B586,PM_ID,0)),""))</f>
        <v/>
      </c>
      <c r="G586" s="8">
        <f>IF($B586="","",IFERROR(INDEX(PM_Model,MATCH($B586,PM_ID,0)),""))</f>
        <v/>
      </c>
      <c r="H586" s="5" t="n"/>
      <c r="I586" s="10" t="n"/>
      <c r="J586" s="9" t="n"/>
      <c r="K586" s="5" t="n"/>
      <c r="L586" s="5" t="n"/>
      <c r="M586" s="5" t="n"/>
      <c r="N586" s="5" t="n"/>
      <c r="O586" s="8">
        <f>IF($B586="","",IF(AND($A586&lt;&gt;"",COUNTIF(INV_ID,$A586)&gt;1),"⚠ this Unit ID already exists",IF(AND($H586&lt;&gt;"",COUNTIF(INV_Serial,$H586)&gt;1),"⚠ this serial already exists",IF(COUNTIFS(INV_Product,$B586,INV_No,$C586)&gt;1,"⚠ piece number reused",""))))</f>
        <v/>
      </c>
      <c r="P586" s="5" t="n"/>
    </row>
    <row r="587">
      <c r="A587" s="8">
        <f>IF(OR($B587="",$C587=""),"",IFERROR(INDEX(PM_Short,MATCH($B587,PM_ID,0))&amp;"-"&amp;TEXT($C587,"00"),"?? no such product"))</f>
        <v/>
      </c>
      <c r="B587" s="5" t="n"/>
      <c r="C587" s="5" t="n"/>
      <c r="D587" s="8">
        <f>IF($B587="","",IFERROR(INDEX(PM_Category,MATCH($B587,PM_ID,0)),""))</f>
        <v/>
      </c>
      <c r="E587" s="8">
        <f>IF($B587="","",IFERROR(INDEX(PM_Subcategory,MATCH($B587,PM_ID,0)),""))</f>
        <v/>
      </c>
      <c r="F587" s="8">
        <f>IF($B587="","",IFERROR(INDEX(PM_Brand,MATCH($B587,PM_ID,0)),""))</f>
        <v/>
      </c>
      <c r="G587" s="8">
        <f>IF($B587="","",IFERROR(INDEX(PM_Model,MATCH($B587,PM_ID,0)),""))</f>
        <v/>
      </c>
      <c r="H587" s="5" t="n"/>
      <c r="I587" s="10" t="n"/>
      <c r="J587" s="9" t="n"/>
      <c r="K587" s="5" t="n"/>
      <c r="L587" s="5" t="n"/>
      <c r="M587" s="5" t="n"/>
      <c r="N587" s="5" t="n"/>
      <c r="O587" s="8">
        <f>IF($B587="","",IF(AND($A587&lt;&gt;"",COUNTIF(INV_ID,$A587)&gt;1),"⚠ this Unit ID already exists",IF(AND($H587&lt;&gt;"",COUNTIF(INV_Serial,$H587)&gt;1),"⚠ this serial already exists",IF(COUNTIFS(INV_Product,$B587,INV_No,$C587)&gt;1,"⚠ piece number reused",""))))</f>
        <v/>
      </c>
      <c r="P587" s="5" t="n"/>
    </row>
    <row r="588">
      <c r="A588" s="8">
        <f>IF(OR($B588="",$C588=""),"",IFERROR(INDEX(PM_Short,MATCH($B588,PM_ID,0))&amp;"-"&amp;TEXT($C588,"00"),"?? no such product"))</f>
        <v/>
      </c>
      <c r="B588" s="5" t="n"/>
      <c r="C588" s="5" t="n"/>
      <c r="D588" s="8">
        <f>IF($B588="","",IFERROR(INDEX(PM_Category,MATCH($B588,PM_ID,0)),""))</f>
        <v/>
      </c>
      <c r="E588" s="8">
        <f>IF($B588="","",IFERROR(INDEX(PM_Subcategory,MATCH($B588,PM_ID,0)),""))</f>
        <v/>
      </c>
      <c r="F588" s="8">
        <f>IF($B588="","",IFERROR(INDEX(PM_Brand,MATCH($B588,PM_ID,0)),""))</f>
        <v/>
      </c>
      <c r="G588" s="8">
        <f>IF($B588="","",IFERROR(INDEX(PM_Model,MATCH($B588,PM_ID,0)),""))</f>
        <v/>
      </c>
      <c r="H588" s="5" t="n"/>
      <c r="I588" s="10" t="n"/>
      <c r="J588" s="9" t="n"/>
      <c r="K588" s="5" t="n"/>
      <c r="L588" s="5" t="n"/>
      <c r="M588" s="5" t="n"/>
      <c r="N588" s="5" t="n"/>
      <c r="O588" s="8">
        <f>IF($B588="","",IF(AND($A588&lt;&gt;"",COUNTIF(INV_ID,$A588)&gt;1),"⚠ this Unit ID already exists",IF(AND($H588&lt;&gt;"",COUNTIF(INV_Serial,$H588)&gt;1),"⚠ this serial already exists",IF(COUNTIFS(INV_Product,$B588,INV_No,$C588)&gt;1,"⚠ piece number reused",""))))</f>
        <v/>
      </c>
      <c r="P588" s="5" t="n"/>
    </row>
    <row r="589">
      <c r="A589" s="8">
        <f>IF(OR($B589="",$C589=""),"",IFERROR(INDEX(PM_Short,MATCH($B589,PM_ID,0))&amp;"-"&amp;TEXT($C589,"00"),"?? no such product"))</f>
        <v/>
      </c>
      <c r="B589" s="5" t="n"/>
      <c r="C589" s="5" t="n"/>
      <c r="D589" s="8">
        <f>IF($B589="","",IFERROR(INDEX(PM_Category,MATCH($B589,PM_ID,0)),""))</f>
        <v/>
      </c>
      <c r="E589" s="8">
        <f>IF($B589="","",IFERROR(INDEX(PM_Subcategory,MATCH($B589,PM_ID,0)),""))</f>
        <v/>
      </c>
      <c r="F589" s="8">
        <f>IF($B589="","",IFERROR(INDEX(PM_Brand,MATCH($B589,PM_ID,0)),""))</f>
        <v/>
      </c>
      <c r="G589" s="8">
        <f>IF($B589="","",IFERROR(INDEX(PM_Model,MATCH($B589,PM_ID,0)),""))</f>
        <v/>
      </c>
      <c r="H589" s="5" t="n"/>
      <c r="I589" s="10" t="n"/>
      <c r="J589" s="9" t="n"/>
      <c r="K589" s="5" t="n"/>
      <c r="L589" s="5" t="n"/>
      <c r="M589" s="5" t="n"/>
      <c r="N589" s="5" t="n"/>
      <c r="O589" s="8">
        <f>IF($B589="","",IF(AND($A589&lt;&gt;"",COUNTIF(INV_ID,$A589)&gt;1),"⚠ this Unit ID already exists",IF(AND($H589&lt;&gt;"",COUNTIF(INV_Serial,$H589)&gt;1),"⚠ this serial already exists",IF(COUNTIFS(INV_Product,$B589,INV_No,$C589)&gt;1,"⚠ piece number reused",""))))</f>
        <v/>
      </c>
      <c r="P589" s="5" t="n"/>
    </row>
    <row r="590">
      <c r="A590" s="8">
        <f>IF(OR($B590="",$C590=""),"",IFERROR(INDEX(PM_Short,MATCH($B590,PM_ID,0))&amp;"-"&amp;TEXT($C590,"00"),"?? no such product"))</f>
        <v/>
      </c>
      <c r="B590" s="5" t="n"/>
      <c r="C590" s="5" t="n"/>
      <c r="D590" s="8">
        <f>IF($B590="","",IFERROR(INDEX(PM_Category,MATCH($B590,PM_ID,0)),""))</f>
        <v/>
      </c>
      <c r="E590" s="8">
        <f>IF($B590="","",IFERROR(INDEX(PM_Subcategory,MATCH($B590,PM_ID,0)),""))</f>
        <v/>
      </c>
      <c r="F590" s="8">
        <f>IF($B590="","",IFERROR(INDEX(PM_Brand,MATCH($B590,PM_ID,0)),""))</f>
        <v/>
      </c>
      <c r="G590" s="8">
        <f>IF($B590="","",IFERROR(INDEX(PM_Model,MATCH($B590,PM_ID,0)),""))</f>
        <v/>
      </c>
      <c r="H590" s="5" t="n"/>
      <c r="I590" s="10" t="n"/>
      <c r="J590" s="9" t="n"/>
      <c r="K590" s="5" t="n"/>
      <c r="L590" s="5" t="n"/>
      <c r="M590" s="5" t="n"/>
      <c r="N590" s="5" t="n"/>
      <c r="O590" s="8">
        <f>IF($B590="","",IF(AND($A590&lt;&gt;"",COUNTIF(INV_ID,$A590)&gt;1),"⚠ this Unit ID already exists",IF(AND($H590&lt;&gt;"",COUNTIF(INV_Serial,$H590)&gt;1),"⚠ this serial already exists",IF(COUNTIFS(INV_Product,$B590,INV_No,$C590)&gt;1,"⚠ piece number reused",""))))</f>
        <v/>
      </c>
      <c r="P590" s="5" t="n"/>
    </row>
    <row r="591">
      <c r="A591" s="8">
        <f>IF(OR($B591="",$C591=""),"",IFERROR(INDEX(PM_Short,MATCH($B591,PM_ID,0))&amp;"-"&amp;TEXT($C591,"00"),"?? no such product"))</f>
        <v/>
      </c>
      <c r="B591" s="5" t="n"/>
      <c r="C591" s="5" t="n"/>
      <c r="D591" s="8">
        <f>IF($B591="","",IFERROR(INDEX(PM_Category,MATCH($B591,PM_ID,0)),""))</f>
        <v/>
      </c>
      <c r="E591" s="8">
        <f>IF($B591="","",IFERROR(INDEX(PM_Subcategory,MATCH($B591,PM_ID,0)),""))</f>
        <v/>
      </c>
      <c r="F591" s="8">
        <f>IF($B591="","",IFERROR(INDEX(PM_Brand,MATCH($B591,PM_ID,0)),""))</f>
        <v/>
      </c>
      <c r="G591" s="8">
        <f>IF($B591="","",IFERROR(INDEX(PM_Model,MATCH($B591,PM_ID,0)),""))</f>
        <v/>
      </c>
      <c r="H591" s="5" t="n"/>
      <c r="I591" s="10" t="n"/>
      <c r="J591" s="9" t="n"/>
      <c r="K591" s="5" t="n"/>
      <c r="L591" s="5" t="n"/>
      <c r="M591" s="5" t="n"/>
      <c r="N591" s="5" t="n"/>
      <c r="O591" s="8">
        <f>IF($B591="","",IF(AND($A591&lt;&gt;"",COUNTIF(INV_ID,$A591)&gt;1),"⚠ this Unit ID already exists",IF(AND($H591&lt;&gt;"",COUNTIF(INV_Serial,$H591)&gt;1),"⚠ this serial already exists",IF(COUNTIFS(INV_Product,$B591,INV_No,$C591)&gt;1,"⚠ piece number reused",""))))</f>
        <v/>
      </c>
      <c r="P591" s="5" t="n"/>
    </row>
    <row r="592">
      <c r="A592" s="8">
        <f>IF(OR($B592="",$C592=""),"",IFERROR(INDEX(PM_Short,MATCH($B592,PM_ID,0))&amp;"-"&amp;TEXT($C592,"00"),"?? no such product"))</f>
        <v/>
      </c>
      <c r="B592" s="5" t="n"/>
      <c r="C592" s="5" t="n"/>
      <c r="D592" s="8">
        <f>IF($B592="","",IFERROR(INDEX(PM_Category,MATCH($B592,PM_ID,0)),""))</f>
        <v/>
      </c>
      <c r="E592" s="8">
        <f>IF($B592="","",IFERROR(INDEX(PM_Subcategory,MATCH($B592,PM_ID,0)),""))</f>
        <v/>
      </c>
      <c r="F592" s="8">
        <f>IF($B592="","",IFERROR(INDEX(PM_Brand,MATCH($B592,PM_ID,0)),""))</f>
        <v/>
      </c>
      <c r="G592" s="8">
        <f>IF($B592="","",IFERROR(INDEX(PM_Model,MATCH($B592,PM_ID,0)),""))</f>
        <v/>
      </c>
      <c r="H592" s="5" t="n"/>
      <c r="I592" s="10" t="n"/>
      <c r="J592" s="9" t="n"/>
      <c r="K592" s="5" t="n"/>
      <c r="L592" s="5" t="n"/>
      <c r="M592" s="5" t="n"/>
      <c r="N592" s="5" t="n"/>
      <c r="O592" s="8">
        <f>IF($B592="","",IF(AND($A592&lt;&gt;"",COUNTIF(INV_ID,$A592)&gt;1),"⚠ this Unit ID already exists",IF(AND($H592&lt;&gt;"",COUNTIF(INV_Serial,$H592)&gt;1),"⚠ this serial already exists",IF(COUNTIFS(INV_Product,$B592,INV_No,$C592)&gt;1,"⚠ piece number reused",""))))</f>
        <v/>
      </c>
      <c r="P592" s="5" t="n"/>
    </row>
    <row r="593">
      <c r="A593" s="8">
        <f>IF(OR($B593="",$C593=""),"",IFERROR(INDEX(PM_Short,MATCH($B593,PM_ID,0))&amp;"-"&amp;TEXT($C593,"00"),"?? no such product"))</f>
        <v/>
      </c>
      <c r="B593" s="5" t="n"/>
      <c r="C593" s="5" t="n"/>
      <c r="D593" s="8">
        <f>IF($B593="","",IFERROR(INDEX(PM_Category,MATCH($B593,PM_ID,0)),""))</f>
        <v/>
      </c>
      <c r="E593" s="8">
        <f>IF($B593="","",IFERROR(INDEX(PM_Subcategory,MATCH($B593,PM_ID,0)),""))</f>
        <v/>
      </c>
      <c r="F593" s="8">
        <f>IF($B593="","",IFERROR(INDEX(PM_Brand,MATCH($B593,PM_ID,0)),""))</f>
        <v/>
      </c>
      <c r="G593" s="8">
        <f>IF($B593="","",IFERROR(INDEX(PM_Model,MATCH($B593,PM_ID,0)),""))</f>
        <v/>
      </c>
      <c r="H593" s="5" t="n"/>
      <c r="I593" s="10" t="n"/>
      <c r="J593" s="9" t="n"/>
      <c r="K593" s="5" t="n"/>
      <c r="L593" s="5" t="n"/>
      <c r="M593" s="5" t="n"/>
      <c r="N593" s="5" t="n"/>
      <c r="O593" s="8">
        <f>IF($B593="","",IF(AND($A593&lt;&gt;"",COUNTIF(INV_ID,$A593)&gt;1),"⚠ this Unit ID already exists",IF(AND($H593&lt;&gt;"",COUNTIF(INV_Serial,$H593)&gt;1),"⚠ this serial already exists",IF(COUNTIFS(INV_Product,$B593,INV_No,$C593)&gt;1,"⚠ piece number reused",""))))</f>
        <v/>
      </c>
      <c r="P593" s="5" t="n"/>
    </row>
    <row r="594">
      <c r="A594" s="8">
        <f>IF(OR($B594="",$C594=""),"",IFERROR(INDEX(PM_Short,MATCH($B594,PM_ID,0))&amp;"-"&amp;TEXT($C594,"00"),"?? no such product"))</f>
        <v/>
      </c>
      <c r="B594" s="5" t="n"/>
      <c r="C594" s="5" t="n"/>
      <c r="D594" s="8">
        <f>IF($B594="","",IFERROR(INDEX(PM_Category,MATCH($B594,PM_ID,0)),""))</f>
        <v/>
      </c>
      <c r="E594" s="8">
        <f>IF($B594="","",IFERROR(INDEX(PM_Subcategory,MATCH($B594,PM_ID,0)),""))</f>
        <v/>
      </c>
      <c r="F594" s="8">
        <f>IF($B594="","",IFERROR(INDEX(PM_Brand,MATCH($B594,PM_ID,0)),""))</f>
        <v/>
      </c>
      <c r="G594" s="8">
        <f>IF($B594="","",IFERROR(INDEX(PM_Model,MATCH($B594,PM_ID,0)),""))</f>
        <v/>
      </c>
      <c r="H594" s="5" t="n"/>
      <c r="I594" s="10" t="n"/>
      <c r="J594" s="9" t="n"/>
      <c r="K594" s="5" t="n"/>
      <c r="L594" s="5" t="n"/>
      <c r="M594" s="5" t="n"/>
      <c r="N594" s="5" t="n"/>
      <c r="O594" s="8">
        <f>IF($B594="","",IF(AND($A594&lt;&gt;"",COUNTIF(INV_ID,$A594)&gt;1),"⚠ this Unit ID already exists",IF(AND($H594&lt;&gt;"",COUNTIF(INV_Serial,$H594)&gt;1),"⚠ this serial already exists",IF(COUNTIFS(INV_Product,$B594,INV_No,$C594)&gt;1,"⚠ piece number reused",""))))</f>
        <v/>
      </c>
      <c r="P594" s="5" t="n"/>
    </row>
    <row r="595">
      <c r="A595" s="8">
        <f>IF(OR($B595="",$C595=""),"",IFERROR(INDEX(PM_Short,MATCH($B595,PM_ID,0))&amp;"-"&amp;TEXT($C595,"00"),"?? no such product"))</f>
        <v/>
      </c>
      <c r="B595" s="5" t="n"/>
      <c r="C595" s="5" t="n"/>
      <c r="D595" s="8">
        <f>IF($B595="","",IFERROR(INDEX(PM_Category,MATCH($B595,PM_ID,0)),""))</f>
        <v/>
      </c>
      <c r="E595" s="8">
        <f>IF($B595="","",IFERROR(INDEX(PM_Subcategory,MATCH($B595,PM_ID,0)),""))</f>
        <v/>
      </c>
      <c r="F595" s="8">
        <f>IF($B595="","",IFERROR(INDEX(PM_Brand,MATCH($B595,PM_ID,0)),""))</f>
        <v/>
      </c>
      <c r="G595" s="8">
        <f>IF($B595="","",IFERROR(INDEX(PM_Model,MATCH($B595,PM_ID,0)),""))</f>
        <v/>
      </c>
      <c r="H595" s="5" t="n"/>
      <c r="I595" s="10" t="n"/>
      <c r="J595" s="9" t="n"/>
      <c r="K595" s="5" t="n"/>
      <c r="L595" s="5" t="n"/>
      <c r="M595" s="5" t="n"/>
      <c r="N595" s="5" t="n"/>
      <c r="O595" s="8">
        <f>IF($B595="","",IF(AND($A595&lt;&gt;"",COUNTIF(INV_ID,$A595)&gt;1),"⚠ this Unit ID already exists",IF(AND($H595&lt;&gt;"",COUNTIF(INV_Serial,$H595)&gt;1),"⚠ this serial already exists",IF(COUNTIFS(INV_Product,$B595,INV_No,$C595)&gt;1,"⚠ piece number reused",""))))</f>
        <v/>
      </c>
      <c r="P595" s="5" t="n"/>
    </row>
    <row r="596">
      <c r="A596" s="8">
        <f>IF(OR($B596="",$C596=""),"",IFERROR(INDEX(PM_Short,MATCH($B596,PM_ID,0))&amp;"-"&amp;TEXT($C596,"00"),"?? no such product"))</f>
        <v/>
      </c>
      <c r="B596" s="5" t="n"/>
      <c r="C596" s="5" t="n"/>
      <c r="D596" s="8">
        <f>IF($B596="","",IFERROR(INDEX(PM_Category,MATCH($B596,PM_ID,0)),""))</f>
        <v/>
      </c>
      <c r="E596" s="8">
        <f>IF($B596="","",IFERROR(INDEX(PM_Subcategory,MATCH($B596,PM_ID,0)),""))</f>
        <v/>
      </c>
      <c r="F596" s="8">
        <f>IF($B596="","",IFERROR(INDEX(PM_Brand,MATCH($B596,PM_ID,0)),""))</f>
        <v/>
      </c>
      <c r="G596" s="8">
        <f>IF($B596="","",IFERROR(INDEX(PM_Model,MATCH($B596,PM_ID,0)),""))</f>
        <v/>
      </c>
      <c r="H596" s="5" t="n"/>
      <c r="I596" s="10" t="n"/>
      <c r="J596" s="9" t="n"/>
      <c r="K596" s="5" t="n"/>
      <c r="L596" s="5" t="n"/>
      <c r="M596" s="5" t="n"/>
      <c r="N596" s="5" t="n"/>
      <c r="O596" s="8">
        <f>IF($B596="","",IF(AND($A596&lt;&gt;"",COUNTIF(INV_ID,$A596)&gt;1),"⚠ this Unit ID already exists",IF(AND($H596&lt;&gt;"",COUNTIF(INV_Serial,$H596)&gt;1),"⚠ this serial already exists",IF(COUNTIFS(INV_Product,$B596,INV_No,$C596)&gt;1,"⚠ piece number reused",""))))</f>
        <v/>
      </c>
      <c r="P596" s="5" t="n"/>
    </row>
    <row r="597">
      <c r="A597" s="8">
        <f>IF(OR($B597="",$C597=""),"",IFERROR(INDEX(PM_Short,MATCH($B597,PM_ID,0))&amp;"-"&amp;TEXT($C597,"00"),"?? no such product"))</f>
        <v/>
      </c>
      <c r="B597" s="5" t="n"/>
      <c r="C597" s="5" t="n"/>
      <c r="D597" s="8">
        <f>IF($B597="","",IFERROR(INDEX(PM_Category,MATCH($B597,PM_ID,0)),""))</f>
        <v/>
      </c>
      <c r="E597" s="8">
        <f>IF($B597="","",IFERROR(INDEX(PM_Subcategory,MATCH($B597,PM_ID,0)),""))</f>
        <v/>
      </c>
      <c r="F597" s="8">
        <f>IF($B597="","",IFERROR(INDEX(PM_Brand,MATCH($B597,PM_ID,0)),""))</f>
        <v/>
      </c>
      <c r="G597" s="8">
        <f>IF($B597="","",IFERROR(INDEX(PM_Model,MATCH($B597,PM_ID,0)),""))</f>
        <v/>
      </c>
      <c r="H597" s="5" t="n"/>
      <c r="I597" s="10" t="n"/>
      <c r="J597" s="9" t="n"/>
      <c r="K597" s="5" t="n"/>
      <c r="L597" s="5" t="n"/>
      <c r="M597" s="5" t="n"/>
      <c r="N597" s="5" t="n"/>
      <c r="O597" s="8">
        <f>IF($B597="","",IF(AND($A597&lt;&gt;"",COUNTIF(INV_ID,$A597)&gt;1),"⚠ this Unit ID already exists",IF(AND($H597&lt;&gt;"",COUNTIF(INV_Serial,$H597)&gt;1),"⚠ this serial already exists",IF(COUNTIFS(INV_Product,$B597,INV_No,$C597)&gt;1,"⚠ piece number reused",""))))</f>
        <v/>
      </c>
      <c r="P597" s="5" t="n"/>
    </row>
    <row r="598">
      <c r="A598" s="8">
        <f>IF(OR($B598="",$C598=""),"",IFERROR(INDEX(PM_Short,MATCH($B598,PM_ID,0))&amp;"-"&amp;TEXT($C598,"00"),"?? no such product"))</f>
        <v/>
      </c>
      <c r="B598" s="5" t="n"/>
      <c r="C598" s="5" t="n"/>
      <c r="D598" s="8">
        <f>IF($B598="","",IFERROR(INDEX(PM_Category,MATCH($B598,PM_ID,0)),""))</f>
        <v/>
      </c>
      <c r="E598" s="8">
        <f>IF($B598="","",IFERROR(INDEX(PM_Subcategory,MATCH($B598,PM_ID,0)),""))</f>
        <v/>
      </c>
      <c r="F598" s="8">
        <f>IF($B598="","",IFERROR(INDEX(PM_Brand,MATCH($B598,PM_ID,0)),""))</f>
        <v/>
      </c>
      <c r="G598" s="8">
        <f>IF($B598="","",IFERROR(INDEX(PM_Model,MATCH($B598,PM_ID,0)),""))</f>
        <v/>
      </c>
      <c r="H598" s="5" t="n"/>
      <c r="I598" s="10" t="n"/>
      <c r="J598" s="9" t="n"/>
      <c r="K598" s="5" t="n"/>
      <c r="L598" s="5" t="n"/>
      <c r="M598" s="5" t="n"/>
      <c r="N598" s="5" t="n"/>
      <c r="O598" s="8">
        <f>IF($B598="","",IF(AND($A598&lt;&gt;"",COUNTIF(INV_ID,$A598)&gt;1),"⚠ this Unit ID already exists",IF(AND($H598&lt;&gt;"",COUNTIF(INV_Serial,$H598)&gt;1),"⚠ this serial already exists",IF(COUNTIFS(INV_Product,$B598,INV_No,$C598)&gt;1,"⚠ piece number reused",""))))</f>
        <v/>
      </c>
      <c r="P598" s="5" t="n"/>
    </row>
    <row r="599">
      <c r="A599" s="8">
        <f>IF(OR($B599="",$C599=""),"",IFERROR(INDEX(PM_Short,MATCH($B599,PM_ID,0))&amp;"-"&amp;TEXT($C599,"00"),"?? no such product"))</f>
        <v/>
      </c>
      <c r="B599" s="5" t="n"/>
      <c r="C599" s="5" t="n"/>
      <c r="D599" s="8">
        <f>IF($B599="","",IFERROR(INDEX(PM_Category,MATCH($B599,PM_ID,0)),""))</f>
        <v/>
      </c>
      <c r="E599" s="8">
        <f>IF($B599="","",IFERROR(INDEX(PM_Subcategory,MATCH($B599,PM_ID,0)),""))</f>
        <v/>
      </c>
      <c r="F599" s="8">
        <f>IF($B599="","",IFERROR(INDEX(PM_Brand,MATCH($B599,PM_ID,0)),""))</f>
        <v/>
      </c>
      <c r="G599" s="8">
        <f>IF($B599="","",IFERROR(INDEX(PM_Model,MATCH($B599,PM_ID,0)),""))</f>
        <v/>
      </c>
      <c r="H599" s="5" t="n"/>
      <c r="I599" s="10" t="n"/>
      <c r="J599" s="9" t="n"/>
      <c r="K599" s="5" t="n"/>
      <c r="L599" s="5" t="n"/>
      <c r="M599" s="5" t="n"/>
      <c r="N599" s="5" t="n"/>
      <c r="O599" s="8">
        <f>IF($B599="","",IF(AND($A599&lt;&gt;"",COUNTIF(INV_ID,$A599)&gt;1),"⚠ this Unit ID already exists",IF(AND($H599&lt;&gt;"",COUNTIF(INV_Serial,$H599)&gt;1),"⚠ this serial already exists",IF(COUNTIFS(INV_Product,$B599,INV_No,$C599)&gt;1,"⚠ piece number reused",""))))</f>
        <v/>
      </c>
      <c r="P599" s="5" t="n"/>
    </row>
    <row r="600">
      <c r="A600" s="8">
        <f>IF(OR($B600="",$C600=""),"",IFERROR(INDEX(PM_Short,MATCH($B600,PM_ID,0))&amp;"-"&amp;TEXT($C600,"00"),"?? no such product"))</f>
        <v/>
      </c>
      <c r="B600" s="5" t="n"/>
      <c r="C600" s="5" t="n"/>
      <c r="D600" s="8">
        <f>IF($B600="","",IFERROR(INDEX(PM_Category,MATCH($B600,PM_ID,0)),""))</f>
        <v/>
      </c>
      <c r="E600" s="8">
        <f>IF($B600="","",IFERROR(INDEX(PM_Subcategory,MATCH($B600,PM_ID,0)),""))</f>
        <v/>
      </c>
      <c r="F600" s="8">
        <f>IF($B600="","",IFERROR(INDEX(PM_Brand,MATCH($B600,PM_ID,0)),""))</f>
        <v/>
      </c>
      <c r="G600" s="8">
        <f>IF($B600="","",IFERROR(INDEX(PM_Model,MATCH($B600,PM_ID,0)),""))</f>
        <v/>
      </c>
      <c r="H600" s="5" t="n"/>
      <c r="I600" s="10" t="n"/>
      <c r="J600" s="9" t="n"/>
      <c r="K600" s="5" t="n"/>
      <c r="L600" s="5" t="n"/>
      <c r="M600" s="5" t="n"/>
      <c r="N600" s="5" t="n"/>
      <c r="O600" s="8">
        <f>IF($B600="","",IF(AND($A600&lt;&gt;"",COUNTIF(INV_ID,$A600)&gt;1),"⚠ this Unit ID already exists",IF(AND($H600&lt;&gt;"",COUNTIF(INV_Serial,$H600)&gt;1),"⚠ this serial already exists",IF(COUNTIFS(INV_Product,$B600,INV_No,$C600)&gt;1,"⚠ piece number reused",""))))</f>
        <v/>
      </c>
      <c r="P600" s="5" t="n"/>
    </row>
    <row r="601">
      <c r="A601" s="8">
        <f>IF(OR($B601="",$C601=""),"",IFERROR(INDEX(PM_Short,MATCH($B601,PM_ID,0))&amp;"-"&amp;TEXT($C601,"00"),"?? no such product"))</f>
        <v/>
      </c>
      <c r="B601" s="5" t="n"/>
      <c r="C601" s="5" t="n"/>
      <c r="D601" s="8">
        <f>IF($B601="","",IFERROR(INDEX(PM_Category,MATCH($B601,PM_ID,0)),""))</f>
        <v/>
      </c>
      <c r="E601" s="8">
        <f>IF($B601="","",IFERROR(INDEX(PM_Subcategory,MATCH($B601,PM_ID,0)),""))</f>
        <v/>
      </c>
      <c r="F601" s="8">
        <f>IF($B601="","",IFERROR(INDEX(PM_Brand,MATCH($B601,PM_ID,0)),""))</f>
        <v/>
      </c>
      <c r="G601" s="8">
        <f>IF($B601="","",IFERROR(INDEX(PM_Model,MATCH($B601,PM_ID,0)),""))</f>
        <v/>
      </c>
      <c r="H601" s="5" t="n"/>
      <c r="I601" s="10" t="n"/>
      <c r="J601" s="9" t="n"/>
      <c r="K601" s="5" t="n"/>
      <c r="L601" s="5" t="n"/>
      <c r="M601" s="5" t="n"/>
      <c r="N601" s="5" t="n"/>
      <c r="O601" s="8">
        <f>IF($B601="","",IF(AND($A601&lt;&gt;"",COUNTIF(INV_ID,$A601)&gt;1),"⚠ this Unit ID already exists",IF(AND($H601&lt;&gt;"",COUNTIF(INV_Serial,$H601)&gt;1),"⚠ this serial already exists",IF(COUNTIFS(INV_Product,$B601,INV_No,$C601)&gt;1,"⚠ piece number reused",""))))</f>
        <v/>
      </c>
      <c r="P601" s="5" t="n"/>
    </row>
    <row r="602">
      <c r="A602" s="8">
        <f>IF(OR($B602="",$C602=""),"",IFERROR(INDEX(PM_Short,MATCH($B602,PM_ID,0))&amp;"-"&amp;TEXT($C602,"00"),"?? no such product"))</f>
        <v/>
      </c>
      <c r="B602" s="5" t="n"/>
      <c r="C602" s="5" t="n"/>
      <c r="D602" s="8">
        <f>IF($B602="","",IFERROR(INDEX(PM_Category,MATCH($B602,PM_ID,0)),""))</f>
        <v/>
      </c>
      <c r="E602" s="8">
        <f>IF($B602="","",IFERROR(INDEX(PM_Subcategory,MATCH($B602,PM_ID,0)),""))</f>
        <v/>
      </c>
      <c r="F602" s="8">
        <f>IF($B602="","",IFERROR(INDEX(PM_Brand,MATCH($B602,PM_ID,0)),""))</f>
        <v/>
      </c>
      <c r="G602" s="8">
        <f>IF($B602="","",IFERROR(INDEX(PM_Model,MATCH($B602,PM_ID,0)),""))</f>
        <v/>
      </c>
      <c r="H602" s="5" t="n"/>
      <c r="I602" s="10" t="n"/>
      <c r="J602" s="9" t="n"/>
      <c r="K602" s="5" t="n"/>
      <c r="L602" s="5" t="n"/>
      <c r="M602" s="5" t="n"/>
      <c r="N602" s="5" t="n"/>
      <c r="O602" s="8">
        <f>IF($B602="","",IF(AND($A602&lt;&gt;"",COUNTIF(INV_ID,$A602)&gt;1),"⚠ this Unit ID already exists",IF(AND($H602&lt;&gt;"",COUNTIF(INV_Serial,$H602)&gt;1),"⚠ this serial already exists",IF(COUNTIFS(INV_Product,$B602,INV_No,$C602)&gt;1,"⚠ piece number reused",""))))</f>
        <v/>
      </c>
      <c r="P602" s="5" t="n"/>
    </row>
    <row r="603">
      <c r="A603" s="8">
        <f>IF(OR($B603="",$C603=""),"",IFERROR(INDEX(PM_Short,MATCH($B603,PM_ID,0))&amp;"-"&amp;TEXT($C603,"00"),"?? no such product"))</f>
        <v/>
      </c>
      <c r="B603" s="5" t="n"/>
      <c r="C603" s="5" t="n"/>
      <c r="D603" s="8">
        <f>IF($B603="","",IFERROR(INDEX(PM_Category,MATCH($B603,PM_ID,0)),""))</f>
        <v/>
      </c>
      <c r="E603" s="8">
        <f>IF($B603="","",IFERROR(INDEX(PM_Subcategory,MATCH($B603,PM_ID,0)),""))</f>
        <v/>
      </c>
      <c r="F603" s="8">
        <f>IF($B603="","",IFERROR(INDEX(PM_Brand,MATCH($B603,PM_ID,0)),""))</f>
        <v/>
      </c>
      <c r="G603" s="8">
        <f>IF($B603="","",IFERROR(INDEX(PM_Model,MATCH($B603,PM_ID,0)),""))</f>
        <v/>
      </c>
      <c r="H603" s="5" t="n"/>
      <c r="I603" s="10" t="n"/>
      <c r="J603" s="9" t="n"/>
      <c r="K603" s="5" t="n"/>
      <c r="L603" s="5" t="n"/>
      <c r="M603" s="5" t="n"/>
      <c r="N603" s="5" t="n"/>
      <c r="O603" s="8">
        <f>IF($B603="","",IF(AND($A603&lt;&gt;"",COUNTIF(INV_ID,$A603)&gt;1),"⚠ this Unit ID already exists",IF(AND($H603&lt;&gt;"",COUNTIF(INV_Serial,$H603)&gt;1),"⚠ this serial already exists",IF(COUNTIFS(INV_Product,$B603,INV_No,$C603)&gt;1,"⚠ piece number reused",""))))</f>
        <v/>
      </c>
      <c r="P603" s="5" t="n"/>
    </row>
    <row r="604">
      <c r="A604" s="8">
        <f>IF(OR($B604="",$C604=""),"",IFERROR(INDEX(PM_Short,MATCH($B604,PM_ID,0))&amp;"-"&amp;TEXT($C604,"00"),"?? no such product"))</f>
        <v/>
      </c>
      <c r="B604" s="5" t="n"/>
      <c r="C604" s="5" t="n"/>
      <c r="D604" s="8">
        <f>IF($B604="","",IFERROR(INDEX(PM_Category,MATCH($B604,PM_ID,0)),""))</f>
        <v/>
      </c>
      <c r="E604" s="8">
        <f>IF($B604="","",IFERROR(INDEX(PM_Subcategory,MATCH($B604,PM_ID,0)),""))</f>
        <v/>
      </c>
      <c r="F604" s="8">
        <f>IF($B604="","",IFERROR(INDEX(PM_Brand,MATCH($B604,PM_ID,0)),""))</f>
        <v/>
      </c>
      <c r="G604" s="8">
        <f>IF($B604="","",IFERROR(INDEX(PM_Model,MATCH($B604,PM_ID,0)),""))</f>
        <v/>
      </c>
      <c r="H604" s="5" t="n"/>
      <c r="I604" s="10" t="n"/>
      <c r="J604" s="9" t="n"/>
      <c r="K604" s="5" t="n"/>
      <c r="L604" s="5" t="n"/>
      <c r="M604" s="5" t="n"/>
      <c r="N604" s="5" t="n"/>
      <c r="O604" s="8">
        <f>IF($B604="","",IF(AND($A604&lt;&gt;"",COUNTIF(INV_ID,$A604)&gt;1),"⚠ this Unit ID already exists",IF(AND($H604&lt;&gt;"",COUNTIF(INV_Serial,$H604)&gt;1),"⚠ this serial already exists",IF(COUNTIFS(INV_Product,$B604,INV_No,$C604)&gt;1,"⚠ piece number reused",""))))</f>
        <v/>
      </c>
      <c r="P604" s="5" t="n"/>
    </row>
    <row r="605">
      <c r="A605" s="8">
        <f>IF(OR($B605="",$C605=""),"",IFERROR(INDEX(PM_Short,MATCH($B605,PM_ID,0))&amp;"-"&amp;TEXT($C605,"00"),"?? no such product"))</f>
        <v/>
      </c>
      <c r="B605" s="5" t="n"/>
      <c r="C605" s="5" t="n"/>
      <c r="D605" s="8">
        <f>IF($B605="","",IFERROR(INDEX(PM_Category,MATCH($B605,PM_ID,0)),""))</f>
        <v/>
      </c>
      <c r="E605" s="8">
        <f>IF($B605="","",IFERROR(INDEX(PM_Subcategory,MATCH($B605,PM_ID,0)),""))</f>
        <v/>
      </c>
      <c r="F605" s="8">
        <f>IF($B605="","",IFERROR(INDEX(PM_Brand,MATCH($B605,PM_ID,0)),""))</f>
        <v/>
      </c>
      <c r="G605" s="8">
        <f>IF($B605="","",IFERROR(INDEX(PM_Model,MATCH($B605,PM_ID,0)),""))</f>
        <v/>
      </c>
      <c r="H605" s="5" t="n"/>
      <c r="I605" s="10" t="n"/>
      <c r="J605" s="9" t="n"/>
      <c r="K605" s="5" t="n"/>
      <c r="L605" s="5" t="n"/>
      <c r="M605" s="5" t="n"/>
      <c r="N605" s="5" t="n"/>
      <c r="O605" s="8">
        <f>IF($B605="","",IF(AND($A605&lt;&gt;"",COUNTIF(INV_ID,$A605)&gt;1),"⚠ this Unit ID already exists",IF(AND($H605&lt;&gt;"",COUNTIF(INV_Serial,$H605)&gt;1),"⚠ this serial already exists",IF(COUNTIFS(INV_Product,$B605,INV_No,$C605)&gt;1,"⚠ piece number reused",""))))</f>
        <v/>
      </c>
      <c r="P605" s="5" t="n"/>
    </row>
    <row r="606">
      <c r="A606" s="8">
        <f>IF(OR($B606="",$C606=""),"",IFERROR(INDEX(PM_Short,MATCH($B606,PM_ID,0))&amp;"-"&amp;TEXT($C606,"00"),"?? no such product"))</f>
        <v/>
      </c>
      <c r="B606" s="5" t="n"/>
      <c r="C606" s="5" t="n"/>
      <c r="D606" s="8">
        <f>IF($B606="","",IFERROR(INDEX(PM_Category,MATCH($B606,PM_ID,0)),""))</f>
        <v/>
      </c>
      <c r="E606" s="8">
        <f>IF($B606="","",IFERROR(INDEX(PM_Subcategory,MATCH($B606,PM_ID,0)),""))</f>
        <v/>
      </c>
      <c r="F606" s="8">
        <f>IF($B606="","",IFERROR(INDEX(PM_Brand,MATCH($B606,PM_ID,0)),""))</f>
        <v/>
      </c>
      <c r="G606" s="8">
        <f>IF($B606="","",IFERROR(INDEX(PM_Model,MATCH($B606,PM_ID,0)),""))</f>
        <v/>
      </c>
      <c r="H606" s="5" t="n"/>
      <c r="I606" s="10" t="n"/>
      <c r="J606" s="9" t="n"/>
      <c r="K606" s="5" t="n"/>
      <c r="L606" s="5" t="n"/>
      <c r="M606" s="5" t="n"/>
      <c r="N606" s="5" t="n"/>
      <c r="O606" s="8">
        <f>IF($B606="","",IF(AND($A606&lt;&gt;"",COUNTIF(INV_ID,$A606)&gt;1),"⚠ this Unit ID already exists",IF(AND($H606&lt;&gt;"",COUNTIF(INV_Serial,$H606)&gt;1),"⚠ this serial already exists",IF(COUNTIFS(INV_Product,$B606,INV_No,$C606)&gt;1,"⚠ piece number reused",""))))</f>
        <v/>
      </c>
      <c r="P606" s="5" t="n"/>
    </row>
    <row r="607">
      <c r="A607" s="8">
        <f>IF(OR($B607="",$C607=""),"",IFERROR(INDEX(PM_Short,MATCH($B607,PM_ID,0))&amp;"-"&amp;TEXT($C607,"00"),"?? no such product"))</f>
        <v/>
      </c>
      <c r="B607" s="5" t="n"/>
      <c r="C607" s="5" t="n"/>
      <c r="D607" s="8">
        <f>IF($B607="","",IFERROR(INDEX(PM_Category,MATCH($B607,PM_ID,0)),""))</f>
        <v/>
      </c>
      <c r="E607" s="8">
        <f>IF($B607="","",IFERROR(INDEX(PM_Subcategory,MATCH($B607,PM_ID,0)),""))</f>
        <v/>
      </c>
      <c r="F607" s="8">
        <f>IF($B607="","",IFERROR(INDEX(PM_Brand,MATCH($B607,PM_ID,0)),""))</f>
        <v/>
      </c>
      <c r="G607" s="8">
        <f>IF($B607="","",IFERROR(INDEX(PM_Model,MATCH($B607,PM_ID,0)),""))</f>
        <v/>
      </c>
      <c r="H607" s="5" t="n"/>
      <c r="I607" s="10" t="n"/>
      <c r="J607" s="9" t="n"/>
      <c r="K607" s="5" t="n"/>
      <c r="L607" s="5" t="n"/>
      <c r="M607" s="5" t="n"/>
      <c r="N607" s="5" t="n"/>
      <c r="O607" s="8">
        <f>IF($B607="","",IF(AND($A607&lt;&gt;"",COUNTIF(INV_ID,$A607)&gt;1),"⚠ this Unit ID already exists",IF(AND($H607&lt;&gt;"",COUNTIF(INV_Serial,$H607)&gt;1),"⚠ this serial already exists",IF(COUNTIFS(INV_Product,$B607,INV_No,$C607)&gt;1,"⚠ piece number reused",""))))</f>
        <v/>
      </c>
      <c r="P607" s="5" t="n"/>
    </row>
    <row r="608">
      <c r="A608" s="8">
        <f>IF(OR($B608="",$C608=""),"",IFERROR(INDEX(PM_Short,MATCH($B608,PM_ID,0))&amp;"-"&amp;TEXT($C608,"00"),"?? no such product"))</f>
        <v/>
      </c>
      <c r="B608" s="5" t="n"/>
      <c r="C608" s="5" t="n"/>
      <c r="D608" s="8">
        <f>IF($B608="","",IFERROR(INDEX(PM_Category,MATCH($B608,PM_ID,0)),""))</f>
        <v/>
      </c>
      <c r="E608" s="8">
        <f>IF($B608="","",IFERROR(INDEX(PM_Subcategory,MATCH($B608,PM_ID,0)),""))</f>
        <v/>
      </c>
      <c r="F608" s="8">
        <f>IF($B608="","",IFERROR(INDEX(PM_Brand,MATCH($B608,PM_ID,0)),""))</f>
        <v/>
      </c>
      <c r="G608" s="8">
        <f>IF($B608="","",IFERROR(INDEX(PM_Model,MATCH($B608,PM_ID,0)),""))</f>
        <v/>
      </c>
      <c r="H608" s="5" t="n"/>
      <c r="I608" s="10" t="n"/>
      <c r="J608" s="9" t="n"/>
      <c r="K608" s="5" t="n"/>
      <c r="L608" s="5" t="n"/>
      <c r="M608" s="5" t="n"/>
      <c r="N608" s="5" t="n"/>
      <c r="O608" s="8">
        <f>IF($B608="","",IF(AND($A608&lt;&gt;"",COUNTIF(INV_ID,$A608)&gt;1),"⚠ this Unit ID already exists",IF(AND($H608&lt;&gt;"",COUNTIF(INV_Serial,$H608)&gt;1),"⚠ this serial already exists",IF(COUNTIFS(INV_Product,$B608,INV_No,$C608)&gt;1,"⚠ piece number reused",""))))</f>
        <v/>
      </c>
      <c r="P608" s="5" t="n"/>
    </row>
    <row r="609">
      <c r="A609" s="8">
        <f>IF(OR($B609="",$C609=""),"",IFERROR(INDEX(PM_Short,MATCH($B609,PM_ID,0))&amp;"-"&amp;TEXT($C609,"00"),"?? no such product"))</f>
        <v/>
      </c>
      <c r="B609" s="5" t="n"/>
      <c r="C609" s="5" t="n"/>
      <c r="D609" s="8">
        <f>IF($B609="","",IFERROR(INDEX(PM_Category,MATCH($B609,PM_ID,0)),""))</f>
        <v/>
      </c>
      <c r="E609" s="8">
        <f>IF($B609="","",IFERROR(INDEX(PM_Subcategory,MATCH($B609,PM_ID,0)),""))</f>
        <v/>
      </c>
      <c r="F609" s="8">
        <f>IF($B609="","",IFERROR(INDEX(PM_Brand,MATCH($B609,PM_ID,0)),""))</f>
        <v/>
      </c>
      <c r="G609" s="8">
        <f>IF($B609="","",IFERROR(INDEX(PM_Model,MATCH($B609,PM_ID,0)),""))</f>
        <v/>
      </c>
      <c r="H609" s="5" t="n"/>
      <c r="I609" s="10" t="n"/>
      <c r="J609" s="9" t="n"/>
      <c r="K609" s="5" t="n"/>
      <c r="L609" s="5" t="n"/>
      <c r="M609" s="5" t="n"/>
      <c r="N609" s="5" t="n"/>
      <c r="O609" s="8">
        <f>IF($B609="","",IF(AND($A609&lt;&gt;"",COUNTIF(INV_ID,$A609)&gt;1),"⚠ this Unit ID already exists",IF(AND($H609&lt;&gt;"",COUNTIF(INV_Serial,$H609)&gt;1),"⚠ this serial already exists",IF(COUNTIFS(INV_Product,$B609,INV_No,$C609)&gt;1,"⚠ piece number reused",""))))</f>
        <v/>
      </c>
      <c r="P609" s="5" t="n"/>
    </row>
    <row r="610">
      <c r="A610" s="8">
        <f>IF(OR($B610="",$C610=""),"",IFERROR(INDEX(PM_Short,MATCH($B610,PM_ID,0))&amp;"-"&amp;TEXT($C610,"00"),"?? no such product"))</f>
        <v/>
      </c>
      <c r="B610" s="5" t="n"/>
      <c r="C610" s="5" t="n"/>
      <c r="D610" s="8">
        <f>IF($B610="","",IFERROR(INDEX(PM_Category,MATCH($B610,PM_ID,0)),""))</f>
        <v/>
      </c>
      <c r="E610" s="8">
        <f>IF($B610="","",IFERROR(INDEX(PM_Subcategory,MATCH($B610,PM_ID,0)),""))</f>
        <v/>
      </c>
      <c r="F610" s="8">
        <f>IF($B610="","",IFERROR(INDEX(PM_Brand,MATCH($B610,PM_ID,0)),""))</f>
        <v/>
      </c>
      <c r="G610" s="8">
        <f>IF($B610="","",IFERROR(INDEX(PM_Model,MATCH($B610,PM_ID,0)),""))</f>
        <v/>
      </c>
      <c r="H610" s="5" t="n"/>
      <c r="I610" s="10" t="n"/>
      <c r="J610" s="9" t="n"/>
      <c r="K610" s="5" t="n"/>
      <c r="L610" s="5" t="n"/>
      <c r="M610" s="5" t="n"/>
      <c r="N610" s="5" t="n"/>
      <c r="O610" s="8">
        <f>IF($B610="","",IF(AND($A610&lt;&gt;"",COUNTIF(INV_ID,$A610)&gt;1),"⚠ this Unit ID already exists",IF(AND($H610&lt;&gt;"",COUNTIF(INV_Serial,$H610)&gt;1),"⚠ this serial already exists",IF(COUNTIFS(INV_Product,$B610,INV_No,$C610)&gt;1,"⚠ piece number reused",""))))</f>
        <v/>
      </c>
      <c r="P610" s="5" t="n"/>
    </row>
    <row r="611">
      <c r="A611" s="8">
        <f>IF(OR($B611="",$C611=""),"",IFERROR(INDEX(PM_Short,MATCH($B611,PM_ID,0))&amp;"-"&amp;TEXT($C611,"00"),"?? no such product"))</f>
        <v/>
      </c>
      <c r="B611" s="5" t="n"/>
      <c r="C611" s="5" t="n"/>
      <c r="D611" s="8">
        <f>IF($B611="","",IFERROR(INDEX(PM_Category,MATCH($B611,PM_ID,0)),""))</f>
        <v/>
      </c>
      <c r="E611" s="8">
        <f>IF($B611="","",IFERROR(INDEX(PM_Subcategory,MATCH($B611,PM_ID,0)),""))</f>
        <v/>
      </c>
      <c r="F611" s="8">
        <f>IF($B611="","",IFERROR(INDEX(PM_Brand,MATCH($B611,PM_ID,0)),""))</f>
        <v/>
      </c>
      <c r="G611" s="8">
        <f>IF($B611="","",IFERROR(INDEX(PM_Model,MATCH($B611,PM_ID,0)),""))</f>
        <v/>
      </c>
      <c r="H611" s="5" t="n"/>
      <c r="I611" s="10" t="n"/>
      <c r="J611" s="9" t="n"/>
      <c r="K611" s="5" t="n"/>
      <c r="L611" s="5" t="n"/>
      <c r="M611" s="5" t="n"/>
      <c r="N611" s="5" t="n"/>
      <c r="O611" s="8">
        <f>IF($B611="","",IF(AND($A611&lt;&gt;"",COUNTIF(INV_ID,$A611)&gt;1),"⚠ this Unit ID already exists",IF(AND($H611&lt;&gt;"",COUNTIF(INV_Serial,$H611)&gt;1),"⚠ this serial already exists",IF(COUNTIFS(INV_Product,$B611,INV_No,$C611)&gt;1,"⚠ piece number reused",""))))</f>
        <v/>
      </c>
      <c r="P611" s="5" t="n"/>
    </row>
    <row r="612">
      <c r="A612" s="8">
        <f>IF(OR($B612="",$C612=""),"",IFERROR(INDEX(PM_Short,MATCH($B612,PM_ID,0))&amp;"-"&amp;TEXT($C612,"00"),"?? no such product"))</f>
        <v/>
      </c>
      <c r="B612" s="5" t="n"/>
      <c r="C612" s="5" t="n"/>
      <c r="D612" s="8">
        <f>IF($B612="","",IFERROR(INDEX(PM_Category,MATCH($B612,PM_ID,0)),""))</f>
        <v/>
      </c>
      <c r="E612" s="8">
        <f>IF($B612="","",IFERROR(INDEX(PM_Subcategory,MATCH($B612,PM_ID,0)),""))</f>
        <v/>
      </c>
      <c r="F612" s="8">
        <f>IF($B612="","",IFERROR(INDEX(PM_Brand,MATCH($B612,PM_ID,0)),""))</f>
        <v/>
      </c>
      <c r="G612" s="8">
        <f>IF($B612="","",IFERROR(INDEX(PM_Model,MATCH($B612,PM_ID,0)),""))</f>
        <v/>
      </c>
      <c r="H612" s="5" t="n"/>
      <c r="I612" s="10" t="n"/>
      <c r="J612" s="9" t="n"/>
      <c r="K612" s="5" t="n"/>
      <c r="L612" s="5" t="n"/>
      <c r="M612" s="5" t="n"/>
      <c r="N612" s="5" t="n"/>
      <c r="O612" s="8">
        <f>IF($B612="","",IF(AND($A612&lt;&gt;"",COUNTIF(INV_ID,$A612)&gt;1),"⚠ this Unit ID already exists",IF(AND($H612&lt;&gt;"",COUNTIF(INV_Serial,$H612)&gt;1),"⚠ this serial already exists",IF(COUNTIFS(INV_Product,$B612,INV_No,$C612)&gt;1,"⚠ piece number reused",""))))</f>
        <v/>
      </c>
      <c r="P612" s="5" t="n"/>
    </row>
    <row r="613">
      <c r="A613" s="8">
        <f>IF(OR($B613="",$C613=""),"",IFERROR(INDEX(PM_Short,MATCH($B613,PM_ID,0))&amp;"-"&amp;TEXT($C613,"00"),"?? no such product"))</f>
        <v/>
      </c>
      <c r="B613" s="5" t="n"/>
      <c r="C613" s="5" t="n"/>
      <c r="D613" s="8">
        <f>IF($B613="","",IFERROR(INDEX(PM_Category,MATCH($B613,PM_ID,0)),""))</f>
        <v/>
      </c>
      <c r="E613" s="8">
        <f>IF($B613="","",IFERROR(INDEX(PM_Subcategory,MATCH($B613,PM_ID,0)),""))</f>
        <v/>
      </c>
      <c r="F613" s="8">
        <f>IF($B613="","",IFERROR(INDEX(PM_Brand,MATCH($B613,PM_ID,0)),""))</f>
        <v/>
      </c>
      <c r="G613" s="8">
        <f>IF($B613="","",IFERROR(INDEX(PM_Model,MATCH($B613,PM_ID,0)),""))</f>
        <v/>
      </c>
      <c r="H613" s="5" t="n"/>
      <c r="I613" s="10" t="n"/>
      <c r="J613" s="9" t="n"/>
      <c r="K613" s="5" t="n"/>
      <c r="L613" s="5" t="n"/>
      <c r="M613" s="5" t="n"/>
      <c r="N613" s="5" t="n"/>
      <c r="O613" s="8">
        <f>IF($B613="","",IF(AND($A613&lt;&gt;"",COUNTIF(INV_ID,$A613)&gt;1),"⚠ this Unit ID already exists",IF(AND($H613&lt;&gt;"",COUNTIF(INV_Serial,$H613)&gt;1),"⚠ this serial already exists",IF(COUNTIFS(INV_Product,$B613,INV_No,$C613)&gt;1,"⚠ piece number reused",""))))</f>
        <v/>
      </c>
      <c r="P613" s="5" t="n"/>
    </row>
    <row r="614">
      <c r="A614" s="8">
        <f>IF(OR($B614="",$C614=""),"",IFERROR(INDEX(PM_Short,MATCH($B614,PM_ID,0))&amp;"-"&amp;TEXT($C614,"00"),"?? no such product"))</f>
        <v/>
      </c>
      <c r="B614" s="5" t="n"/>
      <c r="C614" s="5" t="n"/>
      <c r="D614" s="8">
        <f>IF($B614="","",IFERROR(INDEX(PM_Category,MATCH($B614,PM_ID,0)),""))</f>
        <v/>
      </c>
      <c r="E614" s="8">
        <f>IF($B614="","",IFERROR(INDEX(PM_Subcategory,MATCH($B614,PM_ID,0)),""))</f>
        <v/>
      </c>
      <c r="F614" s="8">
        <f>IF($B614="","",IFERROR(INDEX(PM_Brand,MATCH($B614,PM_ID,0)),""))</f>
        <v/>
      </c>
      <c r="G614" s="8">
        <f>IF($B614="","",IFERROR(INDEX(PM_Model,MATCH($B614,PM_ID,0)),""))</f>
        <v/>
      </c>
      <c r="H614" s="5" t="n"/>
      <c r="I614" s="10" t="n"/>
      <c r="J614" s="9" t="n"/>
      <c r="K614" s="5" t="n"/>
      <c r="L614" s="5" t="n"/>
      <c r="M614" s="5" t="n"/>
      <c r="N614" s="5" t="n"/>
      <c r="O614" s="8">
        <f>IF($B614="","",IF(AND($A614&lt;&gt;"",COUNTIF(INV_ID,$A614)&gt;1),"⚠ this Unit ID already exists",IF(AND($H614&lt;&gt;"",COUNTIF(INV_Serial,$H614)&gt;1),"⚠ this serial already exists",IF(COUNTIFS(INV_Product,$B614,INV_No,$C614)&gt;1,"⚠ piece number reused",""))))</f>
        <v/>
      </c>
      <c r="P614" s="5" t="n"/>
    </row>
    <row r="615">
      <c r="A615" s="8">
        <f>IF(OR($B615="",$C615=""),"",IFERROR(INDEX(PM_Short,MATCH($B615,PM_ID,0))&amp;"-"&amp;TEXT($C615,"00"),"?? no such product"))</f>
        <v/>
      </c>
      <c r="B615" s="5" t="n"/>
      <c r="C615" s="5" t="n"/>
      <c r="D615" s="8">
        <f>IF($B615="","",IFERROR(INDEX(PM_Category,MATCH($B615,PM_ID,0)),""))</f>
        <v/>
      </c>
      <c r="E615" s="8">
        <f>IF($B615="","",IFERROR(INDEX(PM_Subcategory,MATCH($B615,PM_ID,0)),""))</f>
        <v/>
      </c>
      <c r="F615" s="8">
        <f>IF($B615="","",IFERROR(INDEX(PM_Brand,MATCH($B615,PM_ID,0)),""))</f>
        <v/>
      </c>
      <c r="G615" s="8">
        <f>IF($B615="","",IFERROR(INDEX(PM_Model,MATCH($B615,PM_ID,0)),""))</f>
        <v/>
      </c>
      <c r="H615" s="5" t="n"/>
      <c r="I615" s="10" t="n"/>
      <c r="J615" s="9" t="n"/>
      <c r="K615" s="5" t="n"/>
      <c r="L615" s="5" t="n"/>
      <c r="M615" s="5" t="n"/>
      <c r="N615" s="5" t="n"/>
      <c r="O615" s="8">
        <f>IF($B615="","",IF(AND($A615&lt;&gt;"",COUNTIF(INV_ID,$A615)&gt;1),"⚠ this Unit ID already exists",IF(AND($H615&lt;&gt;"",COUNTIF(INV_Serial,$H615)&gt;1),"⚠ this serial already exists",IF(COUNTIFS(INV_Product,$B615,INV_No,$C615)&gt;1,"⚠ piece number reused",""))))</f>
        <v/>
      </c>
      <c r="P615" s="5" t="n"/>
    </row>
    <row r="616">
      <c r="A616" s="8">
        <f>IF(OR($B616="",$C616=""),"",IFERROR(INDEX(PM_Short,MATCH($B616,PM_ID,0))&amp;"-"&amp;TEXT($C616,"00"),"?? no such product"))</f>
        <v/>
      </c>
      <c r="B616" s="5" t="n"/>
      <c r="C616" s="5" t="n"/>
      <c r="D616" s="8">
        <f>IF($B616="","",IFERROR(INDEX(PM_Category,MATCH($B616,PM_ID,0)),""))</f>
        <v/>
      </c>
      <c r="E616" s="8">
        <f>IF($B616="","",IFERROR(INDEX(PM_Subcategory,MATCH($B616,PM_ID,0)),""))</f>
        <v/>
      </c>
      <c r="F616" s="8">
        <f>IF($B616="","",IFERROR(INDEX(PM_Brand,MATCH($B616,PM_ID,0)),""))</f>
        <v/>
      </c>
      <c r="G616" s="8">
        <f>IF($B616="","",IFERROR(INDEX(PM_Model,MATCH($B616,PM_ID,0)),""))</f>
        <v/>
      </c>
      <c r="H616" s="5" t="n"/>
      <c r="I616" s="10" t="n"/>
      <c r="J616" s="9" t="n"/>
      <c r="K616" s="5" t="n"/>
      <c r="L616" s="5" t="n"/>
      <c r="M616" s="5" t="n"/>
      <c r="N616" s="5" t="n"/>
      <c r="O616" s="8">
        <f>IF($B616="","",IF(AND($A616&lt;&gt;"",COUNTIF(INV_ID,$A616)&gt;1),"⚠ this Unit ID already exists",IF(AND($H616&lt;&gt;"",COUNTIF(INV_Serial,$H616)&gt;1),"⚠ this serial already exists",IF(COUNTIFS(INV_Product,$B616,INV_No,$C616)&gt;1,"⚠ piece number reused",""))))</f>
        <v/>
      </c>
      <c r="P616" s="5" t="n"/>
    </row>
    <row r="617">
      <c r="A617" s="8">
        <f>IF(OR($B617="",$C617=""),"",IFERROR(INDEX(PM_Short,MATCH($B617,PM_ID,0))&amp;"-"&amp;TEXT($C617,"00"),"?? no such product"))</f>
        <v/>
      </c>
      <c r="B617" s="5" t="n"/>
      <c r="C617" s="5" t="n"/>
      <c r="D617" s="8">
        <f>IF($B617="","",IFERROR(INDEX(PM_Category,MATCH($B617,PM_ID,0)),""))</f>
        <v/>
      </c>
      <c r="E617" s="8">
        <f>IF($B617="","",IFERROR(INDEX(PM_Subcategory,MATCH($B617,PM_ID,0)),""))</f>
        <v/>
      </c>
      <c r="F617" s="8">
        <f>IF($B617="","",IFERROR(INDEX(PM_Brand,MATCH($B617,PM_ID,0)),""))</f>
        <v/>
      </c>
      <c r="G617" s="8">
        <f>IF($B617="","",IFERROR(INDEX(PM_Model,MATCH($B617,PM_ID,0)),""))</f>
        <v/>
      </c>
      <c r="H617" s="5" t="n"/>
      <c r="I617" s="10" t="n"/>
      <c r="J617" s="9" t="n"/>
      <c r="K617" s="5" t="n"/>
      <c r="L617" s="5" t="n"/>
      <c r="M617" s="5" t="n"/>
      <c r="N617" s="5" t="n"/>
      <c r="O617" s="8">
        <f>IF($B617="","",IF(AND($A617&lt;&gt;"",COUNTIF(INV_ID,$A617)&gt;1),"⚠ this Unit ID already exists",IF(AND($H617&lt;&gt;"",COUNTIF(INV_Serial,$H617)&gt;1),"⚠ this serial already exists",IF(COUNTIFS(INV_Product,$B617,INV_No,$C617)&gt;1,"⚠ piece number reused",""))))</f>
        <v/>
      </c>
      <c r="P617" s="5" t="n"/>
    </row>
    <row r="618">
      <c r="A618" s="8">
        <f>IF(OR($B618="",$C618=""),"",IFERROR(INDEX(PM_Short,MATCH($B618,PM_ID,0))&amp;"-"&amp;TEXT($C618,"00"),"?? no such product"))</f>
        <v/>
      </c>
      <c r="B618" s="5" t="n"/>
      <c r="C618" s="5" t="n"/>
      <c r="D618" s="8">
        <f>IF($B618="","",IFERROR(INDEX(PM_Category,MATCH($B618,PM_ID,0)),""))</f>
        <v/>
      </c>
      <c r="E618" s="8">
        <f>IF($B618="","",IFERROR(INDEX(PM_Subcategory,MATCH($B618,PM_ID,0)),""))</f>
        <v/>
      </c>
      <c r="F618" s="8">
        <f>IF($B618="","",IFERROR(INDEX(PM_Brand,MATCH($B618,PM_ID,0)),""))</f>
        <v/>
      </c>
      <c r="G618" s="8">
        <f>IF($B618="","",IFERROR(INDEX(PM_Model,MATCH($B618,PM_ID,0)),""))</f>
        <v/>
      </c>
      <c r="H618" s="5" t="n"/>
      <c r="I618" s="10" t="n"/>
      <c r="J618" s="9" t="n"/>
      <c r="K618" s="5" t="n"/>
      <c r="L618" s="5" t="n"/>
      <c r="M618" s="5" t="n"/>
      <c r="N618" s="5" t="n"/>
      <c r="O618" s="8">
        <f>IF($B618="","",IF(AND($A618&lt;&gt;"",COUNTIF(INV_ID,$A618)&gt;1),"⚠ this Unit ID already exists",IF(AND($H618&lt;&gt;"",COUNTIF(INV_Serial,$H618)&gt;1),"⚠ this serial already exists",IF(COUNTIFS(INV_Product,$B618,INV_No,$C618)&gt;1,"⚠ piece number reused",""))))</f>
        <v/>
      </c>
      <c r="P618" s="5" t="n"/>
    </row>
    <row r="619">
      <c r="A619" s="8">
        <f>IF(OR($B619="",$C619=""),"",IFERROR(INDEX(PM_Short,MATCH($B619,PM_ID,0))&amp;"-"&amp;TEXT($C619,"00"),"?? no such product"))</f>
        <v/>
      </c>
      <c r="B619" s="5" t="n"/>
      <c r="C619" s="5" t="n"/>
      <c r="D619" s="8">
        <f>IF($B619="","",IFERROR(INDEX(PM_Category,MATCH($B619,PM_ID,0)),""))</f>
        <v/>
      </c>
      <c r="E619" s="8">
        <f>IF($B619="","",IFERROR(INDEX(PM_Subcategory,MATCH($B619,PM_ID,0)),""))</f>
        <v/>
      </c>
      <c r="F619" s="8">
        <f>IF($B619="","",IFERROR(INDEX(PM_Brand,MATCH($B619,PM_ID,0)),""))</f>
        <v/>
      </c>
      <c r="G619" s="8">
        <f>IF($B619="","",IFERROR(INDEX(PM_Model,MATCH($B619,PM_ID,0)),""))</f>
        <v/>
      </c>
      <c r="H619" s="5" t="n"/>
      <c r="I619" s="10" t="n"/>
      <c r="J619" s="9" t="n"/>
      <c r="K619" s="5" t="n"/>
      <c r="L619" s="5" t="n"/>
      <c r="M619" s="5" t="n"/>
      <c r="N619" s="5" t="n"/>
      <c r="O619" s="8">
        <f>IF($B619="","",IF(AND($A619&lt;&gt;"",COUNTIF(INV_ID,$A619)&gt;1),"⚠ this Unit ID already exists",IF(AND($H619&lt;&gt;"",COUNTIF(INV_Serial,$H619)&gt;1),"⚠ this serial already exists",IF(COUNTIFS(INV_Product,$B619,INV_No,$C619)&gt;1,"⚠ piece number reused",""))))</f>
        <v/>
      </c>
      <c r="P619" s="5" t="n"/>
    </row>
    <row r="620">
      <c r="A620" s="8">
        <f>IF(OR($B620="",$C620=""),"",IFERROR(INDEX(PM_Short,MATCH($B620,PM_ID,0))&amp;"-"&amp;TEXT($C620,"00"),"?? no such product"))</f>
        <v/>
      </c>
      <c r="B620" s="5" t="n"/>
      <c r="C620" s="5" t="n"/>
      <c r="D620" s="8">
        <f>IF($B620="","",IFERROR(INDEX(PM_Category,MATCH($B620,PM_ID,0)),""))</f>
        <v/>
      </c>
      <c r="E620" s="8">
        <f>IF($B620="","",IFERROR(INDEX(PM_Subcategory,MATCH($B620,PM_ID,0)),""))</f>
        <v/>
      </c>
      <c r="F620" s="8">
        <f>IF($B620="","",IFERROR(INDEX(PM_Brand,MATCH($B620,PM_ID,0)),""))</f>
        <v/>
      </c>
      <c r="G620" s="8">
        <f>IF($B620="","",IFERROR(INDEX(PM_Model,MATCH($B620,PM_ID,0)),""))</f>
        <v/>
      </c>
      <c r="H620" s="5" t="n"/>
      <c r="I620" s="10" t="n"/>
      <c r="J620" s="9" t="n"/>
      <c r="K620" s="5" t="n"/>
      <c r="L620" s="5" t="n"/>
      <c r="M620" s="5" t="n"/>
      <c r="N620" s="5" t="n"/>
      <c r="O620" s="8">
        <f>IF($B620="","",IF(AND($A620&lt;&gt;"",COUNTIF(INV_ID,$A620)&gt;1),"⚠ this Unit ID already exists",IF(AND($H620&lt;&gt;"",COUNTIF(INV_Serial,$H620)&gt;1),"⚠ this serial already exists",IF(COUNTIFS(INV_Product,$B620,INV_No,$C620)&gt;1,"⚠ piece number reused",""))))</f>
        <v/>
      </c>
      <c r="P620" s="5" t="n"/>
    </row>
    <row r="621">
      <c r="A621" s="8">
        <f>IF(OR($B621="",$C621=""),"",IFERROR(INDEX(PM_Short,MATCH($B621,PM_ID,0))&amp;"-"&amp;TEXT($C621,"00"),"?? no such product"))</f>
        <v/>
      </c>
      <c r="B621" s="5" t="n"/>
      <c r="C621" s="5" t="n"/>
      <c r="D621" s="8">
        <f>IF($B621="","",IFERROR(INDEX(PM_Category,MATCH($B621,PM_ID,0)),""))</f>
        <v/>
      </c>
      <c r="E621" s="8">
        <f>IF($B621="","",IFERROR(INDEX(PM_Subcategory,MATCH($B621,PM_ID,0)),""))</f>
        <v/>
      </c>
      <c r="F621" s="8">
        <f>IF($B621="","",IFERROR(INDEX(PM_Brand,MATCH($B621,PM_ID,0)),""))</f>
        <v/>
      </c>
      <c r="G621" s="8">
        <f>IF($B621="","",IFERROR(INDEX(PM_Model,MATCH($B621,PM_ID,0)),""))</f>
        <v/>
      </c>
      <c r="H621" s="5" t="n"/>
      <c r="I621" s="10" t="n"/>
      <c r="J621" s="9" t="n"/>
      <c r="K621" s="5" t="n"/>
      <c r="L621" s="5" t="n"/>
      <c r="M621" s="5" t="n"/>
      <c r="N621" s="5" t="n"/>
      <c r="O621" s="8">
        <f>IF($B621="","",IF(AND($A621&lt;&gt;"",COUNTIF(INV_ID,$A621)&gt;1),"⚠ this Unit ID already exists",IF(AND($H621&lt;&gt;"",COUNTIF(INV_Serial,$H621)&gt;1),"⚠ this serial already exists",IF(COUNTIFS(INV_Product,$B621,INV_No,$C621)&gt;1,"⚠ piece number reused",""))))</f>
        <v/>
      </c>
      <c r="P621" s="5" t="n"/>
    </row>
    <row r="622">
      <c r="A622" s="8">
        <f>IF(OR($B622="",$C622=""),"",IFERROR(INDEX(PM_Short,MATCH($B622,PM_ID,0))&amp;"-"&amp;TEXT($C622,"00"),"?? no such product"))</f>
        <v/>
      </c>
      <c r="B622" s="5" t="n"/>
      <c r="C622" s="5" t="n"/>
      <c r="D622" s="8">
        <f>IF($B622="","",IFERROR(INDEX(PM_Category,MATCH($B622,PM_ID,0)),""))</f>
        <v/>
      </c>
      <c r="E622" s="8">
        <f>IF($B622="","",IFERROR(INDEX(PM_Subcategory,MATCH($B622,PM_ID,0)),""))</f>
        <v/>
      </c>
      <c r="F622" s="8">
        <f>IF($B622="","",IFERROR(INDEX(PM_Brand,MATCH($B622,PM_ID,0)),""))</f>
        <v/>
      </c>
      <c r="G622" s="8">
        <f>IF($B622="","",IFERROR(INDEX(PM_Model,MATCH($B622,PM_ID,0)),""))</f>
        <v/>
      </c>
      <c r="H622" s="5" t="n"/>
      <c r="I622" s="10" t="n"/>
      <c r="J622" s="9" t="n"/>
      <c r="K622" s="5" t="n"/>
      <c r="L622" s="5" t="n"/>
      <c r="M622" s="5" t="n"/>
      <c r="N622" s="5" t="n"/>
      <c r="O622" s="8">
        <f>IF($B622="","",IF(AND($A622&lt;&gt;"",COUNTIF(INV_ID,$A622)&gt;1),"⚠ this Unit ID already exists",IF(AND($H622&lt;&gt;"",COUNTIF(INV_Serial,$H622)&gt;1),"⚠ this serial already exists",IF(COUNTIFS(INV_Product,$B622,INV_No,$C622)&gt;1,"⚠ piece number reused",""))))</f>
        <v/>
      </c>
      <c r="P622" s="5" t="n"/>
    </row>
    <row r="623">
      <c r="A623" s="8">
        <f>IF(OR($B623="",$C623=""),"",IFERROR(INDEX(PM_Short,MATCH($B623,PM_ID,0))&amp;"-"&amp;TEXT($C623,"00"),"?? no such product"))</f>
        <v/>
      </c>
      <c r="B623" s="5" t="n"/>
      <c r="C623" s="5" t="n"/>
      <c r="D623" s="8">
        <f>IF($B623="","",IFERROR(INDEX(PM_Category,MATCH($B623,PM_ID,0)),""))</f>
        <v/>
      </c>
      <c r="E623" s="8">
        <f>IF($B623="","",IFERROR(INDEX(PM_Subcategory,MATCH($B623,PM_ID,0)),""))</f>
        <v/>
      </c>
      <c r="F623" s="8">
        <f>IF($B623="","",IFERROR(INDEX(PM_Brand,MATCH($B623,PM_ID,0)),""))</f>
        <v/>
      </c>
      <c r="G623" s="8">
        <f>IF($B623="","",IFERROR(INDEX(PM_Model,MATCH($B623,PM_ID,0)),""))</f>
        <v/>
      </c>
      <c r="H623" s="5" t="n"/>
      <c r="I623" s="10" t="n"/>
      <c r="J623" s="9" t="n"/>
      <c r="K623" s="5" t="n"/>
      <c r="L623" s="5" t="n"/>
      <c r="M623" s="5" t="n"/>
      <c r="N623" s="5" t="n"/>
      <c r="O623" s="8">
        <f>IF($B623="","",IF(AND($A623&lt;&gt;"",COUNTIF(INV_ID,$A623)&gt;1),"⚠ this Unit ID already exists",IF(AND($H623&lt;&gt;"",COUNTIF(INV_Serial,$H623)&gt;1),"⚠ this serial already exists",IF(COUNTIFS(INV_Product,$B623,INV_No,$C623)&gt;1,"⚠ piece number reused",""))))</f>
        <v/>
      </c>
      <c r="P623" s="5" t="n"/>
    </row>
    <row r="624">
      <c r="A624" s="8">
        <f>IF(OR($B624="",$C624=""),"",IFERROR(INDEX(PM_Short,MATCH($B624,PM_ID,0))&amp;"-"&amp;TEXT($C624,"00"),"?? no such product"))</f>
        <v/>
      </c>
      <c r="B624" s="5" t="n"/>
      <c r="C624" s="5" t="n"/>
      <c r="D624" s="8">
        <f>IF($B624="","",IFERROR(INDEX(PM_Category,MATCH($B624,PM_ID,0)),""))</f>
        <v/>
      </c>
      <c r="E624" s="8">
        <f>IF($B624="","",IFERROR(INDEX(PM_Subcategory,MATCH($B624,PM_ID,0)),""))</f>
        <v/>
      </c>
      <c r="F624" s="8">
        <f>IF($B624="","",IFERROR(INDEX(PM_Brand,MATCH($B624,PM_ID,0)),""))</f>
        <v/>
      </c>
      <c r="G624" s="8">
        <f>IF($B624="","",IFERROR(INDEX(PM_Model,MATCH($B624,PM_ID,0)),""))</f>
        <v/>
      </c>
      <c r="H624" s="5" t="n"/>
      <c r="I624" s="10" t="n"/>
      <c r="J624" s="9" t="n"/>
      <c r="K624" s="5" t="n"/>
      <c r="L624" s="5" t="n"/>
      <c r="M624" s="5" t="n"/>
      <c r="N624" s="5" t="n"/>
      <c r="O624" s="8">
        <f>IF($B624="","",IF(AND($A624&lt;&gt;"",COUNTIF(INV_ID,$A624)&gt;1),"⚠ this Unit ID already exists",IF(AND($H624&lt;&gt;"",COUNTIF(INV_Serial,$H624)&gt;1),"⚠ this serial already exists",IF(COUNTIFS(INV_Product,$B624,INV_No,$C624)&gt;1,"⚠ piece number reused",""))))</f>
        <v/>
      </c>
      <c r="P624" s="5" t="n"/>
    </row>
    <row r="625">
      <c r="A625" s="8">
        <f>IF(OR($B625="",$C625=""),"",IFERROR(INDEX(PM_Short,MATCH($B625,PM_ID,0))&amp;"-"&amp;TEXT($C625,"00"),"?? no such product"))</f>
        <v/>
      </c>
      <c r="B625" s="5" t="n"/>
      <c r="C625" s="5" t="n"/>
      <c r="D625" s="8">
        <f>IF($B625="","",IFERROR(INDEX(PM_Category,MATCH($B625,PM_ID,0)),""))</f>
        <v/>
      </c>
      <c r="E625" s="8">
        <f>IF($B625="","",IFERROR(INDEX(PM_Subcategory,MATCH($B625,PM_ID,0)),""))</f>
        <v/>
      </c>
      <c r="F625" s="8">
        <f>IF($B625="","",IFERROR(INDEX(PM_Brand,MATCH($B625,PM_ID,0)),""))</f>
        <v/>
      </c>
      <c r="G625" s="8">
        <f>IF($B625="","",IFERROR(INDEX(PM_Model,MATCH($B625,PM_ID,0)),""))</f>
        <v/>
      </c>
      <c r="H625" s="5" t="n"/>
      <c r="I625" s="10" t="n"/>
      <c r="J625" s="9" t="n"/>
      <c r="K625" s="5" t="n"/>
      <c r="L625" s="5" t="n"/>
      <c r="M625" s="5" t="n"/>
      <c r="N625" s="5" t="n"/>
      <c r="O625" s="8">
        <f>IF($B625="","",IF(AND($A625&lt;&gt;"",COUNTIF(INV_ID,$A625)&gt;1),"⚠ this Unit ID already exists",IF(AND($H625&lt;&gt;"",COUNTIF(INV_Serial,$H625)&gt;1),"⚠ this serial already exists",IF(COUNTIFS(INV_Product,$B625,INV_No,$C625)&gt;1,"⚠ piece number reused",""))))</f>
        <v/>
      </c>
      <c r="P625" s="5" t="n"/>
    </row>
    <row r="626">
      <c r="A626" s="8">
        <f>IF(OR($B626="",$C626=""),"",IFERROR(INDEX(PM_Short,MATCH($B626,PM_ID,0))&amp;"-"&amp;TEXT($C626,"00"),"?? no such product"))</f>
        <v/>
      </c>
      <c r="B626" s="5" t="n"/>
      <c r="C626" s="5" t="n"/>
      <c r="D626" s="8">
        <f>IF($B626="","",IFERROR(INDEX(PM_Category,MATCH($B626,PM_ID,0)),""))</f>
        <v/>
      </c>
      <c r="E626" s="8">
        <f>IF($B626="","",IFERROR(INDEX(PM_Subcategory,MATCH($B626,PM_ID,0)),""))</f>
        <v/>
      </c>
      <c r="F626" s="8">
        <f>IF($B626="","",IFERROR(INDEX(PM_Brand,MATCH($B626,PM_ID,0)),""))</f>
        <v/>
      </c>
      <c r="G626" s="8">
        <f>IF($B626="","",IFERROR(INDEX(PM_Model,MATCH($B626,PM_ID,0)),""))</f>
        <v/>
      </c>
      <c r="H626" s="5" t="n"/>
      <c r="I626" s="10" t="n"/>
      <c r="J626" s="9" t="n"/>
      <c r="K626" s="5" t="n"/>
      <c r="L626" s="5" t="n"/>
      <c r="M626" s="5" t="n"/>
      <c r="N626" s="5" t="n"/>
      <c r="O626" s="8">
        <f>IF($B626="","",IF(AND($A626&lt;&gt;"",COUNTIF(INV_ID,$A626)&gt;1),"⚠ this Unit ID already exists",IF(AND($H626&lt;&gt;"",COUNTIF(INV_Serial,$H626)&gt;1),"⚠ this serial already exists",IF(COUNTIFS(INV_Product,$B626,INV_No,$C626)&gt;1,"⚠ piece number reused",""))))</f>
        <v/>
      </c>
      <c r="P626" s="5" t="n"/>
    </row>
    <row r="627">
      <c r="A627" s="8">
        <f>IF(OR($B627="",$C627=""),"",IFERROR(INDEX(PM_Short,MATCH($B627,PM_ID,0))&amp;"-"&amp;TEXT($C627,"00"),"?? no such product"))</f>
        <v/>
      </c>
      <c r="B627" s="5" t="n"/>
      <c r="C627" s="5" t="n"/>
      <c r="D627" s="8">
        <f>IF($B627="","",IFERROR(INDEX(PM_Category,MATCH($B627,PM_ID,0)),""))</f>
        <v/>
      </c>
      <c r="E627" s="8">
        <f>IF($B627="","",IFERROR(INDEX(PM_Subcategory,MATCH($B627,PM_ID,0)),""))</f>
        <v/>
      </c>
      <c r="F627" s="8">
        <f>IF($B627="","",IFERROR(INDEX(PM_Brand,MATCH($B627,PM_ID,0)),""))</f>
        <v/>
      </c>
      <c r="G627" s="8">
        <f>IF($B627="","",IFERROR(INDEX(PM_Model,MATCH($B627,PM_ID,0)),""))</f>
        <v/>
      </c>
      <c r="H627" s="5" t="n"/>
      <c r="I627" s="10" t="n"/>
      <c r="J627" s="9" t="n"/>
      <c r="K627" s="5" t="n"/>
      <c r="L627" s="5" t="n"/>
      <c r="M627" s="5" t="n"/>
      <c r="N627" s="5" t="n"/>
      <c r="O627" s="8">
        <f>IF($B627="","",IF(AND($A627&lt;&gt;"",COUNTIF(INV_ID,$A627)&gt;1),"⚠ this Unit ID already exists",IF(AND($H627&lt;&gt;"",COUNTIF(INV_Serial,$H627)&gt;1),"⚠ this serial already exists",IF(COUNTIFS(INV_Product,$B627,INV_No,$C627)&gt;1,"⚠ piece number reused",""))))</f>
        <v/>
      </c>
      <c r="P627" s="5" t="n"/>
    </row>
    <row r="628">
      <c r="A628" s="8">
        <f>IF(OR($B628="",$C628=""),"",IFERROR(INDEX(PM_Short,MATCH($B628,PM_ID,0))&amp;"-"&amp;TEXT($C628,"00"),"?? no such product"))</f>
        <v/>
      </c>
      <c r="B628" s="5" t="n"/>
      <c r="C628" s="5" t="n"/>
      <c r="D628" s="8">
        <f>IF($B628="","",IFERROR(INDEX(PM_Category,MATCH($B628,PM_ID,0)),""))</f>
        <v/>
      </c>
      <c r="E628" s="8">
        <f>IF($B628="","",IFERROR(INDEX(PM_Subcategory,MATCH($B628,PM_ID,0)),""))</f>
        <v/>
      </c>
      <c r="F628" s="8">
        <f>IF($B628="","",IFERROR(INDEX(PM_Brand,MATCH($B628,PM_ID,0)),""))</f>
        <v/>
      </c>
      <c r="G628" s="8">
        <f>IF($B628="","",IFERROR(INDEX(PM_Model,MATCH($B628,PM_ID,0)),""))</f>
        <v/>
      </c>
      <c r="H628" s="5" t="n"/>
      <c r="I628" s="10" t="n"/>
      <c r="J628" s="9" t="n"/>
      <c r="K628" s="5" t="n"/>
      <c r="L628" s="5" t="n"/>
      <c r="M628" s="5" t="n"/>
      <c r="N628" s="5" t="n"/>
      <c r="O628" s="8">
        <f>IF($B628="","",IF(AND($A628&lt;&gt;"",COUNTIF(INV_ID,$A628)&gt;1),"⚠ this Unit ID already exists",IF(AND($H628&lt;&gt;"",COUNTIF(INV_Serial,$H628)&gt;1),"⚠ this serial already exists",IF(COUNTIFS(INV_Product,$B628,INV_No,$C628)&gt;1,"⚠ piece number reused",""))))</f>
        <v/>
      </c>
      <c r="P628" s="5" t="n"/>
    </row>
    <row r="629">
      <c r="A629" s="8">
        <f>IF(OR($B629="",$C629=""),"",IFERROR(INDEX(PM_Short,MATCH($B629,PM_ID,0))&amp;"-"&amp;TEXT($C629,"00"),"?? no such product"))</f>
        <v/>
      </c>
      <c r="B629" s="5" t="n"/>
      <c r="C629" s="5" t="n"/>
      <c r="D629" s="8">
        <f>IF($B629="","",IFERROR(INDEX(PM_Category,MATCH($B629,PM_ID,0)),""))</f>
        <v/>
      </c>
      <c r="E629" s="8">
        <f>IF($B629="","",IFERROR(INDEX(PM_Subcategory,MATCH($B629,PM_ID,0)),""))</f>
        <v/>
      </c>
      <c r="F629" s="8">
        <f>IF($B629="","",IFERROR(INDEX(PM_Brand,MATCH($B629,PM_ID,0)),""))</f>
        <v/>
      </c>
      <c r="G629" s="8">
        <f>IF($B629="","",IFERROR(INDEX(PM_Model,MATCH($B629,PM_ID,0)),""))</f>
        <v/>
      </c>
      <c r="H629" s="5" t="n"/>
      <c r="I629" s="10" t="n"/>
      <c r="J629" s="9" t="n"/>
      <c r="K629" s="5" t="n"/>
      <c r="L629" s="5" t="n"/>
      <c r="M629" s="5" t="n"/>
      <c r="N629" s="5" t="n"/>
      <c r="O629" s="8">
        <f>IF($B629="","",IF(AND($A629&lt;&gt;"",COUNTIF(INV_ID,$A629)&gt;1),"⚠ this Unit ID already exists",IF(AND($H629&lt;&gt;"",COUNTIF(INV_Serial,$H629)&gt;1),"⚠ this serial already exists",IF(COUNTIFS(INV_Product,$B629,INV_No,$C629)&gt;1,"⚠ piece number reused",""))))</f>
        <v/>
      </c>
      <c r="P629" s="5" t="n"/>
    </row>
    <row r="630">
      <c r="A630" s="8">
        <f>IF(OR($B630="",$C630=""),"",IFERROR(INDEX(PM_Short,MATCH($B630,PM_ID,0))&amp;"-"&amp;TEXT($C630,"00"),"?? no such product"))</f>
        <v/>
      </c>
      <c r="B630" s="5" t="n"/>
      <c r="C630" s="5" t="n"/>
      <c r="D630" s="8">
        <f>IF($B630="","",IFERROR(INDEX(PM_Category,MATCH($B630,PM_ID,0)),""))</f>
        <v/>
      </c>
      <c r="E630" s="8">
        <f>IF($B630="","",IFERROR(INDEX(PM_Subcategory,MATCH($B630,PM_ID,0)),""))</f>
        <v/>
      </c>
      <c r="F630" s="8">
        <f>IF($B630="","",IFERROR(INDEX(PM_Brand,MATCH($B630,PM_ID,0)),""))</f>
        <v/>
      </c>
      <c r="G630" s="8">
        <f>IF($B630="","",IFERROR(INDEX(PM_Model,MATCH($B630,PM_ID,0)),""))</f>
        <v/>
      </c>
      <c r="H630" s="5" t="n"/>
      <c r="I630" s="10" t="n"/>
      <c r="J630" s="9" t="n"/>
      <c r="K630" s="5" t="n"/>
      <c r="L630" s="5" t="n"/>
      <c r="M630" s="5" t="n"/>
      <c r="N630" s="5" t="n"/>
      <c r="O630" s="8">
        <f>IF($B630="","",IF(AND($A630&lt;&gt;"",COUNTIF(INV_ID,$A630)&gt;1),"⚠ this Unit ID already exists",IF(AND($H630&lt;&gt;"",COUNTIF(INV_Serial,$H630)&gt;1),"⚠ this serial already exists",IF(COUNTIFS(INV_Product,$B630,INV_No,$C630)&gt;1,"⚠ piece number reused",""))))</f>
        <v/>
      </c>
      <c r="P630" s="5" t="n"/>
    </row>
    <row r="631">
      <c r="A631" s="8">
        <f>IF(OR($B631="",$C631=""),"",IFERROR(INDEX(PM_Short,MATCH($B631,PM_ID,0))&amp;"-"&amp;TEXT($C631,"00"),"?? no such product"))</f>
        <v/>
      </c>
      <c r="B631" s="5" t="n"/>
      <c r="C631" s="5" t="n"/>
      <c r="D631" s="8">
        <f>IF($B631="","",IFERROR(INDEX(PM_Category,MATCH($B631,PM_ID,0)),""))</f>
        <v/>
      </c>
      <c r="E631" s="8">
        <f>IF($B631="","",IFERROR(INDEX(PM_Subcategory,MATCH($B631,PM_ID,0)),""))</f>
        <v/>
      </c>
      <c r="F631" s="8">
        <f>IF($B631="","",IFERROR(INDEX(PM_Brand,MATCH($B631,PM_ID,0)),""))</f>
        <v/>
      </c>
      <c r="G631" s="8">
        <f>IF($B631="","",IFERROR(INDEX(PM_Model,MATCH($B631,PM_ID,0)),""))</f>
        <v/>
      </c>
      <c r="H631" s="5" t="n"/>
      <c r="I631" s="10" t="n"/>
      <c r="J631" s="9" t="n"/>
      <c r="K631" s="5" t="n"/>
      <c r="L631" s="5" t="n"/>
      <c r="M631" s="5" t="n"/>
      <c r="N631" s="5" t="n"/>
      <c r="O631" s="8">
        <f>IF($B631="","",IF(AND($A631&lt;&gt;"",COUNTIF(INV_ID,$A631)&gt;1),"⚠ this Unit ID already exists",IF(AND($H631&lt;&gt;"",COUNTIF(INV_Serial,$H631)&gt;1),"⚠ this serial already exists",IF(COUNTIFS(INV_Product,$B631,INV_No,$C631)&gt;1,"⚠ piece number reused",""))))</f>
        <v/>
      </c>
      <c r="P631" s="5" t="n"/>
    </row>
    <row r="632">
      <c r="A632" s="8">
        <f>IF(OR($B632="",$C632=""),"",IFERROR(INDEX(PM_Short,MATCH($B632,PM_ID,0))&amp;"-"&amp;TEXT($C632,"00"),"?? no such product"))</f>
        <v/>
      </c>
      <c r="B632" s="5" t="n"/>
      <c r="C632" s="5" t="n"/>
      <c r="D632" s="8">
        <f>IF($B632="","",IFERROR(INDEX(PM_Category,MATCH($B632,PM_ID,0)),""))</f>
        <v/>
      </c>
      <c r="E632" s="8">
        <f>IF($B632="","",IFERROR(INDEX(PM_Subcategory,MATCH($B632,PM_ID,0)),""))</f>
        <v/>
      </c>
      <c r="F632" s="8">
        <f>IF($B632="","",IFERROR(INDEX(PM_Brand,MATCH($B632,PM_ID,0)),""))</f>
        <v/>
      </c>
      <c r="G632" s="8">
        <f>IF($B632="","",IFERROR(INDEX(PM_Model,MATCH($B632,PM_ID,0)),""))</f>
        <v/>
      </c>
      <c r="H632" s="5" t="n"/>
      <c r="I632" s="10" t="n"/>
      <c r="J632" s="9" t="n"/>
      <c r="K632" s="5" t="n"/>
      <c r="L632" s="5" t="n"/>
      <c r="M632" s="5" t="n"/>
      <c r="N632" s="5" t="n"/>
      <c r="O632" s="8">
        <f>IF($B632="","",IF(AND($A632&lt;&gt;"",COUNTIF(INV_ID,$A632)&gt;1),"⚠ this Unit ID already exists",IF(AND($H632&lt;&gt;"",COUNTIF(INV_Serial,$H632)&gt;1),"⚠ this serial already exists",IF(COUNTIFS(INV_Product,$B632,INV_No,$C632)&gt;1,"⚠ piece number reused",""))))</f>
        <v/>
      </c>
      <c r="P632" s="5" t="n"/>
    </row>
    <row r="633">
      <c r="A633" s="8">
        <f>IF(OR($B633="",$C633=""),"",IFERROR(INDEX(PM_Short,MATCH($B633,PM_ID,0))&amp;"-"&amp;TEXT($C633,"00"),"?? no such product"))</f>
        <v/>
      </c>
      <c r="B633" s="5" t="n"/>
      <c r="C633" s="5" t="n"/>
      <c r="D633" s="8">
        <f>IF($B633="","",IFERROR(INDEX(PM_Category,MATCH($B633,PM_ID,0)),""))</f>
        <v/>
      </c>
      <c r="E633" s="8">
        <f>IF($B633="","",IFERROR(INDEX(PM_Subcategory,MATCH($B633,PM_ID,0)),""))</f>
        <v/>
      </c>
      <c r="F633" s="8">
        <f>IF($B633="","",IFERROR(INDEX(PM_Brand,MATCH($B633,PM_ID,0)),""))</f>
        <v/>
      </c>
      <c r="G633" s="8">
        <f>IF($B633="","",IFERROR(INDEX(PM_Model,MATCH($B633,PM_ID,0)),""))</f>
        <v/>
      </c>
      <c r="H633" s="5" t="n"/>
      <c r="I633" s="10" t="n"/>
      <c r="J633" s="9" t="n"/>
      <c r="K633" s="5" t="n"/>
      <c r="L633" s="5" t="n"/>
      <c r="M633" s="5" t="n"/>
      <c r="N633" s="5" t="n"/>
      <c r="O633" s="8">
        <f>IF($B633="","",IF(AND($A633&lt;&gt;"",COUNTIF(INV_ID,$A633)&gt;1),"⚠ this Unit ID already exists",IF(AND($H633&lt;&gt;"",COUNTIF(INV_Serial,$H633)&gt;1),"⚠ this serial already exists",IF(COUNTIFS(INV_Product,$B633,INV_No,$C633)&gt;1,"⚠ piece number reused",""))))</f>
        <v/>
      </c>
      <c r="P633" s="5" t="n"/>
    </row>
    <row r="634">
      <c r="A634" s="8">
        <f>IF(OR($B634="",$C634=""),"",IFERROR(INDEX(PM_Short,MATCH($B634,PM_ID,0))&amp;"-"&amp;TEXT($C634,"00"),"?? no such product"))</f>
        <v/>
      </c>
      <c r="B634" s="5" t="n"/>
      <c r="C634" s="5" t="n"/>
      <c r="D634" s="8">
        <f>IF($B634="","",IFERROR(INDEX(PM_Category,MATCH($B634,PM_ID,0)),""))</f>
        <v/>
      </c>
      <c r="E634" s="8">
        <f>IF($B634="","",IFERROR(INDEX(PM_Subcategory,MATCH($B634,PM_ID,0)),""))</f>
        <v/>
      </c>
      <c r="F634" s="8">
        <f>IF($B634="","",IFERROR(INDEX(PM_Brand,MATCH($B634,PM_ID,0)),""))</f>
        <v/>
      </c>
      <c r="G634" s="8">
        <f>IF($B634="","",IFERROR(INDEX(PM_Model,MATCH($B634,PM_ID,0)),""))</f>
        <v/>
      </c>
      <c r="H634" s="5" t="n"/>
      <c r="I634" s="10" t="n"/>
      <c r="J634" s="9" t="n"/>
      <c r="K634" s="5" t="n"/>
      <c r="L634" s="5" t="n"/>
      <c r="M634" s="5" t="n"/>
      <c r="N634" s="5" t="n"/>
      <c r="O634" s="8">
        <f>IF($B634="","",IF(AND($A634&lt;&gt;"",COUNTIF(INV_ID,$A634)&gt;1),"⚠ this Unit ID already exists",IF(AND($H634&lt;&gt;"",COUNTIF(INV_Serial,$H634)&gt;1),"⚠ this serial already exists",IF(COUNTIFS(INV_Product,$B634,INV_No,$C634)&gt;1,"⚠ piece number reused",""))))</f>
        <v/>
      </c>
      <c r="P634" s="5" t="n"/>
    </row>
    <row r="635">
      <c r="A635" s="8">
        <f>IF(OR($B635="",$C635=""),"",IFERROR(INDEX(PM_Short,MATCH($B635,PM_ID,0))&amp;"-"&amp;TEXT($C635,"00"),"?? no such product"))</f>
        <v/>
      </c>
      <c r="B635" s="5" t="n"/>
      <c r="C635" s="5" t="n"/>
      <c r="D635" s="8">
        <f>IF($B635="","",IFERROR(INDEX(PM_Category,MATCH($B635,PM_ID,0)),""))</f>
        <v/>
      </c>
      <c r="E635" s="8">
        <f>IF($B635="","",IFERROR(INDEX(PM_Subcategory,MATCH($B635,PM_ID,0)),""))</f>
        <v/>
      </c>
      <c r="F635" s="8">
        <f>IF($B635="","",IFERROR(INDEX(PM_Brand,MATCH($B635,PM_ID,0)),""))</f>
        <v/>
      </c>
      <c r="G635" s="8">
        <f>IF($B635="","",IFERROR(INDEX(PM_Model,MATCH($B635,PM_ID,0)),""))</f>
        <v/>
      </c>
      <c r="H635" s="5" t="n"/>
      <c r="I635" s="10" t="n"/>
      <c r="J635" s="9" t="n"/>
      <c r="K635" s="5" t="n"/>
      <c r="L635" s="5" t="n"/>
      <c r="M635" s="5" t="n"/>
      <c r="N635" s="5" t="n"/>
      <c r="O635" s="8">
        <f>IF($B635="","",IF(AND($A635&lt;&gt;"",COUNTIF(INV_ID,$A635)&gt;1),"⚠ this Unit ID already exists",IF(AND($H635&lt;&gt;"",COUNTIF(INV_Serial,$H635)&gt;1),"⚠ this serial already exists",IF(COUNTIFS(INV_Product,$B635,INV_No,$C635)&gt;1,"⚠ piece number reused",""))))</f>
        <v/>
      </c>
      <c r="P635" s="5" t="n"/>
    </row>
    <row r="636">
      <c r="A636" s="8">
        <f>IF(OR($B636="",$C636=""),"",IFERROR(INDEX(PM_Short,MATCH($B636,PM_ID,0))&amp;"-"&amp;TEXT($C636,"00"),"?? no such product"))</f>
        <v/>
      </c>
      <c r="B636" s="5" t="n"/>
      <c r="C636" s="5" t="n"/>
      <c r="D636" s="8">
        <f>IF($B636="","",IFERROR(INDEX(PM_Category,MATCH($B636,PM_ID,0)),""))</f>
        <v/>
      </c>
      <c r="E636" s="8">
        <f>IF($B636="","",IFERROR(INDEX(PM_Subcategory,MATCH($B636,PM_ID,0)),""))</f>
        <v/>
      </c>
      <c r="F636" s="8">
        <f>IF($B636="","",IFERROR(INDEX(PM_Brand,MATCH($B636,PM_ID,0)),""))</f>
        <v/>
      </c>
      <c r="G636" s="8">
        <f>IF($B636="","",IFERROR(INDEX(PM_Model,MATCH($B636,PM_ID,0)),""))</f>
        <v/>
      </c>
      <c r="H636" s="5" t="n"/>
      <c r="I636" s="10" t="n"/>
      <c r="J636" s="9" t="n"/>
      <c r="K636" s="5" t="n"/>
      <c r="L636" s="5" t="n"/>
      <c r="M636" s="5" t="n"/>
      <c r="N636" s="5" t="n"/>
      <c r="O636" s="8">
        <f>IF($B636="","",IF(AND($A636&lt;&gt;"",COUNTIF(INV_ID,$A636)&gt;1),"⚠ this Unit ID already exists",IF(AND($H636&lt;&gt;"",COUNTIF(INV_Serial,$H636)&gt;1),"⚠ this serial already exists",IF(COUNTIFS(INV_Product,$B636,INV_No,$C636)&gt;1,"⚠ piece number reused",""))))</f>
        <v/>
      </c>
      <c r="P636" s="5" t="n"/>
    </row>
    <row r="637">
      <c r="A637" s="8">
        <f>IF(OR($B637="",$C637=""),"",IFERROR(INDEX(PM_Short,MATCH($B637,PM_ID,0))&amp;"-"&amp;TEXT($C637,"00"),"?? no such product"))</f>
        <v/>
      </c>
      <c r="B637" s="5" t="n"/>
      <c r="C637" s="5" t="n"/>
      <c r="D637" s="8">
        <f>IF($B637="","",IFERROR(INDEX(PM_Category,MATCH($B637,PM_ID,0)),""))</f>
        <v/>
      </c>
      <c r="E637" s="8">
        <f>IF($B637="","",IFERROR(INDEX(PM_Subcategory,MATCH($B637,PM_ID,0)),""))</f>
        <v/>
      </c>
      <c r="F637" s="8">
        <f>IF($B637="","",IFERROR(INDEX(PM_Brand,MATCH($B637,PM_ID,0)),""))</f>
        <v/>
      </c>
      <c r="G637" s="8">
        <f>IF($B637="","",IFERROR(INDEX(PM_Model,MATCH($B637,PM_ID,0)),""))</f>
        <v/>
      </c>
      <c r="H637" s="5" t="n"/>
      <c r="I637" s="10" t="n"/>
      <c r="J637" s="9" t="n"/>
      <c r="K637" s="5" t="n"/>
      <c r="L637" s="5" t="n"/>
      <c r="M637" s="5" t="n"/>
      <c r="N637" s="5" t="n"/>
      <c r="O637" s="8">
        <f>IF($B637="","",IF(AND($A637&lt;&gt;"",COUNTIF(INV_ID,$A637)&gt;1),"⚠ this Unit ID already exists",IF(AND($H637&lt;&gt;"",COUNTIF(INV_Serial,$H637)&gt;1),"⚠ this serial already exists",IF(COUNTIFS(INV_Product,$B637,INV_No,$C637)&gt;1,"⚠ piece number reused",""))))</f>
        <v/>
      </c>
      <c r="P637" s="5" t="n"/>
    </row>
    <row r="638">
      <c r="A638" s="8">
        <f>IF(OR($B638="",$C638=""),"",IFERROR(INDEX(PM_Short,MATCH($B638,PM_ID,0))&amp;"-"&amp;TEXT($C638,"00"),"?? no such product"))</f>
        <v/>
      </c>
      <c r="B638" s="5" t="n"/>
      <c r="C638" s="5" t="n"/>
      <c r="D638" s="8">
        <f>IF($B638="","",IFERROR(INDEX(PM_Category,MATCH($B638,PM_ID,0)),""))</f>
        <v/>
      </c>
      <c r="E638" s="8">
        <f>IF($B638="","",IFERROR(INDEX(PM_Subcategory,MATCH($B638,PM_ID,0)),""))</f>
        <v/>
      </c>
      <c r="F638" s="8">
        <f>IF($B638="","",IFERROR(INDEX(PM_Brand,MATCH($B638,PM_ID,0)),""))</f>
        <v/>
      </c>
      <c r="G638" s="8">
        <f>IF($B638="","",IFERROR(INDEX(PM_Model,MATCH($B638,PM_ID,0)),""))</f>
        <v/>
      </c>
      <c r="H638" s="5" t="n"/>
      <c r="I638" s="10" t="n"/>
      <c r="J638" s="9" t="n"/>
      <c r="K638" s="5" t="n"/>
      <c r="L638" s="5" t="n"/>
      <c r="M638" s="5" t="n"/>
      <c r="N638" s="5" t="n"/>
      <c r="O638" s="8">
        <f>IF($B638="","",IF(AND($A638&lt;&gt;"",COUNTIF(INV_ID,$A638)&gt;1),"⚠ this Unit ID already exists",IF(AND($H638&lt;&gt;"",COUNTIF(INV_Serial,$H638)&gt;1),"⚠ this serial already exists",IF(COUNTIFS(INV_Product,$B638,INV_No,$C638)&gt;1,"⚠ piece number reused",""))))</f>
        <v/>
      </c>
      <c r="P638" s="5" t="n"/>
    </row>
    <row r="639">
      <c r="A639" s="8">
        <f>IF(OR($B639="",$C639=""),"",IFERROR(INDEX(PM_Short,MATCH($B639,PM_ID,0))&amp;"-"&amp;TEXT($C639,"00"),"?? no such product"))</f>
        <v/>
      </c>
      <c r="B639" s="5" t="n"/>
      <c r="C639" s="5" t="n"/>
      <c r="D639" s="8">
        <f>IF($B639="","",IFERROR(INDEX(PM_Category,MATCH($B639,PM_ID,0)),""))</f>
        <v/>
      </c>
      <c r="E639" s="8">
        <f>IF($B639="","",IFERROR(INDEX(PM_Subcategory,MATCH($B639,PM_ID,0)),""))</f>
        <v/>
      </c>
      <c r="F639" s="8">
        <f>IF($B639="","",IFERROR(INDEX(PM_Brand,MATCH($B639,PM_ID,0)),""))</f>
        <v/>
      </c>
      <c r="G639" s="8">
        <f>IF($B639="","",IFERROR(INDEX(PM_Model,MATCH($B639,PM_ID,0)),""))</f>
        <v/>
      </c>
      <c r="H639" s="5" t="n"/>
      <c r="I639" s="10" t="n"/>
      <c r="J639" s="9" t="n"/>
      <c r="K639" s="5" t="n"/>
      <c r="L639" s="5" t="n"/>
      <c r="M639" s="5" t="n"/>
      <c r="N639" s="5" t="n"/>
      <c r="O639" s="8">
        <f>IF($B639="","",IF(AND($A639&lt;&gt;"",COUNTIF(INV_ID,$A639)&gt;1),"⚠ this Unit ID already exists",IF(AND($H639&lt;&gt;"",COUNTIF(INV_Serial,$H639)&gt;1),"⚠ this serial already exists",IF(COUNTIFS(INV_Product,$B639,INV_No,$C639)&gt;1,"⚠ piece number reused",""))))</f>
        <v/>
      </c>
      <c r="P639" s="5" t="n"/>
    </row>
    <row r="640">
      <c r="A640" s="8">
        <f>IF(OR($B640="",$C640=""),"",IFERROR(INDEX(PM_Short,MATCH($B640,PM_ID,0))&amp;"-"&amp;TEXT($C640,"00"),"?? no such product"))</f>
        <v/>
      </c>
      <c r="B640" s="5" t="n"/>
      <c r="C640" s="5" t="n"/>
      <c r="D640" s="8">
        <f>IF($B640="","",IFERROR(INDEX(PM_Category,MATCH($B640,PM_ID,0)),""))</f>
        <v/>
      </c>
      <c r="E640" s="8">
        <f>IF($B640="","",IFERROR(INDEX(PM_Subcategory,MATCH($B640,PM_ID,0)),""))</f>
        <v/>
      </c>
      <c r="F640" s="8">
        <f>IF($B640="","",IFERROR(INDEX(PM_Brand,MATCH($B640,PM_ID,0)),""))</f>
        <v/>
      </c>
      <c r="G640" s="8">
        <f>IF($B640="","",IFERROR(INDEX(PM_Model,MATCH($B640,PM_ID,0)),""))</f>
        <v/>
      </c>
      <c r="H640" s="5" t="n"/>
      <c r="I640" s="10" t="n"/>
      <c r="J640" s="9" t="n"/>
      <c r="K640" s="5" t="n"/>
      <c r="L640" s="5" t="n"/>
      <c r="M640" s="5" t="n"/>
      <c r="N640" s="5" t="n"/>
      <c r="O640" s="8">
        <f>IF($B640="","",IF(AND($A640&lt;&gt;"",COUNTIF(INV_ID,$A640)&gt;1),"⚠ this Unit ID already exists",IF(AND($H640&lt;&gt;"",COUNTIF(INV_Serial,$H640)&gt;1),"⚠ this serial already exists",IF(COUNTIFS(INV_Product,$B640,INV_No,$C640)&gt;1,"⚠ piece number reused",""))))</f>
        <v/>
      </c>
      <c r="P640" s="5" t="n"/>
    </row>
    <row r="641">
      <c r="A641" s="8">
        <f>IF(OR($B641="",$C641=""),"",IFERROR(INDEX(PM_Short,MATCH($B641,PM_ID,0))&amp;"-"&amp;TEXT($C641,"00"),"?? no such product"))</f>
        <v/>
      </c>
      <c r="B641" s="5" t="n"/>
      <c r="C641" s="5" t="n"/>
      <c r="D641" s="8">
        <f>IF($B641="","",IFERROR(INDEX(PM_Category,MATCH($B641,PM_ID,0)),""))</f>
        <v/>
      </c>
      <c r="E641" s="8">
        <f>IF($B641="","",IFERROR(INDEX(PM_Subcategory,MATCH($B641,PM_ID,0)),""))</f>
        <v/>
      </c>
      <c r="F641" s="8">
        <f>IF($B641="","",IFERROR(INDEX(PM_Brand,MATCH($B641,PM_ID,0)),""))</f>
        <v/>
      </c>
      <c r="G641" s="8">
        <f>IF($B641="","",IFERROR(INDEX(PM_Model,MATCH($B641,PM_ID,0)),""))</f>
        <v/>
      </c>
      <c r="H641" s="5" t="n"/>
      <c r="I641" s="10" t="n"/>
      <c r="J641" s="9" t="n"/>
      <c r="K641" s="5" t="n"/>
      <c r="L641" s="5" t="n"/>
      <c r="M641" s="5" t="n"/>
      <c r="N641" s="5" t="n"/>
      <c r="O641" s="8">
        <f>IF($B641="","",IF(AND($A641&lt;&gt;"",COUNTIF(INV_ID,$A641)&gt;1),"⚠ this Unit ID already exists",IF(AND($H641&lt;&gt;"",COUNTIF(INV_Serial,$H641)&gt;1),"⚠ this serial already exists",IF(COUNTIFS(INV_Product,$B641,INV_No,$C641)&gt;1,"⚠ piece number reused",""))))</f>
        <v/>
      </c>
      <c r="P641" s="5" t="n"/>
    </row>
    <row r="642">
      <c r="A642" s="8">
        <f>IF(OR($B642="",$C642=""),"",IFERROR(INDEX(PM_Short,MATCH($B642,PM_ID,0))&amp;"-"&amp;TEXT($C642,"00"),"?? no such product"))</f>
        <v/>
      </c>
      <c r="B642" s="5" t="n"/>
      <c r="C642" s="5" t="n"/>
      <c r="D642" s="8">
        <f>IF($B642="","",IFERROR(INDEX(PM_Category,MATCH($B642,PM_ID,0)),""))</f>
        <v/>
      </c>
      <c r="E642" s="8">
        <f>IF($B642="","",IFERROR(INDEX(PM_Subcategory,MATCH($B642,PM_ID,0)),""))</f>
        <v/>
      </c>
      <c r="F642" s="8">
        <f>IF($B642="","",IFERROR(INDEX(PM_Brand,MATCH($B642,PM_ID,0)),""))</f>
        <v/>
      </c>
      <c r="G642" s="8">
        <f>IF($B642="","",IFERROR(INDEX(PM_Model,MATCH($B642,PM_ID,0)),""))</f>
        <v/>
      </c>
      <c r="H642" s="5" t="n"/>
      <c r="I642" s="10" t="n"/>
      <c r="J642" s="9" t="n"/>
      <c r="K642" s="5" t="n"/>
      <c r="L642" s="5" t="n"/>
      <c r="M642" s="5" t="n"/>
      <c r="N642" s="5" t="n"/>
      <c r="O642" s="8">
        <f>IF($B642="","",IF(AND($A642&lt;&gt;"",COUNTIF(INV_ID,$A642)&gt;1),"⚠ this Unit ID already exists",IF(AND($H642&lt;&gt;"",COUNTIF(INV_Serial,$H642)&gt;1),"⚠ this serial already exists",IF(COUNTIFS(INV_Product,$B642,INV_No,$C642)&gt;1,"⚠ piece number reused",""))))</f>
        <v/>
      </c>
      <c r="P642" s="5" t="n"/>
    </row>
    <row r="643">
      <c r="A643" s="8">
        <f>IF(OR($B643="",$C643=""),"",IFERROR(INDEX(PM_Short,MATCH($B643,PM_ID,0))&amp;"-"&amp;TEXT($C643,"00"),"?? no such product"))</f>
        <v/>
      </c>
      <c r="B643" s="5" t="n"/>
      <c r="C643" s="5" t="n"/>
      <c r="D643" s="8">
        <f>IF($B643="","",IFERROR(INDEX(PM_Category,MATCH($B643,PM_ID,0)),""))</f>
        <v/>
      </c>
      <c r="E643" s="8">
        <f>IF($B643="","",IFERROR(INDEX(PM_Subcategory,MATCH($B643,PM_ID,0)),""))</f>
        <v/>
      </c>
      <c r="F643" s="8">
        <f>IF($B643="","",IFERROR(INDEX(PM_Brand,MATCH($B643,PM_ID,0)),""))</f>
        <v/>
      </c>
      <c r="G643" s="8">
        <f>IF($B643="","",IFERROR(INDEX(PM_Model,MATCH($B643,PM_ID,0)),""))</f>
        <v/>
      </c>
      <c r="H643" s="5" t="n"/>
      <c r="I643" s="10" t="n"/>
      <c r="J643" s="9" t="n"/>
      <c r="K643" s="5" t="n"/>
      <c r="L643" s="5" t="n"/>
      <c r="M643" s="5" t="n"/>
      <c r="N643" s="5" t="n"/>
      <c r="O643" s="8">
        <f>IF($B643="","",IF(AND($A643&lt;&gt;"",COUNTIF(INV_ID,$A643)&gt;1),"⚠ this Unit ID already exists",IF(AND($H643&lt;&gt;"",COUNTIF(INV_Serial,$H643)&gt;1),"⚠ this serial already exists",IF(COUNTIFS(INV_Product,$B643,INV_No,$C643)&gt;1,"⚠ piece number reused",""))))</f>
        <v/>
      </c>
      <c r="P643" s="5" t="n"/>
    </row>
    <row r="644">
      <c r="A644" s="8">
        <f>IF(OR($B644="",$C644=""),"",IFERROR(INDEX(PM_Short,MATCH($B644,PM_ID,0))&amp;"-"&amp;TEXT($C644,"00"),"?? no such product"))</f>
        <v/>
      </c>
      <c r="B644" s="5" t="n"/>
      <c r="C644" s="5" t="n"/>
      <c r="D644" s="8">
        <f>IF($B644="","",IFERROR(INDEX(PM_Category,MATCH($B644,PM_ID,0)),""))</f>
        <v/>
      </c>
      <c r="E644" s="8">
        <f>IF($B644="","",IFERROR(INDEX(PM_Subcategory,MATCH($B644,PM_ID,0)),""))</f>
        <v/>
      </c>
      <c r="F644" s="8">
        <f>IF($B644="","",IFERROR(INDEX(PM_Brand,MATCH($B644,PM_ID,0)),""))</f>
        <v/>
      </c>
      <c r="G644" s="8">
        <f>IF($B644="","",IFERROR(INDEX(PM_Model,MATCH($B644,PM_ID,0)),""))</f>
        <v/>
      </c>
      <c r="H644" s="5" t="n"/>
      <c r="I644" s="10" t="n"/>
      <c r="J644" s="9" t="n"/>
      <c r="K644" s="5" t="n"/>
      <c r="L644" s="5" t="n"/>
      <c r="M644" s="5" t="n"/>
      <c r="N644" s="5" t="n"/>
      <c r="O644" s="8">
        <f>IF($B644="","",IF(AND($A644&lt;&gt;"",COUNTIF(INV_ID,$A644)&gt;1),"⚠ this Unit ID already exists",IF(AND($H644&lt;&gt;"",COUNTIF(INV_Serial,$H644)&gt;1),"⚠ this serial already exists",IF(COUNTIFS(INV_Product,$B644,INV_No,$C644)&gt;1,"⚠ piece number reused",""))))</f>
        <v/>
      </c>
      <c r="P644" s="5" t="n"/>
    </row>
    <row r="645">
      <c r="A645" s="8">
        <f>IF(OR($B645="",$C645=""),"",IFERROR(INDEX(PM_Short,MATCH($B645,PM_ID,0))&amp;"-"&amp;TEXT($C645,"00"),"?? no such product"))</f>
        <v/>
      </c>
      <c r="B645" s="5" t="n"/>
      <c r="C645" s="5" t="n"/>
      <c r="D645" s="8">
        <f>IF($B645="","",IFERROR(INDEX(PM_Category,MATCH($B645,PM_ID,0)),""))</f>
        <v/>
      </c>
      <c r="E645" s="8">
        <f>IF($B645="","",IFERROR(INDEX(PM_Subcategory,MATCH($B645,PM_ID,0)),""))</f>
        <v/>
      </c>
      <c r="F645" s="8">
        <f>IF($B645="","",IFERROR(INDEX(PM_Brand,MATCH($B645,PM_ID,0)),""))</f>
        <v/>
      </c>
      <c r="G645" s="8">
        <f>IF($B645="","",IFERROR(INDEX(PM_Model,MATCH($B645,PM_ID,0)),""))</f>
        <v/>
      </c>
      <c r="H645" s="5" t="n"/>
      <c r="I645" s="10" t="n"/>
      <c r="J645" s="9" t="n"/>
      <c r="K645" s="5" t="n"/>
      <c r="L645" s="5" t="n"/>
      <c r="M645" s="5" t="n"/>
      <c r="N645" s="5" t="n"/>
      <c r="O645" s="8">
        <f>IF($B645="","",IF(AND($A645&lt;&gt;"",COUNTIF(INV_ID,$A645)&gt;1),"⚠ this Unit ID already exists",IF(AND($H645&lt;&gt;"",COUNTIF(INV_Serial,$H645)&gt;1),"⚠ this serial already exists",IF(COUNTIFS(INV_Product,$B645,INV_No,$C645)&gt;1,"⚠ piece number reused",""))))</f>
        <v/>
      </c>
      <c r="P645" s="5" t="n"/>
    </row>
    <row r="646">
      <c r="A646" s="8">
        <f>IF(OR($B646="",$C646=""),"",IFERROR(INDEX(PM_Short,MATCH($B646,PM_ID,0))&amp;"-"&amp;TEXT($C646,"00"),"?? no such product"))</f>
        <v/>
      </c>
      <c r="B646" s="5" t="n"/>
      <c r="C646" s="5" t="n"/>
      <c r="D646" s="8">
        <f>IF($B646="","",IFERROR(INDEX(PM_Category,MATCH($B646,PM_ID,0)),""))</f>
        <v/>
      </c>
      <c r="E646" s="8">
        <f>IF($B646="","",IFERROR(INDEX(PM_Subcategory,MATCH($B646,PM_ID,0)),""))</f>
        <v/>
      </c>
      <c r="F646" s="8">
        <f>IF($B646="","",IFERROR(INDEX(PM_Brand,MATCH($B646,PM_ID,0)),""))</f>
        <v/>
      </c>
      <c r="G646" s="8">
        <f>IF($B646="","",IFERROR(INDEX(PM_Model,MATCH($B646,PM_ID,0)),""))</f>
        <v/>
      </c>
      <c r="H646" s="5" t="n"/>
      <c r="I646" s="10" t="n"/>
      <c r="J646" s="9" t="n"/>
      <c r="K646" s="5" t="n"/>
      <c r="L646" s="5" t="n"/>
      <c r="M646" s="5" t="n"/>
      <c r="N646" s="5" t="n"/>
      <c r="O646" s="8">
        <f>IF($B646="","",IF(AND($A646&lt;&gt;"",COUNTIF(INV_ID,$A646)&gt;1),"⚠ this Unit ID already exists",IF(AND($H646&lt;&gt;"",COUNTIF(INV_Serial,$H646)&gt;1),"⚠ this serial already exists",IF(COUNTIFS(INV_Product,$B646,INV_No,$C646)&gt;1,"⚠ piece number reused",""))))</f>
        <v/>
      </c>
      <c r="P646" s="5" t="n"/>
    </row>
    <row r="647">
      <c r="A647" s="8">
        <f>IF(OR($B647="",$C647=""),"",IFERROR(INDEX(PM_Short,MATCH($B647,PM_ID,0))&amp;"-"&amp;TEXT($C647,"00"),"?? no such product"))</f>
        <v/>
      </c>
      <c r="B647" s="5" t="n"/>
      <c r="C647" s="5" t="n"/>
      <c r="D647" s="8">
        <f>IF($B647="","",IFERROR(INDEX(PM_Category,MATCH($B647,PM_ID,0)),""))</f>
        <v/>
      </c>
      <c r="E647" s="8">
        <f>IF($B647="","",IFERROR(INDEX(PM_Subcategory,MATCH($B647,PM_ID,0)),""))</f>
        <v/>
      </c>
      <c r="F647" s="8">
        <f>IF($B647="","",IFERROR(INDEX(PM_Brand,MATCH($B647,PM_ID,0)),""))</f>
        <v/>
      </c>
      <c r="G647" s="8">
        <f>IF($B647="","",IFERROR(INDEX(PM_Model,MATCH($B647,PM_ID,0)),""))</f>
        <v/>
      </c>
      <c r="H647" s="5" t="n"/>
      <c r="I647" s="10" t="n"/>
      <c r="J647" s="9" t="n"/>
      <c r="K647" s="5" t="n"/>
      <c r="L647" s="5" t="n"/>
      <c r="M647" s="5" t="n"/>
      <c r="N647" s="5" t="n"/>
      <c r="O647" s="8">
        <f>IF($B647="","",IF(AND($A647&lt;&gt;"",COUNTIF(INV_ID,$A647)&gt;1),"⚠ this Unit ID already exists",IF(AND($H647&lt;&gt;"",COUNTIF(INV_Serial,$H647)&gt;1),"⚠ this serial already exists",IF(COUNTIFS(INV_Product,$B647,INV_No,$C647)&gt;1,"⚠ piece number reused",""))))</f>
        <v/>
      </c>
      <c r="P647" s="5" t="n"/>
    </row>
    <row r="648">
      <c r="A648" s="8">
        <f>IF(OR($B648="",$C648=""),"",IFERROR(INDEX(PM_Short,MATCH($B648,PM_ID,0))&amp;"-"&amp;TEXT($C648,"00"),"?? no such product"))</f>
        <v/>
      </c>
      <c r="B648" s="5" t="n"/>
      <c r="C648" s="5" t="n"/>
      <c r="D648" s="8">
        <f>IF($B648="","",IFERROR(INDEX(PM_Category,MATCH($B648,PM_ID,0)),""))</f>
        <v/>
      </c>
      <c r="E648" s="8">
        <f>IF($B648="","",IFERROR(INDEX(PM_Subcategory,MATCH($B648,PM_ID,0)),""))</f>
        <v/>
      </c>
      <c r="F648" s="8">
        <f>IF($B648="","",IFERROR(INDEX(PM_Brand,MATCH($B648,PM_ID,0)),""))</f>
        <v/>
      </c>
      <c r="G648" s="8">
        <f>IF($B648="","",IFERROR(INDEX(PM_Model,MATCH($B648,PM_ID,0)),""))</f>
        <v/>
      </c>
      <c r="H648" s="5" t="n"/>
      <c r="I648" s="10" t="n"/>
      <c r="J648" s="9" t="n"/>
      <c r="K648" s="5" t="n"/>
      <c r="L648" s="5" t="n"/>
      <c r="M648" s="5" t="n"/>
      <c r="N648" s="5" t="n"/>
      <c r="O648" s="8">
        <f>IF($B648="","",IF(AND($A648&lt;&gt;"",COUNTIF(INV_ID,$A648)&gt;1),"⚠ this Unit ID already exists",IF(AND($H648&lt;&gt;"",COUNTIF(INV_Serial,$H648)&gt;1),"⚠ this serial already exists",IF(COUNTIFS(INV_Product,$B648,INV_No,$C648)&gt;1,"⚠ piece number reused",""))))</f>
        <v/>
      </c>
      <c r="P648" s="5" t="n"/>
    </row>
    <row r="649">
      <c r="A649" s="8">
        <f>IF(OR($B649="",$C649=""),"",IFERROR(INDEX(PM_Short,MATCH($B649,PM_ID,0))&amp;"-"&amp;TEXT($C649,"00"),"?? no such product"))</f>
        <v/>
      </c>
      <c r="B649" s="5" t="n"/>
      <c r="C649" s="5" t="n"/>
      <c r="D649" s="8">
        <f>IF($B649="","",IFERROR(INDEX(PM_Category,MATCH($B649,PM_ID,0)),""))</f>
        <v/>
      </c>
      <c r="E649" s="8">
        <f>IF($B649="","",IFERROR(INDEX(PM_Subcategory,MATCH($B649,PM_ID,0)),""))</f>
        <v/>
      </c>
      <c r="F649" s="8">
        <f>IF($B649="","",IFERROR(INDEX(PM_Brand,MATCH($B649,PM_ID,0)),""))</f>
        <v/>
      </c>
      <c r="G649" s="8">
        <f>IF($B649="","",IFERROR(INDEX(PM_Model,MATCH($B649,PM_ID,0)),""))</f>
        <v/>
      </c>
      <c r="H649" s="5" t="n"/>
      <c r="I649" s="10" t="n"/>
      <c r="J649" s="9" t="n"/>
      <c r="K649" s="5" t="n"/>
      <c r="L649" s="5" t="n"/>
      <c r="M649" s="5" t="n"/>
      <c r="N649" s="5" t="n"/>
      <c r="O649" s="8">
        <f>IF($B649="","",IF(AND($A649&lt;&gt;"",COUNTIF(INV_ID,$A649)&gt;1),"⚠ this Unit ID already exists",IF(AND($H649&lt;&gt;"",COUNTIF(INV_Serial,$H649)&gt;1),"⚠ this serial already exists",IF(COUNTIFS(INV_Product,$B649,INV_No,$C649)&gt;1,"⚠ piece number reused",""))))</f>
        <v/>
      </c>
      <c r="P649" s="5" t="n"/>
    </row>
    <row r="650">
      <c r="A650" s="8">
        <f>IF(OR($B650="",$C650=""),"",IFERROR(INDEX(PM_Short,MATCH($B650,PM_ID,0))&amp;"-"&amp;TEXT($C650,"00"),"?? no such product"))</f>
        <v/>
      </c>
      <c r="B650" s="5" t="n"/>
      <c r="C650" s="5" t="n"/>
      <c r="D650" s="8">
        <f>IF($B650="","",IFERROR(INDEX(PM_Category,MATCH($B650,PM_ID,0)),""))</f>
        <v/>
      </c>
      <c r="E650" s="8">
        <f>IF($B650="","",IFERROR(INDEX(PM_Subcategory,MATCH($B650,PM_ID,0)),""))</f>
        <v/>
      </c>
      <c r="F650" s="8">
        <f>IF($B650="","",IFERROR(INDEX(PM_Brand,MATCH($B650,PM_ID,0)),""))</f>
        <v/>
      </c>
      <c r="G650" s="8">
        <f>IF($B650="","",IFERROR(INDEX(PM_Model,MATCH($B650,PM_ID,0)),""))</f>
        <v/>
      </c>
      <c r="H650" s="5" t="n"/>
      <c r="I650" s="10" t="n"/>
      <c r="J650" s="9" t="n"/>
      <c r="K650" s="5" t="n"/>
      <c r="L650" s="5" t="n"/>
      <c r="M650" s="5" t="n"/>
      <c r="N650" s="5" t="n"/>
      <c r="O650" s="8">
        <f>IF($B650="","",IF(AND($A650&lt;&gt;"",COUNTIF(INV_ID,$A650)&gt;1),"⚠ this Unit ID already exists",IF(AND($H650&lt;&gt;"",COUNTIF(INV_Serial,$H650)&gt;1),"⚠ this serial already exists",IF(COUNTIFS(INV_Product,$B650,INV_No,$C650)&gt;1,"⚠ piece number reused",""))))</f>
        <v/>
      </c>
      <c r="P650" s="5" t="n"/>
    </row>
    <row r="651">
      <c r="A651" s="8">
        <f>IF(OR($B651="",$C651=""),"",IFERROR(INDEX(PM_Short,MATCH($B651,PM_ID,0))&amp;"-"&amp;TEXT($C651,"00"),"?? no such product"))</f>
        <v/>
      </c>
      <c r="B651" s="5" t="n"/>
      <c r="C651" s="5" t="n"/>
      <c r="D651" s="8">
        <f>IF($B651="","",IFERROR(INDEX(PM_Category,MATCH($B651,PM_ID,0)),""))</f>
        <v/>
      </c>
      <c r="E651" s="8">
        <f>IF($B651="","",IFERROR(INDEX(PM_Subcategory,MATCH($B651,PM_ID,0)),""))</f>
        <v/>
      </c>
      <c r="F651" s="8">
        <f>IF($B651="","",IFERROR(INDEX(PM_Brand,MATCH($B651,PM_ID,0)),""))</f>
        <v/>
      </c>
      <c r="G651" s="8">
        <f>IF($B651="","",IFERROR(INDEX(PM_Model,MATCH($B651,PM_ID,0)),""))</f>
        <v/>
      </c>
      <c r="H651" s="5" t="n"/>
      <c r="I651" s="10" t="n"/>
      <c r="J651" s="9" t="n"/>
      <c r="K651" s="5" t="n"/>
      <c r="L651" s="5" t="n"/>
      <c r="M651" s="5" t="n"/>
      <c r="N651" s="5" t="n"/>
      <c r="O651" s="8">
        <f>IF($B651="","",IF(AND($A651&lt;&gt;"",COUNTIF(INV_ID,$A651)&gt;1),"⚠ this Unit ID already exists",IF(AND($H651&lt;&gt;"",COUNTIF(INV_Serial,$H651)&gt;1),"⚠ this serial already exists",IF(COUNTIFS(INV_Product,$B651,INV_No,$C651)&gt;1,"⚠ piece number reused",""))))</f>
        <v/>
      </c>
      <c r="P651" s="5" t="n"/>
    </row>
    <row r="652">
      <c r="A652" s="8">
        <f>IF(OR($B652="",$C652=""),"",IFERROR(INDEX(PM_Short,MATCH($B652,PM_ID,0))&amp;"-"&amp;TEXT($C652,"00"),"?? no such product"))</f>
        <v/>
      </c>
      <c r="B652" s="5" t="n"/>
      <c r="C652" s="5" t="n"/>
      <c r="D652" s="8">
        <f>IF($B652="","",IFERROR(INDEX(PM_Category,MATCH($B652,PM_ID,0)),""))</f>
        <v/>
      </c>
      <c r="E652" s="8">
        <f>IF($B652="","",IFERROR(INDEX(PM_Subcategory,MATCH($B652,PM_ID,0)),""))</f>
        <v/>
      </c>
      <c r="F652" s="8">
        <f>IF($B652="","",IFERROR(INDEX(PM_Brand,MATCH($B652,PM_ID,0)),""))</f>
        <v/>
      </c>
      <c r="G652" s="8">
        <f>IF($B652="","",IFERROR(INDEX(PM_Model,MATCH($B652,PM_ID,0)),""))</f>
        <v/>
      </c>
      <c r="H652" s="5" t="n"/>
      <c r="I652" s="10" t="n"/>
      <c r="J652" s="9" t="n"/>
      <c r="K652" s="5" t="n"/>
      <c r="L652" s="5" t="n"/>
      <c r="M652" s="5" t="n"/>
      <c r="N652" s="5" t="n"/>
      <c r="O652" s="8">
        <f>IF($B652="","",IF(AND($A652&lt;&gt;"",COUNTIF(INV_ID,$A652)&gt;1),"⚠ this Unit ID already exists",IF(AND($H652&lt;&gt;"",COUNTIF(INV_Serial,$H652)&gt;1),"⚠ this serial already exists",IF(COUNTIFS(INV_Product,$B652,INV_No,$C652)&gt;1,"⚠ piece number reused",""))))</f>
        <v/>
      </c>
      <c r="P652" s="5" t="n"/>
    </row>
    <row r="653">
      <c r="A653" s="8">
        <f>IF(OR($B653="",$C653=""),"",IFERROR(INDEX(PM_Short,MATCH($B653,PM_ID,0))&amp;"-"&amp;TEXT($C653,"00"),"?? no such product"))</f>
        <v/>
      </c>
      <c r="B653" s="5" t="n"/>
      <c r="C653" s="5" t="n"/>
      <c r="D653" s="8">
        <f>IF($B653="","",IFERROR(INDEX(PM_Category,MATCH($B653,PM_ID,0)),""))</f>
        <v/>
      </c>
      <c r="E653" s="8">
        <f>IF($B653="","",IFERROR(INDEX(PM_Subcategory,MATCH($B653,PM_ID,0)),""))</f>
        <v/>
      </c>
      <c r="F653" s="8">
        <f>IF($B653="","",IFERROR(INDEX(PM_Brand,MATCH($B653,PM_ID,0)),""))</f>
        <v/>
      </c>
      <c r="G653" s="8">
        <f>IF($B653="","",IFERROR(INDEX(PM_Model,MATCH($B653,PM_ID,0)),""))</f>
        <v/>
      </c>
      <c r="H653" s="5" t="n"/>
      <c r="I653" s="10" t="n"/>
      <c r="J653" s="9" t="n"/>
      <c r="K653" s="5" t="n"/>
      <c r="L653" s="5" t="n"/>
      <c r="M653" s="5" t="n"/>
      <c r="N653" s="5" t="n"/>
      <c r="O653" s="8">
        <f>IF($B653="","",IF(AND($A653&lt;&gt;"",COUNTIF(INV_ID,$A653)&gt;1),"⚠ this Unit ID already exists",IF(AND($H653&lt;&gt;"",COUNTIF(INV_Serial,$H653)&gt;1),"⚠ this serial already exists",IF(COUNTIFS(INV_Product,$B653,INV_No,$C653)&gt;1,"⚠ piece number reused",""))))</f>
        <v/>
      </c>
      <c r="P653" s="5" t="n"/>
    </row>
    <row r="654">
      <c r="A654" s="8">
        <f>IF(OR($B654="",$C654=""),"",IFERROR(INDEX(PM_Short,MATCH($B654,PM_ID,0))&amp;"-"&amp;TEXT($C654,"00"),"?? no such product"))</f>
        <v/>
      </c>
      <c r="B654" s="5" t="n"/>
      <c r="C654" s="5" t="n"/>
      <c r="D654" s="8">
        <f>IF($B654="","",IFERROR(INDEX(PM_Category,MATCH($B654,PM_ID,0)),""))</f>
        <v/>
      </c>
      <c r="E654" s="8">
        <f>IF($B654="","",IFERROR(INDEX(PM_Subcategory,MATCH($B654,PM_ID,0)),""))</f>
        <v/>
      </c>
      <c r="F654" s="8">
        <f>IF($B654="","",IFERROR(INDEX(PM_Brand,MATCH($B654,PM_ID,0)),""))</f>
        <v/>
      </c>
      <c r="G654" s="8">
        <f>IF($B654="","",IFERROR(INDEX(PM_Model,MATCH($B654,PM_ID,0)),""))</f>
        <v/>
      </c>
      <c r="H654" s="5" t="n"/>
      <c r="I654" s="10" t="n"/>
      <c r="J654" s="9" t="n"/>
      <c r="K654" s="5" t="n"/>
      <c r="L654" s="5" t="n"/>
      <c r="M654" s="5" t="n"/>
      <c r="N654" s="5" t="n"/>
      <c r="O654" s="8">
        <f>IF($B654="","",IF(AND($A654&lt;&gt;"",COUNTIF(INV_ID,$A654)&gt;1),"⚠ this Unit ID already exists",IF(AND($H654&lt;&gt;"",COUNTIF(INV_Serial,$H654)&gt;1),"⚠ this serial already exists",IF(COUNTIFS(INV_Product,$B654,INV_No,$C654)&gt;1,"⚠ piece number reused",""))))</f>
        <v/>
      </c>
      <c r="P654" s="5" t="n"/>
    </row>
    <row r="655">
      <c r="A655" s="8">
        <f>IF(OR($B655="",$C655=""),"",IFERROR(INDEX(PM_Short,MATCH($B655,PM_ID,0))&amp;"-"&amp;TEXT($C655,"00"),"?? no such product"))</f>
        <v/>
      </c>
      <c r="B655" s="5" t="n"/>
      <c r="C655" s="5" t="n"/>
      <c r="D655" s="8">
        <f>IF($B655="","",IFERROR(INDEX(PM_Category,MATCH($B655,PM_ID,0)),""))</f>
        <v/>
      </c>
      <c r="E655" s="8">
        <f>IF($B655="","",IFERROR(INDEX(PM_Subcategory,MATCH($B655,PM_ID,0)),""))</f>
        <v/>
      </c>
      <c r="F655" s="8">
        <f>IF($B655="","",IFERROR(INDEX(PM_Brand,MATCH($B655,PM_ID,0)),""))</f>
        <v/>
      </c>
      <c r="G655" s="8">
        <f>IF($B655="","",IFERROR(INDEX(PM_Model,MATCH($B655,PM_ID,0)),""))</f>
        <v/>
      </c>
      <c r="H655" s="5" t="n"/>
      <c r="I655" s="10" t="n"/>
      <c r="J655" s="9" t="n"/>
      <c r="K655" s="5" t="n"/>
      <c r="L655" s="5" t="n"/>
      <c r="M655" s="5" t="n"/>
      <c r="N655" s="5" t="n"/>
      <c r="O655" s="8">
        <f>IF($B655="","",IF(AND($A655&lt;&gt;"",COUNTIF(INV_ID,$A655)&gt;1),"⚠ this Unit ID already exists",IF(AND($H655&lt;&gt;"",COUNTIF(INV_Serial,$H655)&gt;1),"⚠ this serial already exists",IF(COUNTIFS(INV_Product,$B655,INV_No,$C655)&gt;1,"⚠ piece number reused",""))))</f>
        <v/>
      </c>
      <c r="P655" s="5" t="n"/>
    </row>
    <row r="656">
      <c r="A656" s="8">
        <f>IF(OR($B656="",$C656=""),"",IFERROR(INDEX(PM_Short,MATCH($B656,PM_ID,0))&amp;"-"&amp;TEXT($C656,"00"),"?? no such product"))</f>
        <v/>
      </c>
      <c r="B656" s="5" t="n"/>
      <c r="C656" s="5" t="n"/>
      <c r="D656" s="8">
        <f>IF($B656="","",IFERROR(INDEX(PM_Category,MATCH($B656,PM_ID,0)),""))</f>
        <v/>
      </c>
      <c r="E656" s="8">
        <f>IF($B656="","",IFERROR(INDEX(PM_Subcategory,MATCH($B656,PM_ID,0)),""))</f>
        <v/>
      </c>
      <c r="F656" s="8">
        <f>IF($B656="","",IFERROR(INDEX(PM_Brand,MATCH($B656,PM_ID,0)),""))</f>
        <v/>
      </c>
      <c r="G656" s="8">
        <f>IF($B656="","",IFERROR(INDEX(PM_Model,MATCH($B656,PM_ID,0)),""))</f>
        <v/>
      </c>
      <c r="H656" s="5" t="n"/>
      <c r="I656" s="10" t="n"/>
      <c r="J656" s="9" t="n"/>
      <c r="K656" s="5" t="n"/>
      <c r="L656" s="5" t="n"/>
      <c r="M656" s="5" t="n"/>
      <c r="N656" s="5" t="n"/>
      <c r="O656" s="8">
        <f>IF($B656="","",IF(AND($A656&lt;&gt;"",COUNTIF(INV_ID,$A656)&gt;1),"⚠ this Unit ID already exists",IF(AND($H656&lt;&gt;"",COUNTIF(INV_Serial,$H656)&gt;1),"⚠ this serial already exists",IF(COUNTIFS(INV_Product,$B656,INV_No,$C656)&gt;1,"⚠ piece number reused",""))))</f>
        <v/>
      </c>
      <c r="P656" s="5" t="n"/>
    </row>
    <row r="657">
      <c r="A657" s="8">
        <f>IF(OR($B657="",$C657=""),"",IFERROR(INDEX(PM_Short,MATCH($B657,PM_ID,0))&amp;"-"&amp;TEXT($C657,"00"),"?? no such product"))</f>
        <v/>
      </c>
      <c r="B657" s="5" t="n"/>
      <c r="C657" s="5" t="n"/>
      <c r="D657" s="8">
        <f>IF($B657="","",IFERROR(INDEX(PM_Category,MATCH($B657,PM_ID,0)),""))</f>
        <v/>
      </c>
      <c r="E657" s="8">
        <f>IF($B657="","",IFERROR(INDEX(PM_Subcategory,MATCH($B657,PM_ID,0)),""))</f>
        <v/>
      </c>
      <c r="F657" s="8">
        <f>IF($B657="","",IFERROR(INDEX(PM_Brand,MATCH($B657,PM_ID,0)),""))</f>
        <v/>
      </c>
      <c r="G657" s="8">
        <f>IF($B657="","",IFERROR(INDEX(PM_Model,MATCH($B657,PM_ID,0)),""))</f>
        <v/>
      </c>
      <c r="H657" s="5" t="n"/>
      <c r="I657" s="10" t="n"/>
      <c r="J657" s="9" t="n"/>
      <c r="K657" s="5" t="n"/>
      <c r="L657" s="5" t="n"/>
      <c r="M657" s="5" t="n"/>
      <c r="N657" s="5" t="n"/>
      <c r="O657" s="8">
        <f>IF($B657="","",IF(AND($A657&lt;&gt;"",COUNTIF(INV_ID,$A657)&gt;1),"⚠ this Unit ID already exists",IF(AND($H657&lt;&gt;"",COUNTIF(INV_Serial,$H657)&gt;1),"⚠ this serial already exists",IF(COUNTIFS(INV_Product,$B657,INV_No,$C657)&gt;1,"⚠ piece number reused",""))))</f>
        <v/>
      </c>
      <c r="P657" s="5" t="n"/>
    </row>
    <row r="658">
      <c r="A658" s="8">
        <f>IF(OR($B658="",$C658=""),"",IFERROR(INDEX(PM_Short,MATCH($B658,PM_ID,0))&amp;"-"&amp;TEXT($C658,"00"),"?? no such product"))</f>
        <v/>
      </c>
      <c r="B658" s="5" t="n"/>
      <c r="C658" s="5" t="n"/>
      <c r="D658" s="8">
        <f>IF($B658="","",IFERROR(INDEX(PM_Category,MATCH($B658,PM_ID,0)),""))</f>
        <v/>
      </c>
      <c r="E658" s="8">
        <f>IF($B658="","",IFERROR(INDEX(PM_Subcategory,MATCH($B658,PM_ID,0)),""))</f>
        <v/>
      </c>
      <c r="F658" s="8">
        <f>IF($B658="","",IFERROR(INDEX(PM_Brand,MATCH($B658,PM_ID,0)),""))</f>
        <v/>
      </c>
      <c r="G658" s="8">
        <f>IF($B658="","",IFERROR(INDEX(PM_Model,MATCH($B658,PM_ID,0)),""))</f>
        <v/>
      </c>
      <c r="H658" s="5" t="n"/>
      <c r="I658" s="10" t="n"/>
      <c r="J658" s="9" t="n"/>
      <c r="K658" s="5" t="n"/>
      <c r="L658" s="5" t="n"/>
      <c r="M658" s="5" t="n"/>
      <c r="N658" s="5" t="n"/>
      <c r="O658" s="8">
        <f>IF($B658="","",IF(AND($A658&lt;&gt;"",COUNTIF(INV_ID,$A658)&gt;1),"⚠ this Unit ID already exists",IF(AND($H658&lt;&gt;"",COUNTIF(INV_Serial,$H658)&gt;1),"⚠ this serial already exists",IF(COUNTIFS(INV_Product,$B658,INV_No,$C658)&gt;1,"⚠ piece number reused",""))))</f>
        <v/>
      </c>
      <c r="P658" s="5" t="n"/>
    </row>
    <row r="659">
      <c r="A659" s="8">
        <f>IF(OR($B659="",$C659=""),"",IFERROR(INDEX(PM_Short,MATCH($B659,PM_ID,0))&amp;"-"&amp;TEXT($C659,"00"),"?? no such product"))</f>
        <v/>
      </c>
      <c r="B659" s="5" t="n"/>
      <c r="C659" s="5" t="n"/>
      <c r="D659" s="8">
        <f>IF($B659="","",IFERROR(INDEX(PM_Category,MATCH($B659,PM_ID,0)),""))</f>
        <v/>
      </c>
      <c r="E659" s="8">
        <f>IF($B659="","",IFERROR(INDEX(PM_Subcategory,MATCH($B659,PM_ID,0)),""))</f>
        <v/>
      </c>
      <c r="F659" s="8">
        <f>IF($B659="","",IFERROR(INDEX(PM_Brand,MATCH($B659,PM_ID,0)),""))</f>
        <v/>
      </c>
      <c r="G659" s="8">
        <f>IF($B659="","",IFERROR(INDEX(PM_Model,MATCH($B659,PM_ID,0)),""))</f>
        <v/>
      </c>
      <c r="H659" s="5" t="n"/>
      <c r="I659" s="10" t="n"/>
      <c r="J659" s="9" t="n"/>
      <c r="K659" s="5" t="n"/>
      <c r="L659" s="5" t="n"/>
      <c r="M659" s="5" t="n"/>
      <c r="N659" s="5" t="n"/>
      <c r="O659" s="8">
        <f>IF($B659="","",IF(AND($A659&lt;&gt;"",COUNTIF(INV_ID,$A659)&gt;1),"⚠ this Unit ID already exists",IF(AND($H659&lt;&gt;"",COUNTIF(INV_Serial,$H659)&gt;1),"⚠ this serial already exists",IF(COUNTIFS(INV_Product,$B659,INV_No,$C659)&gt;1,"⚠ piece number reused",""))))</f>
        <v/>
      </c>
      <c r="P659" s="5" t="n"/>
    </row>
    <row r="660">
      <c r="A660" s="8">
        <f>IF(OR($B660="",$C660=""),"",IFERROR(INDEX(PM_Short,MATCH($B660,PM_ID,0))&amp;"-"&amp;TEXT($C660,"00"),"?? no such product"))</f>
        <v/>
      </c>
      <c r="B660" s="5" t="n"/>
      <c r="C660" s="5" t="n"/>
      <c r="D660" s="8">
        <f>IF($B660="","",IFERROR(INDEX(PM_Category,MATCH($B660,PM_ID,0)),""))</f>
        <v/>
      </c>
      <c r="E660" s="8">
        <f>IF($B660="","",IFERROR(INDEX(PM_Subcategory,MATCH($B660,PM_ID,0)),""))</f>
        <v/>
      </c>
      <c r="F660" s="8">
        <f>IF($B660="","",IFERROR(INDEX(PM_Brand,MATCH($B660,PM_ID,0)),""))</f>
        <v/>
      </c>
      <c r="G660" s="8">
        <f>IF($B660="","",IFERROR(INDEX(PM_Model,MATCH($B660,PM_ID,0)),""))</f>
        <v/>
      </c>
      <c r="H660" s="5" t="n"/>
      <c r="I660" s="10" t="n"/>
      <c r="J660" s="9" t="n"/>
      <c r="K660" s="5" t="n"/>
      <c r="L660" s="5" t="n"/>
      <c r="M660" s="5" t="n"/>
      <c r="N660" s="5" t="n"/>
      <c r="O660" s="8">
        <f>IF($B660="","",IF(AND($A660&lt;&gt;"",COUNTIF(INV_ID,$A660)&gt;1),"⚠ this Unit ID already exists",IF(AND($H660&lt;&gt;"",COUNTIF(INV_Serial,$H660)&gt;1),"⚠ this serial already exists",IF(COUNTIFS(INV_Product,$B660,INV_No,$C660)&gt;1,"⚠ piece number reused",""))))</f>
        <v/>
      </c>
      <c r="P660" s="5" t="n"/>
    </row>
    <row r="661">
      <c r="A661" s="8">
        <f>IF(OR($B661="",$C661=""),"",IFERROR(INDEX(PM_Short,MATCH($B661,PM_ID,0))&amp;"-"&amp;TEXT($C661,"00"),"?? no such product"))</f>
        <v/>
      </c>
      <c r="B661" s="5" t="n"/>
      <c r="C661" s="5" t="n"/>
      <c r="D661" s="8">
        <f>IF($B661="","",IFERROR(INDEX(PM_Category,MATCH($B661,PM_ID,0)),""))</f>
        <v/>
      </c>
      <c r="E661" s="8">
        <f>IF($B661="","",IFERROR(INDEX(PM_Subcategory,MATCH($B661,PM_ID,0)),""))</f>
        <v/>
      </c>
      <c r="F661" s="8">
        <f>IF($B661="","",IFERROR(INDEX(PM_Brand,MATCH($B661,PM_ID,0)),""))</f>
        <v/>
      </c>
      <c r="G661" s="8">
        <f>IF($B661="","",IFERROR(INDEX(PM_Model,MATCH($B661,PM_ID,0)),""))</f>
        <v/>
      </c>
      <c r="H661" s="5" t="n"/>
      <c r="I661" s="10" t="n"/>
      <c r="J661" s="9" t="n"/>
      <c r="K661" s="5" t="n"/>
      <c r="L661" s="5" t="n"/>
      <c r="M661" s="5" t="n"/>
      <c r="N661" s="5" t="n"/>
      <c r="O661" s="8">
        <f>IF($B661="","",IF(AND($A661&lt;&gt;"",COUNTIF(INV_ID,$A661)&gt;1),"⚠ this Unit ID already exists",IF(AND($H661&lt;&gt;"",COUNTIF(INV_Serial,$H661)&gt;1),"⚠ this serial already exists",IF(COUNTIFS(INV_Product,$B661,INV_No,$C661)&gt;1,"⚠ piece number reused",""))))</f>
        <v/>
      </c>
      <c r="P661" s="5" t="n"/>
    </row>
    <row r="662">
      <c r="A662" s="8">
        <f>IF(OR($B662="",$C662=""),"",IFERROR(INDEX(PM_Short,MATCH($B662,PM_ID,0))&amp;"-"&amp;TEXT($C662,"00"),"?? no such product"))</f>
        <v/>
      </c>
      <c r="B662" s="5" t="n"/>
      <c r="C662" s="5" t="n"/>
      <c r="D662" s="8">
        <f>IF($B662="","",IFERROR(INDEX(PM_Category,MATCH($B662,PM_ID,0)),""))</f>
        <v/>
      </c>
      <c r="E662" s="8">
        <f>IF($B662="","",IFERROR(INDEX(PM_Subcategory,MATCH($B662,PM_ID,0)),""))</f>
        <v/>
      </c>
      <c r="F662" s="8">
        <f>IF($B662="","",IFERROR(INDEX(PM_Brand,MATCH($B662,PM_ID,0)),""))</f>
        <v/>
      </c>
      <c r="G662" s="8">
        <f>IF($B662="","",IFERROR(INDEX(PM_Model,MATCH($B662,PM_ID,0)),""))</f>
        <v/>
      </c>
      <c r="H662" s="5" t="n"/>
      <c r="I662" s="10" t="n"/>
      <c r="J662" s="9" t="n"/>
      <c r="K662" s="5" t="n"/>
      <c r="L662" s="5" t="n"/>
      <c r="M662" s="5" t="n"/>
      <c r="N662" s="5" t="n"/>
      <c r="O662" s="8">
        <f>IF($B662="","",IF(AND($A662&lt;&gt;"",COUNTIF(INV_ID,$A662)&gt;1),"⚠ this Unit ID already exists",IF(AND($H662&lt;&gt;"",COUNTIF(INV_Serial,$H662)&gt;1),"⚠ this serial already exists",IF(COUNTIFS(INV_Product,$B662,INV_No,$C662)&gt;1,"⚠ piece number reused",""))))</f>
        <v/>
      </c>
      <c r="P662" s="5" t="n"/>
    </row>
    <row r="663">
      <c r="A663" s="8">
        <f>IF(OR($B663="",$C663=""),"",IFERROR(INDEX(PM_Short,MATCH($B663,PM_ID,0))&amp;"-"&amp;TEXT($C663,"00"),"?? no such product"))</f>
        <v/>
      </c>
      <c r="B663" s="5" t="n"/>
      <c r="C663" s="5" t="n"/>
      <c r="D663" s="8">
        <f>IF($B663="","",IFERROR(INDEX(PM_Category,MATCH($B663,PM_ID,0)),""))</f>
        <v/>
      </c>
      <c r="E663" s="8">
        <f>IF($B663="","",IFERROR(INDEX(PM_Subcategory,MATCH($B663,PM_ID,0)),""))</f>
        <v/>
      </c>
      <c r="F663" s="8">
        <f>IF($B663="","",IFERROR(INDEX(PM_Brand,MATCH($B663,PM_ID,0)),""))</f>
        <v/>
      </c>
      <c r="G663" s="8">
        <f>IF($B663="","",IFERROR(INDEX(PM_Model,MATCH($B663,PM_ID,0)),""))</f>
        <v/>
      </c>
      <c r="H663" s="5" t="n"/>
      <c r="I663" s="10" t="n"/>
      <c r="J663" s="9" t="n"/>
      <c r="K663" s="5" t="n"/>
      <c r="L663" s="5" t="n"/>
      <c r="M663" s="5" t="n"/>
      <c r="N663" s="5" t="n"/>
      <c r="O663" s="8">
        <f>IF($B663="","",IF(AND($A663&lt;&gt;"",COUNTIF(INV_ID,$A663)&gt;1),"⚠ this Unit ID already exists",IF(AND($H663&lt;&gt;"",COUNTIF(INV_Serial,$H663)&gt;1),"⚠ this serial already exists",IF(COUNTIFS(INV_Product,$B663,INV_No,$C663)&gt;1,"⚠ piece number reused",""))))</f>
        <v/>
      </c>
      <c r="P663" s="5" t="n"/>
    </row>
    <row r="664">
      <c r="A664" s="8">
        <f>IF(OR($B664="",$C664=""),"",IFERROR(INDEX(PM_Short,MATCH($B664,PM_ID,0))&amp;"-"&amp;TEXT($C664,"00"),"?? no such product"))</f>
        <v/>
      </c>
      <c r="B664" s="5" t="n"/>
      <c r="C664" s="5" t="n"/>
      <c r="D664" s="8">
        <f>IF($B664="","",IFERROR(INDEX(PM_Category,MATCH($B664,PM_ID,0)),""))</f>
        <v/>
      </c>
      <c r="E664" s="8">
        <f>IF($B664="","",IFERROR(INDEX(PM_Subcategory,MATCH($B664,PM_ID,0)),""))</f>
        <v/>
      </c>
      <c r="F664" s="8">
        <f>IF($B664="","",IFERROR(INDEX(PM_Brand,MATCH($B664,PM_ID,0)),""))</f>
        <v/>
      </c>
      <c r="G664" s="8">
        <f>IF($B664="","",IFERROR(INDEX(PM_Model,MATCH($B664,PM_ID,0)),""))</f>
        <v/>
      </c>
      <c r="H664" s="5" t="n"/>
      <c r="I664" s="10" t="n"/>
      <c r="J664" s="9" t="n"/>
      <c r="K664" s="5" t="n"/>
      <c r="L664" s="5" t="n"/>
      <c r="M664" s="5" t="n"/>
      <c r="N664" s="5" t="n"/>
      <c r="O664" s="8">
        <f>IF($B664="","",IF(AND($A664&lt;&gt;"",COUNTIF(INV_ID,$A664)&gt;1),"⚠ this Unit ID already exists",IF(AND($H664&lt;&gt;"",COUNTIF(INV_Serial,$H664)&gt;1),"⚠ this serial already exists",IF(COUNTIFS(INV_Product,$B664,INV_No,$C664)&gt;1,"⚠ piece number reused",""))))</f>
        <v/>
      </c>
      <c r="P664" s="5" t="n"/>
    </row>
    <row r="665">
      <c r="A665" s="8">
        <f>IF(OR($B665="",$C665=""),"",IFERROR(INDEX(PM_Short,MATCH($B665,PM_ID,0))&amp;"-"&amp;TEXT($C665,"00"),"?? no such product"))</f>
        <v/>
      </c>
      <c r="B665" s="5" t="n"/>
      <c r="C665" s="5" t="n"/>
      <c r="D665" s="8">
        <f>IF($B665="","",IFERROR(INDEX(PM_Category,MATCH($B665,PM_ID,0)),""))</f>
        <v/>
      </c>
      <c r="E665" s="8">
        <f>IF($B665="","",IFERROR(INDEX(PM_Subcategory,MATCH($B665,PM_ID,0)),""))</f>
        <v/>
      </c>
      <c r="F665" s="8">
        <f>IF($B665="","",IFERROR(INDEX(PM_Brand,MATCH($B665,PM_ID,0)),""))</f>
        <v/>
      </c>
      <c r="G665" s="8">
        <f>IF($B665="","",IFERROR(INDEX(PM_Model,MATCH($B665,PM_ID,0)),""))</f>
        <v/>
      </c>
      <c r="H665" s="5" t="n"/>
      <c r="I665" s="10" t="n"/>
      <c r="J665" s="9" t="n"/>
      <c r="K665" s="5" t="n"/>
      <c r="L665" s="5" t="n"/>
      <c r="M665" s="5" t="n"/>
      <c r="N665" s="5" t="n"/>
      <c r="O665" s="8">
        <f>IF($B665="","",IF(AND($A665&lt;&gt;"",COUNTIF(INV_ID,$A665)&gt;1),"⚠ this Unit ID already exists",IF(AND($H665&lt;&gt;"",COUNTIF(INV_Serial,$H665)&gt;1),"⚠ this serial already exists",IF(COUNTIFS(INV_Product,$B665,INV_No,$C665)&gt;1,"⚠ piece number reused",""))))</f>
        <v/>
      </c>
      <c r="P665" s="5" t="n"/>
    </row>
    <row r="666">
      <c r="A666" s="8">
        <f>IF(OR($B666="",$C666=""),"",IFERROR(INDEX(PM_Short,MATCH($B666,PM_ID,0))&amp;"-"&amp;TEXT($C666,"00"),"?? no such product"))</f>
        <v/>
      </c>
      <c r="B666" s="5" t="n"/>
      <c r="C666" s="5" t="n"/>
      <c r="D666" s="8">
        <f>IF($B666="","",IFERROR(INDEX(PM_Category,MATCH($B666,PM_ID,0)),""))</f>
        <v/>
      </c>
      <c r="E666" s="8">
        <f>IF($B666="","",IFERROR(INDEX(PM_Subcategory,MATCH($B666,PM_ID,0)),""))</f>
        <v/>
      </c>
      <c r="F666" s="8">
        <f>IF($B666="","",IFERROR(INDEX(PM_Brand,MATCH($B666,PM_ID,0)),""))</f>
        <v/>
      </c>
      <c r="G666" s="8">
        <f>IF($B666="","",IFERROR(INDEX(PM_Model,MATCH($B666,PM_ID,0)),""))</f>
        <v/>
      </c>
      <c r="H666" s="5" t="n"/>
      <c r="I666" s="10" t="n"/>
      <c r="J666" s="9" t="n"/>
      <c r="K666" s="5" t="n"/>
      <c r="L666" s="5" t="n"/>
      <c r="M666" s="5" t="n"/>
      <c r="N666" s="5" t="n"/>
      <c r="O666" s="8">
        <f>IF($B666="","",IF(AND($A666&lt;&gt;"",COUNTIF(INV_ID,$A666)&gt;1),"⚠ this Unit ID already exists",IF(AND($H666&lt;&gt;"",COUNTIF(INV_Serial,$H666)&gt;1),"⚠ this serial already exists",IF(COUNTIFS(INV_Product,$B666,INV_No,$C666)&gt;1,"⚠ piece number reused",""))))</f>
        <v/>
      </c>
      <c r="P666" s="5" t="n"/>
    </row>
    <row r="667">
      <c r="A667" s="8">
        <f>IF(OR($B667="",$C667=""),"",IFERROR(INDEX(PM_Short,MATCH($B667,PM_ID,0))&amp;"-"&amp;TEXT($C667,"00"),"?? no such product"))</f>
        <v/>
      </c>
      <c r="B667" s="5" t="n"/>
      <c r="C667" s="5" t="n"/>
      <c r="D667" s="8">
        <f>IF($B667="","",IFERROR(INDEX(PM_Category,MATCH($B667,PM_ID,0)),""))</f>
        <v/>
      </c>
      <c r="E667" s="8">
        <f>IF($B667="","",IFERROR(INDEX(PM_Subcategory,MATCH($B667,PM_ID,0)),""))</f>
        <v/>
      </c>
      <c r="F667" s="8">
        <f>IF($B667="","",IFERROR(INDEX(PM_Brand,MATCH($B667,PM_ID,0)),""))</f>
        <v/>
      </c>
      <c r="G667" s="8">
        <f>IF($B667="","",IFERROR(INDEX(PM_Model,MATCH($B667,PM_ID,0)),""))</f>
        <v/>
      </c>
      <c r="H667" s="5" t="n"/>
      <c r="I667" s="10" t="n"/>
      <c r="J667" s="9" t="n"/>
      <c r="K667" s="5" t="n"/>
      <c r="L667" s="5" t="n"/>
      <c r="M667" s="5" t="n"/>
      <c r="N667" s="5" t="n"/>
      <c r="O667" s="8">
        <f>IF($B667="","",IF(AND($A667&lt;&gt;"",COUNTIF(INV_ID,$A667)&gt;1),"⚠ this Unit ID already exists",IF(AND($H667&lt;&gt;"",COUNTIF(INV_Serial,$H667)&gt;1),"⚠ this serial already exists",IF(COUNTIFS(INV_Product,$B667,INV_No,$C667)&gt;1,"⚠ piece number reused",""))))</f>
        <v/>
      </c>
      <c r="P667" s="5" t="n"/>
    </row>
    <row r="668">
      <c r="A668" s="8">
        <f>IF(OR($B668="",$C668=""),"",IFERROR(INDEX(PM_Short,MATCH($B668,PM_ID,0))&amp;"-"&amp;TEXT($C668,"00"),"?? no such product"))</f>
        <v/>
      </c>
      <c r="B668" s="5" t="n"/>
      <c r="C668" s="5" t="n"/>
      <c r="D668" s="8">
        <f>IF($B668="","",IFERROR(INDEX(PM_Category,MATCH($B668,PM_ID,0)),""))</f>
        <v/>
      </c>
      <c r="E668" s="8">
        <f>IF($B668="","",IFERROR(INDEX(PM_Subcategory,MATCH($B668,PM_ID,0)),""))</f>
        <v/>
      </c>
      <c r="F668" s="8">
        <f>IF($B668="","",IFERROR(INDEX(PM_Brand,MATCH($B668,PM_ID,0)),""))</f>
        <v/>
      </c>
      <c r="G668" s="8">
        <f>IF($B668="","",IFERROR(INDEX(PM_Model,MATCH($B668,PM_ID,0)),""))</f>
        <v/>
      </c>
      <c r="H668" s="5" t="n"/>
      <c r="I668" s="10" t="n"/>
      <c r="J668" s="9" t="n"/>
      <c r="K668" s="5" t="n"/>
      <c r="L668" s="5" t="n"/>
      <c r="M668" s="5" t="n"/>
      <c r="N668" s="5" t="n"/>
      <c r="O668" s="8">
        <f>IF($B668="","",IF(AND($A668&lt;&gt;"",COUNTIF(INV_ID,$A668)&gt;1),"⚠ this Unit ID already exists",IF(AND($H668&lt;&gt;"",COUNTIF(INV_Serial,$H668)&gt;1),"⚠ this serial already exists",IF(COUNTIFS(INV_Product,$B668,INV_No,$C668)&gt;1,"⚠ piece number reused",""))))</f>
        <v/>
      </c>
      <c r="P668" s="5" t="n"/>
    </row>
    <row r="669">
      <c r="A669" s="8">
        <f>IF(OR($B669="",$C669=""),"",IFERROR(INDEX(PM_Short,MATCH($B669,PM_ID,0))&amp;"-"&amp;TEXT($C669,"00"),"?? no such product"))</f>
        <v/>
      </c>
      <c r="B669" s="5" t="n"/>
      <c r="C669" s="5" t="n"/>
      <c r="D669" s="8">
        <f>IF($B669="","",IFERROR(INDEX(PM_Category,MATCH($B669,PM_ID,0)),""))</f>
        <v/>
      </c>
      <c r="E669" s="8">
        <f>IF($B669="","",IFERROR(INDEX(PM_Subcategory,MATCH($B669,PM_ID,0)),""))</f>
        <v/>
      </c>
      <c r="F669" s="8">
        <f>IF($B669="","",IFERROR(INDEX(PM_Brand,MATCH($B669,PM_ID,0)),""))</f>
        <v/>
      </c>
      <c r="G669" s="8">
        <f>IF($B669="","",IFERROR(INDEX(PM_Model,MATCH($B669,PM_ID,0)),""))</f>
        <v/>
      </c>
      <c r="H669" s="5" t="n"/>
      <c r="I669" s="10" t="n"/>
      <c r="J669" s="9" t="n"/>
      <c r="K669" s="5" t="n"/>
      <c r="L669" s="5" t="n"/>
      <c r="M669" s="5" t="n"/>
      <c r="N669" s="5" t="n"/>
      <c r="O669" s="8">
        <f>IF($B669="","",IF(AND($A669&lt;&gt;"",COUNTIF(INV_ID,$A669)&gt;1),"⚠ this Unit ID already exists",IF(AND($H669&lt;&gt;"",COUNTIF(INV_Serial,$H669)&gt;1),"⚠ this serial already exists",IF(COUNTIFS(INV_Product,$B669,INV_No,$C669)&gt;1,"⚠ piece number reused",""))))</f>
        <v/>
      </c>
      <c r="P669" s="5" t="n"/>
    </row>
    <row r="670">
      <c r="A670" s="8">
        <f>IF(OR($B670="",$C670=""),"",IFERROR(INDEX(PM_Short,MATCH($B670,PM_ID,0))&amp;"-"&amp;TEXT($C670,"00"),"?? no such product"))</f>
        <v/>
      </c>
      <c r="B670" s="5" t="n"/>
      <c r="C670" s="5" t="n"/>
      <c r="D670" s="8">
        <f>IF($B670="","",IFERROR(INDEX(PM_Category,MATCH($B670,PM_ID,0)),""))</f>
        <v/>
      </c>
      <c r="E670" s="8">
        <f>IF($B670="","",IFERROR(INDEX(PM_Subcategory,MATCH($B670,PM_ID,0)),""))</f>
        <v/>
      </c>
      <c r="F670" s="8">
        <f>IF($B670="","",IFERROR(INDEX(PM_Brand,MATCH($B670,PM_ID,0)),""))</f>
        <v/>
      </c>
      <c r="G670" s="8">
        <f>IF($B670="","",IFERROR(INDEX(PM_Model,MATCH($B670,PM_ID,0)),""))</f>
        <v/>
      </c>
      <c r="H670" s="5" t="n"/>
      <c r="I670" s="10" t="n"/>
      <c r="J670" s="9" t="n"/>
      <c r="K670" s="5" t="n"/>
      <c r="L670" s="5" t="n"/>
      <c r="M670" s="5" t="n"/>
      <c r="N670" s="5" t="n"/>
      <c r="O670" s="8">
        <f>IF($B670="","",IF(AND($A670&lt;&gt;"",COUNTIF(INV_ID,$A670)&gt;1),"⚠ this Unit ID already exists",IF(AND($H670&lt;&gt;"",COUNTIF(INV_Serial,$H670)&gt;1),"⚠ this serial already exists",IF(COUNTIFS(INV_Product,$B670,INV_No,$C670)&gt;1,"⚠ piece number reused",""))))</f>
        <v/>
      </c>
      <c r="P670" s="5" t="n"/>
    </row>
    <row r="671">
      <c r="A671" s="8">
        <f>IF(OR($B671="",$C671=""),"",IFERROR(INDEX(PM_Short,MATCH($B671,PM_ID,0))&amp;"-"&amp;TEXT($C671,"00"),"?? no such product"))</f>
        <v/>
      </c>
      <c r="B671" s="5" t="n"/>
      <c r="C671" s="5" t="n"/>
      <c r="D671" s="8">
        <f>IF($B671="","",IFERROR(INDEX(PM_Category,MATCH($B671,PM_ID,0)),""))</f>
        <v/>
      </c>
      <c r="E671" s="8">
        <f>IF($B671="","",IFERROR(INDEX(PM_Subcategory,MATCH($B671,PM_ID,0)),""))</f>
        <v/>
      </c>
      <c r="F671" s="8">
        <f>IF($B671="","",IFERROR(INDEX(PM_Brand,MATCH($B671,PM_ID,0)),""))</f>
        <v/>
      </c>
      <c r="G671" s="8">
        <f>IF($B671="","",IFERROR(INDEX(PM_Model,MATCH($B671,PM_ID,0)),""))</f>
        <v/>
      </c>
      <c r="H671" s="5" t="n"/>
      <c r="I671" s="10" t="n"/>
      <c r="J671" s="9" t="n"/>
      <c r="K671" s="5" t="n"/>
      <c r="L671" s="5" t="n"/>
      <c r="M671" s="5" t="n"/>
      <c r="N671" s="5" t="n"/>
      <c r="O671" s="8">
        <f>IF($B671="","",IF(AND($A671&lt;&gt;"",COUNTIF(INV_ID,$A671)&gt;1),"⚠ this Unit ID already exists",IF(AND($H671&lt;&gt;"",COUNTIF(INV_Serial,$H671)&gt;1),"⚠ this serial already exists",IF(COUNTIFS(INV_Product,$B671,INV_No,$C671)&gt;1,"⚠ piece number reused",""))))</f>
        <v/>
      </c>
      <c r="P671" s="5" t="n"/>
    </row>
    <row r="672">
      <c r="A672" s="8">
        <f>IF(OR($B672="",$C672=""),"",IFERROR(INDEX(PM_Short,MATCH($B672,PM_ID,0))&amp;"-"&amp;TEXT($C672,"00"),"?? no such product"))</f>
        <v/>
      </c>
      <c r="B672" s="5" t="n"/>
      <c r="C672" s="5" t="n"/>
      <c r="D672" s="8">
        <f>IF($B672="","",IFERROR(INDEX(PM_Category,MATCH($B672,PM_ID,0)),""))</f>
        <v/>
      </c>
      <c r="E672" s="8">
        <f>IF($B672="","",IFERROR(INDEX(PM_Subcategory,MATCH($B672,PM_ID,0)),""))</f>
        <v/>
      </c>
      <c r="F672" s="8">
        <f>IF($B672="","",IFERROR(INDEX(PM_Brand,MATCH($B672,PM_ID,0)),""))</f>
        <v/>
      </c>
      <c r="G672" s="8">
        <f>IF($B672="","",IFERROR(INDEX(PM_Model,MATCH($B672,PM_ID,0)),""))</f>
        <v/>
      </c>
      <c r="H672" s="5" t="n"/>
      <c r="I672" s="10" t="n"/>
      <c r="J672" s="9" t="n"/>
      <c r="K672" s="5" t="n"/>
      <c r="L672" s="5" t="n"/>
      <c r="M672" s="5" t="n"/>
      <c r="N672" s="5" t="n"/>
      <c r="O672" s="8">
        <f>IF($B672="","",IF(AND($A672&lt;&gt;"",COUNTIF(INV_ID,$A672)&gt;1),"⚠ this Unit ID already exists",IF(AND($H672&lt;&gt;"",COUNTIF(INV_Serial,$H672)&gt;1),"⚠ this serial already exists",IF(COUNTIFS(INV_Product,$B672,INV_No,$C672)&gt;1,"⚠ piece number reused",""))))</f>
        <v/>
      </c>
      <c r="P672" s="5" t="n"/>
    </row>
    <row r="673">
      <c r="A673" s="8">
        <f>IF(OR($B673="",$C673=""),"",IFERROR(INDEX(PM_Short,MATCH($B673,PM_ID,0))&amp;"-"&amp;TEXT($C673,"00"),"?? no such product"))</f>
        <v/>
      </c>
      <c r="B673" s="5" t="n"/>
      <c r="C673" s="5" t="n"/>
      <c r="D673" s="8">
        <f>IF($B673="","",IFERROR(INDEX(PM_Category,MATCH($B673,PM_ID,0)),""))</f>
        <v/>
      </c>
      <c r="E673" s="8">
        <f>IF($B673="","",IFERROR(INDEX(PM_Subcategory,MATCH($B673,PM_ID,0)),""))</f>
        <v/>
      </c>
      <c r="F673" s="8">
        <f>IF($B673="","",IFERROR(INDEX(PM_Brand,MATCH($B673,PM_ID,0)),""))</f>
        <v/>
      </c>
      <c r="G673" s="8">
        <f>IF($B673="","",IFERROR(INDEX(PM_Model,MATCH($B673,PM_ID,0)),""))</f>
        <v/>
      </c>
      <c r="H673" s="5" t="n"/>
      <c r="I673" s="10" t="n"/>
      <c r="J673" s="9" t="n"/>
      <c r="K673" s="5" t="n"/>
      <c r="L673" s="5" t="n"/>
      <c r="M673" s="5" t="n"/>
      <c r="N673" s="5" t="n"/>
      <c r="O673" s="8">
        <f>IF($B673="","",IF(AND($A673&lt;&gt;"",COUNTIF(INV_ID,$A673)&gt;1),"⚠ this Unit ID already exists",IF(AND($H673&lt;&gt;"",COUNTIF(INV_Serial,$H673)&gt;1),"⚠ this serial already exists",IF(COUNTIFS(INV_Product,$B673,INV_No,$C673)&gt;1,"⚠ piece number reused",""))))</f>
        <v/>
      </c>
      <c r="P673" s="5" t="n"/>
    </row>
    <row r="674">
      <c r="A674" s="8">
        <f>IF(OR($B674="",$C674=""),"",IFERROR(INDEX(PM_Short,MATCH($B674,PM_ID,0))&amp;"-"&amp;TEXT($C674,"00"),"?? no such product"))</f>
        <v/>
      </c>
      <c r="B674" s="5" t="n"/>
      <c r="C674" s="5" t="n"/>
      <c r="D674" s="8">
        <f>IF($B674="","",IFERROR(INDEX(PM_Category,MATCH($B674,PM_ID,0)),""))</f>
        <v/>
      </c>
      <c r="E674" s="8">
        <f>IF($B674="","",IFERROR(INDEX(PM_Subcategory,MATCH($B674,PM_ID,0)),""))</f>
        <v/>
      </c>
      <c r="F674" s="8">
        <f>IF($B674="","",IFERROR(INDEX(PM_Brand,MATCH($B674,PM_ID,0)),""))</f>
        <v/>
      </c>
      <c r="G674" s="8">
        <f>IF($B674="","",IFERROR(INDEX(PM_Model,MATCH($B674,PM_ID,0)),""))</f>
        <v/>
      </c>
      <c r="H674" s="5" t="n"/>
      <c r="I674" s="10" t="n"/>
      <c r="J674" s="9" t="n"/>
      <c r="K674" s="5" t="n"/>
      <c r="L674" s="5" t="n"/>
      <c r="M674" s="5" t="n"/>
      <c r="N674" s="5" t="n"/>
      <c r="O674" s="8">
        <f>IF($B674="","",IF(AND($A674&lt;&gt;"",COUNTIF(INV_ID,$A674)&gt;1),"⚠ this Unit ID already exists",IF(AND($H674&lt;&gt;"",COUNTIF(INV_Serial,$H674)&gt;1),"⚠ this serial already exists",IF(COUNTIFS(INV_Product,$B674,INV_No,$C674)&gt;1,"⚠ piece number reused",""))))</f>
        <v/>
      </c>
      <c r="P674" s="5" t="n"/>
    </row>
    <row r="675">
      <c r="A675" s="8">
        <f>IF(OR($B675="",$C675=""),"",IFERROR(INDEX(PM_Short,MATCH($B675,PM_ID,0))&amp;"-"&amp;TEXT($C675,"00"),"?? no such product"))</f>
        <v/>
      </c>
      <c r="B675" s="5" t="n"/>
      <c r="C675" s="5" t="n"/>
      <c r="D675" s="8">
        <f>IF($B675="","",IFERROR(INDEX(PM_Category,MATCH($B675,PM_ID,0)),""))</f>
        <v/>
      </c>
      <c r="E675" s="8">
        <f>IF($B675="","",IFERROR(INDEX(PM_Subcategory,MATCH($B675,PM_ID,0)),""))</f>
        <v/>
      </c>
      <c r="F675" s="8">
        <f>IF($B675="","",IFERROR(INDEX(PM_Brand,MATCH($B675,PM_ID,0)),""))</f>
        <v/>
      </c>
      <c r="G675" s="8">
        <f>IF($B675="","",IFERROR(INDEX(PM_Model,MATCH($B675,PM_ID,0)),""))</f>
        <v/>
      </c>
      <c r="H675" s="5" t="n"/>
      <c r="I675" s="10" t="n"/>
      <c r="J675" s="9" t="n"/>
      <c r="K675" s="5" t="n"/>
      <c r="L675" s="5" t="n"/>
      <c r="M675" s="5" t="n"/>
      <c r="N675" s="5" t="n"/>
      <c r="O675" s="8">
        <f>IF($B675="","",IF(AND($A675&lt;&gt;"",COUNTIF(INV_ID,$A675)&gt;1),"⚠ this Unit ID already exists",IF(AND($H675&lt;&gt;"",COUNTIF(INV_Serial,$H675)&gt;1),"⚠ this serial already exists",IF(COUNTIFS(INV_Product,$B675,INV_No,$C675)&gt;1,"⚠ piece number reused",""))))</f>
        <v/>
      </c>
      <c r="P675" s="5" t="n"/>
    </row>
    <row r="676">
      <c r="A676" s="8">
        <f>IF(OR($B676="",$C676=""),"",IFERROR(INDEX(PM_Short,MATCH($B676,PM_ID,0))&amp;"-"&amp;TEXT($C676,"00"),"?? no such product"))</f>
        <v/>
      </c>
      <c r="B676" s="5" t="n"/>
      <c r="C676" s="5" t="n"/>
      <c r="D676" s="8">
        <f>IF($B676="","",IFERROR(INDEX(PM_Category,MATCH($B676,PM_ID,0)),""))</f>
        <v/>
      </c>
      <c r="E676" s="8">
        <f>IF($B676="","",IFERROR(INDEX(PM_Subcategory,MATCH($B676,PM_ID,0)),""))</f>
        <v/>
      </c>
      <c r="F676" s="8">
        <f>IF($B676="","",IFERROR(INDEX(PM_Brand,MATCH($B676,PM_ID,0)),""))</f>
        <v/>
      </c>
      <c r="G676" s="8">
        <f>IF($B676="","",IFERROR(INDEX(PM_Model,MATCH($B676,PM_ID,0)),""))</f>
        <v/>
      </c>
      <c r="H676" s="5" t="n"/>
      <c r="I676" s="10" t="n"/>
      <c r="J676" s="9" t="n"/>
      <c r="K676" s="5" t="n"/>
      <c r="L676" s="5" t="n"/>
      <c r="M676" s="5" t="n"/>
      <c r="N676" s="5" t="n"/>
      <c r="O676" s="8">
        <f>IF($B676="","",IF(AND($A676&lt;&gt;"",COUNTIF(INV_ID,$A676)&gt;1),"⚠ this Unit ID already exists",IF(AND($H676&lt;&gt;"",COUNTIF(INV_Serial,$H676)&gt;1),"⚠ this serial already exists",IF(COUNTIFS(INV_Product,$B676,INV_No,$C676)&gt;1,"⚠ piece number reused",""))))</f>
        <v/>
      </c>
      <c r="P676" s="5" t="n"/>
    </row>
    <row r="677">
      <c r="A677" s="8">
        <f>IF(OR($B677="",$C677=""),"",IFERROR(INDEX(PM_Short,MATCH($B677,PM_ID,0))&amp;"-"&amp;TEXT($C677,"00"),"?? no such product"))</f>
        <v/>
      </c>
      <c r="B677" s="5" t="n"/>
      <c r="C677" s="5" t="n"/>
      <c r="D677" s="8">
        <f>IF($B677="","",IFERROR(INDEX(PM_Category,MATCH($B677,PM_ID,0)),""))</f>
        <v/>
      </c>
      <c r="E677" s="8">
        <f>IF($B677="","",IFERROR(INDEX(PM_Subcategory,MATCH($B677,PM_ID,0)),""))</f>
        <v/>
      </c>
      <c r="F677" s="8">
        <f>IF($B677="","",IFERROR(INDEX(PM_Brand,MATCH($B677,PM_ID,0)),""))</f>
        <v/>
      </c>
      <c r="G677" s="8">
        <f>IF($B677="","",IFERROR(INDEX(PM_Model,MATCH($B677,PM_ID,0)),""))</f>
        <v/>
      </c>
      <c r="H677" s="5" t="n"/>
      <c r="I677" s="10" t="n"/>
      <c r="J677" s="9" t="n"/>
      <c r="K677" s="5" t="n"/>
      <c r="L677" s="5" t="n"/>
      <c r="M677" s="5" t="n"/>
      <c r="N677" s="5" t="n"/>
      <c r="O677" s="8">
        <f>IF($B677="","",IF(AND($A677&lt;&gt;"",COUNTIF(INV_ID,$A677)&gt;1),"⚠ this Unit ID already exists",IF(AND($H677&lt;&gt;"",COUNTIF(INV_Serial,$H677)&gt;1),"⚠ this serial already exists",IF(COUNTIFS(INV_Product,$B677,INV_No,$C677)&gt;1,"⚠ piece number reused",""))))</f>
        <v/>
      </c>
      <c r="P677" s="5" t="n"/>
    </row>
    <row r="678">
      <c r="A678" s="8">
        <f>IF(OR($B678="",$C678=""),"",IFERROR(INDEX(PM_Short,MATCH($B678,PM_ID,0))&amp;"-"&amp;TEXT($C678,"00"),"?? no such product"))</f>
        <v/>
      </c>
      <c r="B678" s="5" t="n"/>
      <c r="C678" s="5" t="n"/>
      <c r="D678" s="8">
        <f>IF($B678="","",IFERROR(INDEX(PM_Category,MATCH($B678,PM_ID,0)),""))</f>
        <v/>
      </c>
      <c r="E678" s="8">
        <f>IF($B678="","",IFERROR(INDEX(PM_Subcategory,MATCH($B678,PM_ID,0)),""))</f>
        <v/>
      </c>
      <c r="F678" s="8">
        <f>IF($B678="","",IFERROR(INDEX(PM_Brand,MATCH($B678,PM_ID,0)),""))</f>
        <v/>
      </c>
      <c r="G678" s="8">
        <f>IF($B678="","",IFERROR(INDEX(PM_Model,MATCH($B678,PM_ID,0)),""))</f>
        <v/>
      </c>
      <c r="H678" s="5" t="n"/>
      <c r="I678" s="10" t="n"/>
      <c r="J678" s="9" t="n"/>
      <c r="K678" s="5" t="n"/>
      <c r="L678" s="5" t="n"/>
      <c r="M678" s="5" t="n"/>
      <c r="N678" s="5" t="n"/>
      <c r="O678" s="8">
        <f>IF($B678="","",IF(AND($A678&lt;&gt;"",COUNTIF(INV_ID,$A678)&gt;1),"⚠ this Unit ID already exists",IF(AND($H678&lt;&gt;"",COUNTIF(INV_Serial,$H678)&gt;1),"⚠ this serial already exists",IF(COUNTIFS(INV_Product,$B678,INV_No,$C678)&gt;1,"⚠ piece number reused",""))))</f>
        <v/>
      </c>
      <c r="P678" s="5" t="n"/>
    </row>
    <row r="679">
      <c r="A679" s="8">
        <f>IF(OR($B679="",$C679=""),"",IFERROR(INDEX(PM_Short,MATCH($B679,PM_ID,0))&amp;"-"&amp;TEXT($C679,"00"),"?? no such product"))</f>
        <v/>
      </c>
      <c r="B679" s="5" t="n"/>
      <c r="C679" s="5" t="n"/>
      <c r="D679" s="8">
        <f>IF($B679="","",IFERROR(INDEX(PM_Category,MATCH($B679,PM_ID,0)),""))</f>
        <v/>
      </c>
      <c r="E679" s="8">
        <f>IF($B679="","",IFERROR(INDEX(PM_Subcategory,MATCH($B679,PM_ID,0)),""))</f>
        <v/>
      </c>
      <c r="F679" s="8">
        <f>IF($B679="","",IFERROR(INDEX(PM_Brand,MATCH($B679,PM_ID,0)),""))</f>
        <v/>
      </c>
      <c r="G679" s="8">
        <f>IF($B679="","",IFERROR(INDEX(PM_Model,MATCH($B679,PM_ID,0)),""))</f>
        <v/>
      </c>
      <c r="H679" s="5" t="n"/>
      <c r="I679" s="10" t="n"/>
      <c r="J679" s="9" t="n"/>
      <c r="K679" s="5" t="n"/>
      <c r="L679" s="5" t="n"/>
      <c r="M679" s="5" t="n"/>
      <c r="N679" s="5" t="n"/>
      <c r="O679" s="8">
        <f>IF($B679="","",IF(AND($A679&lt;&gt;"",COUNTIF(INV_ID,$A679)&gt;1),"⚠ this Unit ID already exists",IF(AND($H679&lt;&gt;"",COUNTIF(INV_Serial,$H679)&gt;1),"⚠ this serial already exists",IF(COUNTIFS(INV_Product,$B679,INV_No,$C679)&gt;1,"⚠ piece number reused",""))))</f>
        <v/>
      </c>
      <c r="P679" s="5" t="n"/>
    </row>
    <row r="680">
      <c r="A680" s="8">
        <f>IF(OR($B680="",$C680=""),"",IFERROR(INDEX(PM_Short,MATCH($B680,PM_ID,0))&amp;"-"&amp;TEXT($C680,"00"),"?? no such product"))</f>
        <v/>
      </c>
      <c r="B680" s="5" t="n"/>
      <c r="C680" s="5" t="n"/>
      <c r="D680" s="8">
        <f>IF($B680="","",IFERROR(INDEX(PM_Category,MATCH($B680,PM_ID,0)),""))</f>
        <v/>
      </c>
      <c r="E680" s="8">
        <f>IF($B680="","",IFERROR(INDEX(PM_Subcategory,MATCH($B680,PM_ID,0)),""))</f>
        <v/>
      </c>
      <c r="F680" s="8">
        <f>IF($B680="","",IFERROR(INDEX(PM_Brand,MATCH($B680,PM_ID,0)),""))</f>
        <v/>
      </c>
      <c r="G680" s="8">
        <f>IF($B680="","",IFERROR(INDEX(PM_Model,MATCH($B680,PM_ID,0)),""))</f>
        <v/>
      </c>
      <c r="H680" s="5" t="n"/>
      <c r="I680" s="10" t="n"/>
      <c r="J680" s="9" t="n"/>
      <c r="K680" s="5" t="n"/>
      <c r="L680" s="5" t="n"/>
      <c r="M680" s="5" t="n"/>
      <c r="N680" s="5" t="n"/>
      <c r="O680" s="8">
        <f>IF($B680="","",IF(AND($A680&lt;&gt;"",COUNTIF(INV_ID,$A680)&gt;1),"⚠ this Unit ID already exists",IF(AND($H680&lt;&gt;"",COUNTIF(INV_Serial,$H680)&gt;1),"⚠ this serial already exists",IF(COUNTIFS(INV_Product,$B680,INV_No,$C680)&gt;1,"⚠ piece number reused",""))))</f>
        <v/>
      </c>
      <c r="P680" s="5" t="n"/>
    </row>
    <row r="681">
      <c r="A681" s="8">
        <f>IF(OR($B681="",$C681=""),"",IFERROR(INDEX(PM_Short,MATCH($B681,PM_ID,0))&amp;"-"&amp;TEXT($C681,"00"),"?? no such product"))</f>
        <v/>
      </c>
      <c r="B681" s="5" t="n"/>
      <c r="C681" s="5" t="n"/>
      <c r="D681" s="8">
        <f>IF($B681="","",IFERROR(INDEX(PM_Category,MATCH($B681,PM_ID,0)),""))</f>
        <v/>
      </c>
      <c r="E681" s="8">
        <f>IF($B681="","",IFERROR(INDEX(PM_Subcategory,MATCH($B681,PM_ID,0)),""))</f>
        <v/>
      </c>
      <c r="F681" s="8">
        <f>IF($B681="","",IFERROR(INDEX(PM_Brand,MATCH($B681,PM_ID,0)),""))</f>
        <v/>
      </c>
      <c r="G681" s="8">
        <f>IF($B681="","",IFERROR(INDEX(PM_Model,MATCH($B681,PM_ID,0)),""))</f>
        <v/>
      </c>
      <c r="H681" s="5" t="n"/>
      <c r="I681" s="10" t="n"/>
      <c r="J681" s="9" t="n"/>
      <c r="K681" s="5" t="n"/>
      <c r="L681" s="5" t="n"/>
      <c r="M681" s="5" t="n"/>
      <c r="N681" s="5" t="n"/>
      <c r="O681" s="8">
        <f>IF($B681="","",IF(AND($A681&lt;&gt;"",COUNTIF(INV_ID,$A681)&gt;1),"⚠ this Unit ID already exists",IF(AND($H681&lt;&gt;"",COUNTIF(INV_Serial,$H681)&gt;1),"⚠ this serial already exists",IF(COUNTIFS(INV_Product,$B681,INV_No,$C681)&gt;1,"⚠ piece number reused",""))))</f>
        <v/>
      </c>
      <c r="P681" s="5" t="n"/>
    </row>
    <row r="682">
      <c r="A682" s="8">
        <f>IF(OR($B682="",$C682=""),"",IFERROR(INDEX(PM_Short,MATCH($B682,PM_ID,0))&amp;"-"&amp;TEXT($C682,"00"),"?? no such product"))</f>
        <v/>
      </c>
      <c r="B682" s="5" t="n"/>
      <c r="C682" s="5" t="n"/>
      <c r="D682" s="8">
        <f>IF($B682="","",IFERROR(INDEX(PM_Category,MATCH($B682,PM_ID,0)),""))</f>
        <v/>
      </c>
      <c r="E682" s="8">
        <f>IF($B682="","",IFERROR(INDEX(PM_Subcategory,MATCH($B682,PM_ID,0)),""))</f>
        <v/>
      </c>
      <c r="F682" s="8">
        <f>IF($B682="","",IFERROR(INDEX(PM_Brand,MATCH($B682,PM_ID,0)),""))</f>
        <v/>
      </c>
      <c r="G682" s="8">
        <f>IF($B682="","",IFERROR(INDEX(PM_Model,MATCH($B682,PM_ID,0)),""))</f>
        <v/>
      </c>
      <c r="H682" s="5" t="n"/>
      <c r="I682" s="10" t="n"/>
      <c r="J682" s="9" t="n"/>
      <c r="K682" s="5" t="n"/>
      <c r="L682" s="5" t="n"/>
      <c r="M682" s="5" t="n"/>
      <c r="N682" s="5" t="n"/>
      <c r="O682" s="8">
        <f>IF($B682="","",IF(AND($A682&lt;&gt;"",COUNTIF(INV_ID,$A682)&gt;1),"⚠ this Unit ID already exists",IF(AND($H682&lt;&gt;"",COUNTIF(INV_Serial,$H682)&gt;1),"⚠ this serial already exists",IF(COUNTIFS(INV_Product,$B682,INV_No,$C682)&gt;1,"⚠ piece number reused",""))))</f>
        <v/>
      </c>
      <c r="P682" s="5" t="n"/>
    </row>
    <row r="683">
      <c r="A683" s="8">
        <f>IF(OR($B683="",$C683=""),"",IFERROR(INDEX(PM_Short,MATCH($B683,PM_ID,0))&amp;"-"&amp;TEXT($C683,"00"),"?? no such product"))</f>
        <v/>
      </c>
      <c r="B683" s="5" t="n"/>
      <c r="C683" s="5" t="n"/>
      <c r="D683" s="8">
        <f>IF($B683="","",IFERROR(INDEX(PM_Category,MATCH($B683,PM_ID,0)),""))</f>
        <v/>
      </c>
      <c r="E683" s="8">
        <f>IF($B683="","",IFERROR(INDEX(PM_Subcategory,MATCH($B683,PM_ID,0)),""))</f>
        <v/>
      </c>
      <c r="F683" s="8">
        <f>IF($B683="","",IFERROR(INDEX(PM_Brand,MATCH($B683,PM_ID,0)),""))</f>
        <v/>
      </c>
      <c r="G683" s="8">
        <f>IF($B683="","",IFERROR(INDEX(PM_Model,MATCH($B683,PM_ID,0)),""))</f>
        <v/>
      </c>
      <c r="H683" s="5" t="n"/>
      <c r="I683" s="10" t="n"/>
      <c r="J683" s="9" t="n"/>
      <c r="K683" s="5" t="n"/>
      <c r="L683" s="5" t="n"/>
      <c r="M683" s="5" t="n"/>
      <c r="N683" s="5" t="n"/>
      <c r="O683" s="8">
        <f>IF($B683="","",IF(AND($A683&lt;&gt;"",COUNTIF(INV_ID,$A683)&gt;1),"⚠ this Unit ID already exists",IF(AND($H683&lt;&gt;"",COUNTIF(INV_Serial,$H683)&gt;1),"⚠ this serial already exists",IF(COUNTIFS(INV_Product,$B683,INV_No,$C683)&gt;1,"⚠ piece number reused",""))))</f>
        <v/>
      </c>
      <c r="P683" s="5" t="n"/>
    </row>
    <row r="684">
      <c r="A684" s="8">
        <f>IF(OR($B684="",$C684=""),"",IFERROR(INDEX(PM_Short,MATCH($B684,PM_ID,0))&amp;"-"&amp;TEXT($C684,"00"),"?? no such product"))</f>
        <v/>
      </c>
      <c r="B684" s="5" t="n"/>
      <c r="C684" s="5" t="n"/>
      <c r="D684" s="8">
        <f>IF($B684="","",IFERROR(INDEX(PM_Category,MATCH($B684,PM_ID,0)),""))</f>
        <v/>
      </c>
      <c r="E684" s="8">
        <f>IF($B684="","",IFERROR(INDEX(PM_Subcategory,MATCH($B684,PM_ID,0)),""))</f>
        <v/>
      </c>
      <c r="F684" s="8">
        <f>IF($B684="","",IFERROR(INDEX(PM_Brand,MATCH($B684,PM_ID,0)),""))</f>
        <v/>
      </c>
      <c r="G684" s="8">
        <f>IF($B684="","",IFERROR(INDEX(PM_Model,MATCH($B684,PM_ID,0)),""))</f>
        <v/>
      </c>
      <c r="H684" s="5" t="n"/>
      <c r="I684" s="10" t="n"/>
      <c r="J684" s="9" t="n"/>
      <c r="K684" s="5" t="n"/>
      <c r="L684" s="5" t="n"/>
      <c r="M684" s="5" t="n"/>
      <c r="N684" s="5" t="n"/>
      <c r="O684" s="8">
        <f>IF($B684="","",IF(AND($A684&lt;&gt;"",COUNTIF(INV_ID,$A684)&gt;1),"⚠ this Unit ID already exists",IF(AND($H684&lt;&gt;"",COUNTIF(INV_Serial,$H684)&gt;1),"⚠ this serial already exists",IF(COUNTIFS(INV_Product,$B684,INV_No,$C684)&gt;1,"⚠ piece number reused",""))))</f>
        <v/>
      </c>
      <c r="P684" s="5" t="n"/>
    </row>
    <row r="685">
      <c r="A685" s="8">
        <f>IF(OR($B685="",$C685=""),"",IFERROR(INDEX(PM_Short,MATCH($B685,PM_ID,0))&amp;"-"&amp;TEXT($C685,"00"),"?? no such product"))</f>
        <v/>
      </c>
      <c r="B685" s="5" t="n"/>
      <c r="C685" s="5" t="n"/>
      <c r="D685" s="8">
        <f>IF($B685="","",IFERROR(INDEX(PM_Category,MATCH($B685,PM_ID,0)),""))</f>
        <v/>
      </c>
      <c r="E685" s="8">
        <f>IF($B685="","",IFERROR(INDEX(PM_Subcategory,MATCH($B685,PM_ID,0)),""))</f>
        <v/>
      </c>
      <c r="F685" s="8">
        <f>IF($B685="","",IFERROR(INDEX(PM_Brand,MATCH($B685,PM_ID,0)),""))</f>
        <v/>
      </c>
      <c r="G685" s="8">
        <f>IF($B685="","",IFERROR(INDEX(PM_Model,MATCH($B685,PM_ID,0)),""))</f>
        <v/>
      </c>
      <c r="H685" s="5" t="n"/>
      <c r="I685" s="10" t="n"/>
      <c r="J685" s="9" t="n"/>
      <c r="K685" s="5" t="n"/>
      <c r="L685" s="5" t="n"/>
      <c r="M685" s="5" t="n"/>
      <c r="N685" s="5" t="n"/>
      <c r="O685" s="8">
        <f>IF($B685="","",IF(AND($A685&lt;&gt;"",COUNTIF(INV_ID,$A685)&gt;1),"⚠ this Unit ID already exists",IF(AND($H685&lt;&gt;"",COUNTIF(INV_Serial,$H685)&gt;1),"⚠ this serial already exists",IF(COUNTIFS(INV_Product,$B685,INV_No,$C685)&gt;1,"⚠ piece number reused",""))))</f>
        <v/>
      </c>
      <c r="P685" s="5" t="n"/>
    </row>
    <row r="686">
      <c r="A686" s="8">
        <f>IF(OR($B686="",$C686=""),"",IFERROR(INDEX(PM_Short,MATCH($B686,PM_ID,0))&amp;"-"&amp;TEXT($C686,"00"),"?? no such product"))</f>
        <v/>
      </c>
      <c r="B686" s="5" t="n"/>
      <c r="C686" s="5" t="n"/>
      <c r="D686" s="8">
        <f>IF($B686="","",IFERROR(INDEX(PM_Category,MATCH($B686,PM_ID,0)),""))</f>
        <v/>
      </c>
      <c r="E686" s="8">
        <f>IF($B686="","",IFERROR(INDEX(PM_Subcategory,MATCH($B686,PM_ID,0)),""))</f>
        <v/>
      </c>
      <c r="F686" s="8">
        <f>IF($B686="","",IFERROR(INDEX(PM_Brand,MATCH($B686,PM_ID,0)),""))</f>
        <v/>
      </c>
      <c r="G686" s="8">
        <f>IF($B686="","",IFERROR(INDEX(PM_Model,MATCH($B686,PM_ID,0)),""))</f>
        <v/>
      </c>
      <c r="H686" s="5" t="n"/>
      <c r="I686" s="10" t="n"/>
      <c r="J686" s="9" t="n"/>
      <c r="K686" s="5" t="n"/>
      <c r="L686" s="5" t="n"/>
      <c r="M686" s="5" t="n"/>
      <c r="N686" s="5" t="n"/>
      <c r="O686" s="8">
        <f>IF($B686="","",IF(AND($A686&lt;&gt;"",COUNTIF(INV_ID,$A686)&gt;1),"⚠ this Unit ID already exists",IF(AND($H686&lt;&gt;"",COUNTIF(INV_Serial,$H686)&gt;1),"⚠ this serial already exists",IF(COUNTIFS(INV_Product,$B686,INV_No,$C686)&gt;1,"⚠ piece number reused",""))))</f>
        <v/>
      </c>
      <c r="P686" s="5" t="n"/>
    </row>
    <row r="687">
      <c r="A687" s="8">
        <f>IF(OR($B687="",$C687=""),"",IFERROR(INDEX(PM_Short,MATCH($B687,PM_ID,0))&amp;"-"&amp;TEXT($C687,"00"),"?? no such product"))</f>
        <v/>
      </c>
      <c r="B687" s="5" t="n"/>
      <c r="C687" s="5" t="n"/>
      <c r="D687" s="8">
        <f>IF($B687="","",IFERROR(INDEX(PM_Category,MATCH($B687,PM_ID,0)),""))</f>
        <v/>
      </c>
      <c r="E687" s="8">
        <f>IF($B687="","",IFERROR(INDEX(PM_Subcategory,MATCH($B687,PM_ID,0)),""))</f>
        <v/>
      </c>
      <c r="F687" s="8">
        <f>IF($B687="","",IFERROR(INDEX(PM_Brand,MATCH($B687,PM_ID,0)),""))</f>
        <v/>
      </c>
      <c r="G687" s="8">
        <f>IF($B687="","",IFERROR(INDEX(PM_Model,MATCH($B687,PM_ID,0)),""))</f>
        <v/>
      </c>
      <c r="H687" s="5" t="n"/>
      <c r="I687" s="10" t="n"/>
      <c r="J687" s="9" t="n"/>
      <c r="K687" s="5" t="n"/>
      <c r="L687" s="5" t="n"/>
      <c r="M687" s="5" t="n"/>
      <c r="N687" s="5" t="n"/>
      <c r="O687" s="8">
        <f>IF($B687="","",IF(AND($A687&lt;&gt;"",COUNTIF(INV_ID,$A687)&gt;1),"⚠ this Unit ID already exists",IF(AND($H687&lt;&gt;"",COUNTIF(INV_Serial,$H687)&gt;1),"⚠ this serial already exists",IF(COUNTIFS(INV_Product,$B687,INV_No,$C687)&gt;1,"⚠ piece number reused",""))))</f>
        <v/>
      </c>
      <c r="P687" s="5" t="n"/>
    </row>
    <row r="688">
      <c r="A688" s="8">
        <f>IF(OR($B688="",$C688=""),"",IFERROR(INDEX(PM_Short,MATCH($B688,PM_ID,0))&amp;"-"&amp;TEXT($C688,"00"),"?? no such product"))</f>
        <v/>
      </c>
      <c r="B688" s="5" t="n"/>
      <c r="C688" s="5" t="n"/>
      <c r="D688" s="8">
        <f>IF($B688="","",IFERROR(INDEX(PM_Category,MATCH($B688,PM_ID,0)),""))</f>
        <v/>
      </c>
      <c r="E688" s="8">
        <f>IF($B688="","",IFERROR(INDEX(PM_Subcategory,MATCH($B688,PM_ID,0)),""))</f>
        <v/>
      </c>
      <c r="F688" s="8">
        <f>IF($B688="","",IFERROR(INDEX(PM_Brand,MATCH($B688,PM_ID,0)),""))</f>
        <v/>
      </c>
      <c r="G688" s="8">
        <f>IF($B688="","",IFERROR(INDEX(PM_Model,MATCH($B688,PM_ID,0)),""))</f>
        <v/>
      </c>
      <c r="H688" s="5" t="n"/>
      <c r="I688" s="10" t="n"/>
      <c r="J688" s="9" t="n"/>
      <c r="K688" s="5" t="n"/>
      <c r="L688" s="5" t="n"/>
      <c r="M688" s="5" t="n"/>
      <c r="N688" s="5" t="n"/>
      <c r="O688" s="8">
        <f>IF($B688="","",IF(AND($A688&lt;&gt;"",COUNTIF(INV_ID,$A688)&gt;1),"⚠ this Unit ID already exists",IF(AND($H688&lt;&gt;"",COUNTIF(INV_Serial,$H688)&gt;1),"⚠ this serial already exists",IF(COUNTIFS(INV_Product,$B688,INV_No,$C688)&gt;1,"⚠ piece number reused",""))))</f>
        <v/>
      </c>
      <c r="P688" s="5" t="n"/>
    </row>
    <row r="689">
      <c r="A689" s="8">
        <f>IF(OR($B689="",$C689=""),"",IFERROR(INDEX(PM_Short,MATCH($B689,PM_ID,0))&amp;"-"&amp;TEXT($C689,"00"),"?? no such product"))</f>
        <v/>
      </c>
      <c r="B689" s="5" t="n"/>
      <c r="C689" s="5" t="n"/>
      <c r="D689" s="8">
        <f>IF($B689="","",IFERROR(INDEX(PM_Category,MATCH($B689,PM_ID,0)),""))</f>
        <v/>
      </c>
      <c r="E689" s="8">
        <f>IF($B689="","",IFERROR(INDEX(PM_Subcategory,MATCH($B689,PM_ID,0)),""))</f>
        <v/>
      </c>
      <c r="F689" s="8">
        <f>IF($B689="","",IFERROR(INDEX(PM_Brand,MATCH($B689,PM_ID,0)),""))</f>
        <v/>
      </c>
      <c r="G689" s="8">
        <f>IF($B689="","",IFERROR(INDEX(PM_Model,MATCH($B689,PM_ID,0)),""))</f>
        <v/>
      </c>
      <c r="H689" s="5" t="n"/>
      <c r="I689" s="10" t="n"/>
      <c r="J689" s="9" t="n"/>
      <c r="K689" s="5" t="n"/>
      <c r="L689" s="5" t="n"/>
      <c r="M689" s="5" t="n"/>
      <c r="N689" s="5" t="n"/>
      <c r="O689" s="8">
        <f>IF($B689="","",IF(AND($A689&lt;&gt;"",COUNTIF(INV_ID,$A689)&gt;1),"⚠ this Unit ID already exists",IF(AND($H689&lt;&gt;"",COUNTIF(INV_Serial,$H689)&gt;1),"⚠ this serial already exists",IF(COUNTIFS(INV_Product,$B689,INV_No,$C689)&gt;1,"⚠ piece number reused",""))))</f>
        <v/>
      </c>
      <c r="P689" s="5" t="n"/>
    </row>
    <row r="690">
      <c r="A690" s="8">
        <f>IF(OR($B690="",$C690=""),"",IFERROR(INDEX(PM_Short,MATCH($B690,PM_ID,0))&amp;"-"&amp;TEXT($C690,"00"),"?? no such product"))</f>
        <v/>
      </c>
      <c r="B690" s="5" t="n"/>
      <c r="C690" s="5" t="n"/>
      <c r="D690" s="8">
        <f>IF($B690="","",IFERROR(INDEX(PM_Category,MATCH($B690,PM_ID,0)),""))</f>
        <v/>
      </c>
      <c r="E690" s="8">
        <f>IF($B690="","",IFERROR(INDEX(PM_Subcategory,MATCH($B690,PM_ID,0)),""))</f>
        <v/>
      </c>
      <c r="F690" s="8">
        <f>IF($B690="","",IFERROR(INDEX(PM_Brand,MATCH($B690,PM_ID,0)),""))</f>
        <v/>
      </c>
      <c r="G690" s="8">
        <f>IF($B690="","",IFERROR(INDEX(PM_Model,MATCH($B690,PM_ID,0)),""))</f>
        <v/>
      </c>
      <c r="H690" s="5" t="n"/>
      <c r="I690" s="10" t="n"/>
      <c r="J690" s="9" t="n"/>
      <c r="K690" s="5" t="n"/>
      <c r="L690" s="5" t="n"/>
      <c r="M690" s="5" t="n"/>
      <c r="N690" s="5" t="n"/>
      <c r="O690" s="8">
        <f>IF($B690="","",IF(AND($A690&lt;&gt;"",COUNTIF(INV_ID,$A690)&gt;1),"⚠ this Unit ID already exists",IF(AND($H690&lt;&gt;"",COUNTIF(INV_Serial,$H690)&gt;1),"⚠ this serial already exists",IF(COUNTIFS(INV_Product,$B690,INV_No,$C690)&gt;1,"⚠ piece number reused",""))))</f>
        <v/>
      </c>
      <c r="P690" s="5" t="n"/>
    </row>
    <row r="691">
      <c r="A691" s="8">
        <f>IF(OR($B691="",$C691=""),"",IFERROR(INDEX(PM_Short,MATCH($B691,PM_ID,0))&amp;"-"&amp;TEXT($C691,"00"),"?? no such product"))</f>
        <v/>
      </c>
      <c r="B691" s="5" t="n"/>
      <c r="C691" s="5" t="n"/>
      <c r="D691" s="8">
        <f>IF($B691="","",IFERROR(INDEX(PM_Category,MATCH($B691,PM_ID,0)),""))</f>
        <v/>
      </c>
      <c r="E691" s="8">
        <f>IF($B691="","",IFERROR(INDEX(PM_Subcategory,MATCH($B691,PM_ID,0)),""))</f>
        <v/>
      </c>
      <c r="F691" s="8">
        <f>IF($B691="","",IFERROR(INDEX(PM_Brand,MATCH($B691,PM_ID,0)),""))</f>
        <v/>
      </c>
      <c r="G691" s="8">
        <f>IF($B691="","",IFERROR(INDEX(PM_Model,MATCH($B691,PM_ID,0)),""))</f>
        <v/>
      </c>
      <c r="H691" s="5" t="n"/>
      <c r="I691" s="10" t="n"/>
      <c r="J691" s="9" t="n"/>
      <c r="K691" s="5" t="n"/>
      <c r="L691" s="5" t="n"/>
      <c r="M691" s="5" t="n"/>
      <c r="N691" s="5" t="n"/>
      <c r="O691" s="8">
        <f>IF($B691="","",IF(AND($A691&lt;&gt;"",COUNTIF(INV_ID,$A691)&gt;1),"⚠ this Unit ID already exists",IF(AND($H691&lt;&gt;"",COUNTIF(INV_Serial,$H691)&gt;1),"⚠ this serial already exists",IF(COUNTIFS(INV_Product,$B691,INV_No,$C691)&gt;1,"⚠ piece number reused",""))))</f>
        <v/>
      </c>
      <c r="P691" s="5" t="n"/>
    </row>
    <row r="692">
      <c r="A692" s="8">
        <f>IF(OR($B692="",$C692=""),"",IFERROR(INDEX(PM_Short,MATCH($B692,PM_ID,0))&amp;"-"&amp;TEXT($C692,"00"),"?? no such product"))</f>
        <v/>
      </c>
      <c r="B692" s="5" t="n"/>
      <c r="C692" s="5" t="n"/>
      <c r="D692" s="8">
        <f>IF($B692="","",IFERROR(INDEX(PM_Category,MATCH($B692,PM_ID,0)),""))</f>
        <v/>
      </c>
      <c r="E692" s="8">
        <f>IF($B692="","",IFERROR(INDEX(PM_Subcategory,MATCH($B692,PM_ID,0)),""))</f>
        <v/>
      </c>
      <c r="F692" s="8">
        <f>IF($B692="","",IFERROR(INDEX(PM_Brand,MATCH($B692,PM_ID,0)),""))</f>
        <v/>
      </c>
      <c r="G692" s="8">
        <f>IF($B692="","",IFERROR(INDEX(PM_Model,MATCH($B692,PM_ID,0)),""))</f>
        <v/>
      </c>
      <c r="H692" s="5" t="n"/>
      <c r="I692" s="10" t="n"/>
      <c r="J692" s="9" t="n"/>
      <c r="K692" s="5" t="n"/>
      <c r="L692" s="5" t="n"/>
      <c r="M692" s="5" t="n"/>
      <c r="N692" s="5" t="n"/>
      <c r="O692" s="8">
        <f>IF($B692="","",IF(AND($A692&lt;&gt;"",COUNTIF(INV_ID,$A692)&gt;1),"⚠ this Unit ID already exists",IF(AND($H692&lt;&gt;"",COUNTIF(INV_Serial,$H692)&gt;1),"⚠ this serial already exists",IF(COUNTIFS(INV_Product,$B692,INV_No,$C692)&gt;1,"⚠ piece number reused",""))))</f>
        <v/>
      </c>
      <c r="P692" s="5" t="n"/>
    </row>
    <row r="693">
      <c r="A693" s="8">
        <f>IF(OR($B693="",$C693=""),"",IFERROR(INDEX(PM_Short,MATCH($B693,PM_ID,0))&amp;"-"&amp;TEXT($C693,"00"),"?? no such product"))</f>
        <v/>
      </c>
      <c r="B693" s="5" t="n"/>
      <c r="C693" s="5" t="n"/>
      <c r="D693" s="8">
        <f>IF($B693="","",IFERROR(INDEX(PM_Category,MATCH($B693,PM_ID,0)),""))</f>
        <v/>
      </c>
      <c r="E693" s="8">
        <f>IF($B693="","",IFERROR(INDEX(PM_Subcategory,MATCH($B693,PM_ID,0)),""))</f>
        <v/>
      </c>
      <c r="F693" s="8">
        <f>IF($B693="","",IFERROR(INDEX(PM_Brand,MATCH($B693,PM_ID,0)),""))</f>
        <v/>
      </c>
      <c r="G693" s="8">
        <f>IF($B693="","",IFERROR(INDEX(PM_Model,MATCH($B693,PM_ID,0)),""))</f>
        <v/>
      </c>
      <c r="H693" s="5" t="n"/>
      <c r="I693" s="10" t="n"/>
      <c r="J693" s="9" t="n"/>
      <c r="K693" s="5" t="n"/>
      <c r="L693" s="5" t="n"/>
      <c r="M693" s="5" t="n"/>
      <c r="N693" s="5" t="n"/>
      <c r="O693" s="8">
        <f>IF($B693="","",IF(AND($A693&lt;&gt;"",COUNTIF(INV_ID,$A693)&gt;1),"⚠ this Unit ID already exists",IF(AND($H693&lt;&gt;"",COUNTIF(INV_Serial,$H693)&gt;1),"⚠ this serial already exists",IF(COUNTIFS(INV_Product,$B693,INV_No,$C693)&gt;1,"⚠ piece number reused",""))))</f>
        <v/>
      </c>
      <c r="P693" s="5" t="n"/>
    </row>
    <row r="694">
      <c r="A694" s="8">
        <f>IF(OR($B694="",$C694=""),"",IFERROR(INDEX(PM_Short,MATCH($B694,PM_ID,0))&amp;"-"&amp;TEXT($C694,"00"),"?? no such product"))</f>
        <v/>
      </c>
      <c r="B694" s="5" t="n"/>
      <c r="C694" s="5" t="n"/>
      <c r="D694" s="8">
        <f>IF($B694="","",IFERROR(INDEX(PM_Category,MATCH($B694,PM_ID,0)),""))</f>
        <v/>
      </c>
      <c r="E694" s="8">
        <f>IF($B694="","",IFERROR(INDEX(PM_Subcategory,MATCH($B694,PM_ID,0)),""))</f>
        <v/>
      </c>
      <c r="F694" s="8">
        <f>IF($B694="","",IFERROR(INDEX(PM_Brand,MATCH($B694,PM_ID,0)),""))</f>
        <v/>
      </c>
      <c r="G694" s="8">
        <f>IF($B694="","",IFERROR(INDEX(PM_Model,MATCH($B694,PM_ID,0)),""))</f>
        <v/>
      </c>
      <c r="H694" s="5" t="n"/>
      <c r="I694" s="10" t="n"/>
      <c r="J694" s="9" t="n"/>
      <c r="K694" s="5" t="n"/>
      <c r="L694" s="5" t="n"/>
      <c r="M694" s="5" t="n"/>
      <c r="N694" s="5" t="n"/>
      <c r="O694" s="8">
        <f>IF($B694="","",IF(AND($A694&lt;&gt;"",COUNTIF(INV_ID,$A694)&gt;1),"⚠ this Unit ID already exists",IF(AND($H694&lt;&gt;"",COUNTIF(INV_Serial,$H694)&gt;1),"⚠ this serial already exists",IF(COUNTIFS(INV_Product,$B694,INV_No,$C694)&gt;1,"⚠ piece number reused",""))))</f>
        <v/>
      </c>
      <c r="P694" s="5" t="n"/>
    </row>
    <row r="695">
      <c r="A695" s="8">
        <f>IF(OR($B695="",$C695=""),"",IFERROR(INDEX(PM_Short,MATCH($B695,PM_ID,0))&amp;"-"&amp;TEXT($C695,"00"),"?? no such product"))</f>
        <v/>
      </c>
      <c r="B695" s="5" t="n"/>
      <c r="C695" s="5" t="n"/>
      <c r="D695" s="8">
        <f>IF($B695="","",IFERROR(INDEX(PM_Category,MATCH($B695,PM_ID,0)),""))</f>
        <v/>
      </c>
      <c r="E695" s="8">
        <f>IF($B695="","",IFERROR(INDEX(PM_Subcategory,MATCH($B695,PM_ID,0)),""))</f>
        <v/>
      </c>
      <c r="F695" s="8">
        <f>IF($B695="","",IFERROR(INDEX(PM_Brand,MATCH($B695,PM_ID,0)),""))</f>
        <v/>
      </c>
      <c r="G695" s="8">
        <f>IF($B695="","",IFERROR(INDEX(PM_Model,MATCH($B695,PM_ID,0)),""))</f>
        <v/>
      </c>
      <c r="H695" s="5" t="n"/>
      <c r="I695" s="10" t="n"/>
      <c r="J695" s="9" t="n"/>
      <c r="K695" s="5" t="n"/>
      <c r="L695" s="5" t="n"/>
      <c r="M695" s="5" t="n"/>
      <c r="N695" s="5" t="n"/>
      <c r="O695" s="8">
        <f>IF($B695="","",IF(AND($A695&lt;&gt;"",COUNTIF(INV_ID,$A695)&gt;1),"⚠ this Unit ID already exists",IF(AND($H695&lt;&gt;"",COUNTIF(INV_Serial,$H695)&gt;1),"⚠ this serial already exists",IF(COUNTIFS(INV_Product,$B695,INV_No,$C695)&gt;1,"⚠ piece number reused",""))))</f>
        <v/>
      </c>
      <c r="P695" s="5" t="n"/>
    </row>
    <row r="696">
      <c r="A696" s="8">
        <f>IF(OR($B696="",$C696=""),"",IFERROR(INDEX(PM_Short,MATCH($B696,PM_ID,0))&amp;"-"&amp;TEXT($C696,"00"),"?? no such product"))</f>
        <v/>
      </c>
      <c r="B696" s="5" t="n"/>
      <c r="C696" s="5" t="n"/>
      <c r="D696" s="8">
        <f>IF($B696="","",IFERROR(INDEX(PM_Category,MATCH($B696,PM_ID,0)),""))</f>
        <v/>
      </c>
      <c r="E696" s="8">
        <f>IF($B696="","",IFERROR(INDEX(PM_Subcategory,MATCH($B696,PM_ID,0)),""))</f>
        <v/>
      </c>
      <c r="F696" s="8">
        <f>IF($B696="","",IFERROR(INDEX(PM_Brand,MATCH($B696,PM_ID,0)),""))</f>
        <v/>
      </c>
      <c r="G696" s="8">
        <f>IF($B696="","",IFERROR(INDEX(PM_Model,MATCH($B696,PM_ID,0)),""))</f>
        <v/>
      </c>
      <c r="H696" s="5" t="n"/>
      <c r="I696" s="10" t="n"/>
      <c r="J696" s="9" t="n"/>
      <c r="K696" s="5" t="n"/>
      <c r="L696" s="5" t="n"/>
      <c r="M696" s="5" t="n"/>
      <c r="N696" s="5" t="n"/>
      <c r="O696" s="8">
        <f>IF($B696="","",IF(AND($A696&lt;&gt;"",COUNTIF(INV_ID,$A696)&gt;1),"⚠ this Unit ID already exists",IF(AND($H696&lt;&gt;"",COUNTIF(INV_Serial,$H696)&gt;1),"⚠ this serial already exists",IF(COUNTIFS(INV_Product,$B696,INV_No,$C696)&gt;1,"⚠ piece number reused",""))))</f>
        <v/>
      </c>
      <c r="P696" s="5" t="n"/>
    </row>
    <row r="697">
      <c r="A697" s="8">
        <f>IF(OR($B697="",$C697=""),"",IFERROR(INDEX(PM_Short,MATCH($B697,PM_ID,0))&amp;"-"&amp;TEXT($C697,"00"),"?? no such product"))</f>
        <v/>
      </c>
      <c r="B697" s="5" t="n"/>
      <c r="C697" s="5" t="n"/>
      <c r="D697" s="8">
        <f>IF($B697="","",IFERROR(INDEX(PM_Category,MATCH($B697,PM_ID,0)),""))</f>
        <v/>
      </c>
      <c r="E697" s="8">
        <f>IF($B697="","",IFERROR(INDEX(PM_Subcategory,MATCH($B697,PM_ID,0)),""))</f>
        <v/>
      </c>
      <c r="F697" s="8">
        <f>IF($B697="","",IFERROR(INDEX(PM_Brand,MATCH($B697,PM_ID,0)),""))</f>
        <v/>
      </c>
      <c r="G697" s="8">
        <f>IF($B697="","",IFERROR(INDEX(PM_Model,MATCH($B697,PM_ID,0)),""))</f>
        <v/>
      </c>
      <c r="H697" s="5" t="n"/>
      <c r="I697" s="10" t="n"/>
      <c r="J697" s="9" t="n"/>
      <c r="K697" s="5" t="n"/>
      <c r="L697" s="5" t="n"/>
      <c r="M697" s="5" t="n"/>
      <c r="N697" s="5" t="n"/>
      <c r="O697" s="8">
        <f>IF($B697="","",IF(AND($A697&lt;&gt;"",COUNTIF(INV_ID,$A697)&gt;1),"⚠ this Unit ID already exists",IF(AND($H697&lt;&gt;"",COUNTIF(INV_Serial,$H697)&gt;1),"⚠ this serial already exists",IF(COUNTIFS(INV_Product,$B697,INV_No,$C697)&gt;1,"⚠ piece number reused",""))))</f>
        <v/>
      </c>
      <c r="P697" s="5" t="n"/>
    </row>
    <row r="698">
      <c r="A698" s="8">
        <f>IF(OR($B698="",$C698=""),"",IFERROR(INDEX(PM_Short,MATCH($B698,PM_ID,0))&amp;"-"&amp;TEXT($C698,"00"),"?? no such product"))</f>
        <v/>
      </c>
      <c r="B698" s="5" t="n"/>
      <c r="C698" s="5" t="n"/>
      <c r="D698" s="8">
        <f>IF($B698="","",IFERROR(INDEX(PM_Category,MATCH($B698,PM_ID,0)),""))</f>
        <v/>
      </c>
      <c r="E698" s="8">
        <f>IF($B698="","",IFERROR(INDEX(PM_Subcategory,MATCH($B698,PM_ID,0)),""))</f>
        <v/>
      </c>
      <c r="F698" s="8">
        <f>IF($B698="","",IFERROR(INDEX(PM_Brand,MATCH($B698,PM_ID,0)),""))</f>
        <v/>
      </c>
      <c r="G698" s="8">
        <f>IF($B698="","",IFERROR(INDEX(PM_Model,MATCH($B698,PM_ID,0)),""))</f>
        <v/>
      </c>
      <c r="H698" s="5" t="n"/>
      <c r="I698" s="10" t="n"/>
      <c r="J698" s="9" t="n"/>
      <c r="K698" s="5" t="n"/>
      <c r="L698" s="5" t="n"/>
      <c r="M698" s="5" t="n"/>
      <c r="N698" s="5" t="n"/>
      <c r="O698" s="8">
        <f>IF($B698="","",IF(AND($A698&lt;&gt;"",COUNTIF(INV_ID,$A698)&gt;1),"⚠ this Unit ID already exists",IF(AND($H698&lt;&gt;"",COUNTIF(INV_Serial,$H698)&gt;1),"⚠ this serial already exists",IF(COUNTIFS(INV_Product,$B698,INV_No,$C698)&gt;1,"⚠ piece number reused",""))))</f>
        <v/>
      </c>
      <c r="P698" s="5" t="n"/>
    </row>
    <row r="699">
      <c r="A699" s="8">
        <f>IF(OR($B699="",$C699=""),"",IFERROR(INDEX(PM_Short,MATCH($B699,PM_ID,0))&amp;"-"&amp;TEXT($C699,"00"),"?? no such product"))</f>
        <v/>
      </c>
      <c r="B699" s="5" t="n"/>
      <c r="C699" s="5" t="n"/>
      <c r="D699" s="8">
        <f>IF($B699="","",IFERROR(INDEX(PM_Category,MATCH($B699,PM_ID,0)),""))</f>
        <v/>
      </c>
      <c r="E699" s="8">
        <f>IF($B699="","",IFERROR(INDEX(PM_Subcategory,MATCH($B699,PM_ID,0)),""))</f>
        <v/>
      </c>
      <c r="F699" s="8">
        <f>IF($B699="","",IFERROR(INDEX(PM_Brand,MATCH($B699,PM_ID,0)),""))</f>
        <v/>
      </c>
      <c r="G699" s="8">
        <f>IF($B699="","",IFERROR(INDEX(PM_Model,MATCH($B699,PM_ID,0)),""))</f>
        <v/>
      </c>
      <c r="H699" s="5" t="n"/>
      <c r="I699" s="10" t="n"/>
      <c r="J699" s="9" t="n"/>
      <c r="K699" s="5" t="n"/>
      <c r="L699" s="5" t="n"/>
      <c r="M699" s="5" t="n"/>
      <c r="N699" s="5" t="n"/>
      <c r="O699" s="8">
        <f>IF($B699="","",IF(AND($A699&lt;&gt;"",COUNTIF(INV_ID,$A699)&gt;1),"⚠ this Unit ID already exists",IF(AND($H699&lt;&gt;"",COUNTIF(INV_Serial,$H699)&gt;1),"⚠ this serial already exists",IF(COUNTIFS(INV_Product,$B699,INV_No,$C699)&gt;1,"⚠ piece number reused",""))))</f>
        <v/>
      </c>
      <c r="P699" s="5" t="n"/>
    </row>
    <row r="700">
      <c r="A700" s="8">
        <f>IF(OR($B700="",$C700=""),"",IFERROR(INDEX(PM_Short,MATCH($B700,PM_ID,0))&amp;"-"&amp;TEXT($C700,"00"),"?? no such product"))</f>
        <v/>
      </c>
      <c r="B700" s="5" t="n"/>
      <c r="C700" s="5" t="n"/>
      <c r="D700" s="8">
        <f>IF($B700="","",IFERROR(INDEX(PM_Category,MATCH($B700,PM_ID,0)),""))</f>
        <v/>
      </c>
      <c r="E700" s="8">
        <f>IF($B700="","",IFERROR(INDEX(PM_Subcategory,MATCH($B700,PM_ID,0)),""))</f>
        <v/>
      </c>
      <c r="F700" s="8">
        <f>IF($B700="","",IFERROR(INDEX(PM_Brand,MATCH($B700,PM_ID,0)),""))</f>
        <v/>
      </c>
      <c r="G700" s="8">
        <f>IF($B700="","",IFERROR(INDEX(PM_Model,MATCH($B700,PM_ID,0)),""))</f>
        <v/>
      </c>
      <c r="H700" s="5" t="n"/>
      <c r="I700" s="10" t="n"/>
      <c r="J700" s="9" t="n"/>
      <c r="K700" s="5" t="n"/>
      <c r="L700" s="5" t="n"/>
      <c r="M700" s="5" t="n"/>
      <c r="N700" s="5" t="n"/>
      <c r="O700" s="8">
        <f>IF($B700="","",IF(AND($A700&lt;&gt;"",COUNTIF(INV_ID,$A700)&gt;1),"⚠ this Unit ID already exists",IF(AND($H700&lt;&gt;"",COUNTIF(INV_Serial,$H700)&gt;1),"⚠ this serial already exists",IF(COUNTIFS(INV_Product,$B700,INV_No,$C700)&gt;1,"⚠ piece number reused",""))))</f>
        <v/>
      </c>
      <c r="P700" s="5" t="n"/>
    </row>
    <row r="701">
      <c r="A701" s="8">
        <f>IF(OR($B701="",$C701=""),"",IFERROR(INDEX(PM_Short,MATCH($B701,PM_ID,0))&amp;"-"&amp;TEXT($C701,"00"),"?? no such product"))</f>
        <v/>
      </c>
      <c r="B701" s="5" t="n"/>
      <c r="C701" s="5" t="n"/>
      <c r="D701" s="8">
        <f>IF($B701="","",IFERROR(INDEX(PM_Category,MATCH($B701,PM_ID,0)),""))</f>
        <v/>
      </c>
      <c r="E701" s="8">
        <f>IF($B701="","",IFERROR(INDEX(PM_Subcategory,MATCH($B701,PM_ID,0)),""))</f>
        <v/>
      </c>
      <c r="F701" s="8">
        <f>IF($B701="","",IFERROR(INDEX(PM_Brand,MATCH($B701,PM_ID,0)),""))</f>
        <v/>
      </c>
      <c r="G701" s="8">
        <f>IF($B701="","",IFERROR(INDEX(PM_Model,MATCH($B701,PM_ID,0)),""))</f>
        <v/>
      </c>
      <c r="H701" s="5" t="n"/>
      <c r="I701" s="10" t="n"/>
      <c r="J701" s="9" t="n"/>
      <c r="K701" s="5" t="n"/>
      <c r="L701" s="5" t="n"/>
      <c r="M701" s="5" t="n"/>
      <c r="N701" s="5" t="n"/>
      <c r="O701" s="8">
        <f>IF($B701="","",IF(AND($A701&lt;&gt;"",COUNTIF(INV_ID,$A701)&gt;1),"⚠ this Unit ID already exists",IF(AND($H701&lt;&gt;"",COUNTIF(INV_Serial,$H701)&gt;1),"⚠ this serial already exists",IF(COUNTIFS(INV_Product,$B701,INV_No,$C701)&gt;1,"⚠ piece number reused",""))))</f>
        <v/>
      </c>
      <c r="P701" s="5" t="n"/>
    </row>
    <row r="702">
      <c r="A702" s="8">
        <f>IF(OR($B702="",$C702=""),"",IFERROR(INDEX(PM_Short,MATCH($B702,PM_ID,0))&amp;"-"&amp;TEXT($C702,"00"),"?? no such product"))</f>
        <v/>
      </c>
      <c r="B702" s="5" t="n"/>
      <c r="C702" s="5" t="n"/>
      <c r="D702" s="8">
        <f>IF($B702="","",IFERROR(INDEX(PM_Category,MATCH($B702,PM_ID,0)),""))</f>
        <v/>
      </c>
      <c r="E702" s="8">
        <f>IF($B702="","",IFERROR(INDEX(PM_Subcategory,MATCH($B702,PM_ID,0)),""))</f>
        <v/>
      </c>
      <c r="F702" s="8">
        <f>IF($B702="","",IFERROR(INDEX(PM_Brand,MATCH($B702,PM_ID,0)),""))</f>
        <v/>
      </c>
      <c r="G702" s="8">
        <f>IF($B702="","",IFERROR(INDEX(PM_Model,MATCH($B702,PM_ID,0)),""))</f>
        <v/>
      </c>
      <c r="H702" s="5" t="n"/>
      <c r="I702" s="10" t="n"/>
      <c r="J702" s="9" t="n"/>
      <c r="K702" s="5" t="n"/>
      <c r="L702" s="5" t="n"/>
      <c r="M702" s="5" t="n"/>
      <c r="N702" s="5" t="n"/>
      <c r="O702" s="8">
        <f>IF($B702="","",IF(AND($A702&lt;&gt;"",COUNTIF(INV_ID,$A702)&gt;1),"⚠ this Unit ID already exists",IF(AND($H702&lt;&gt;"",COUNTIF(INV_Serial,$H702)&gt;1),"⚠ this serial already exists",IF(COUNTIFS(INV_Product,$B702,INV_No,$C702)&gt;1,"⚠ piece number reused",""))))</f>
        <v/>
      </c>
      <c r="P702" s="5" t="n"/>
    </row>
    <row r="703">
      <c r="A703" s="8">
        <f>IF(OR($B703="",$C703=""),"",IFERROR(INDEX(PM_Short,MATCH($B703,PM_ID,0))&amp;"-"&amp;TEXT($C703,"00"),"?? no such product"))</f>
        <v/>
      </c>
      <c r="B703" s="5" t="n"/>
      <c r="C703" s="5" t="n"/>
      <c r="D703" s="8">
        <f>IF($B703="","",IFERROR(INDEX(PM_Category,MATCH($B703,PM_ID,0)),""))</f>
        <v/>
      </c>
      <c r="E703" s="8">
        <f>IF($B703="","",IFERROR(INDEX(PM_Subcategory,MATCH($B703,PM_ID,0)),""))</f>
        <v/>
      </c>
      <c r="F703" s="8">
        <f>IF($B703="","",IFERROR(INDEX(PM_Brand,MATCH($B703,PM_ID,0)),""))</f>
        <v/>
      </c>
      <c r="G703" s="8">
        <f>IF($B703="","",IFERROR(INDEX(PM_Model,MATCH($B703,PM_ID,0)),""))</f>
        <v/>
      </c>
      <c r="H703" s="5" t="n"/>
      <c r="I703" s="10" t="n"/>
      <c r="J703" s="9" t="n"/>
      <c r="K703" s="5" t="n"/>
      <c r="L703" s="5" t="n"/>
      <c r="M703" s="5" t="n"/>
      <c r="N703" s="5" t="n"/>
      <c r="O703" s="8">
        <f>IF($B703="","",IF(AND($A703&lt;&gt;"",COUNTIF(INV_ID,$A703)&gt;1),"⚠ this Unit ID already exists",IF(AND($H703&lt;&gt;"",COUNTIF(INV_Serial,$H703)&gt;1),"⚠ this serial already exists",IF(COUNTIFS(INV_Product,$B703,INV_No,$C703)&gt;1,"⚠ piece number reused",""))))</f>
        <v/>
      </c>
      <c r="P703" s="5" t="n"/>
    </row>
    <row r="704">
      <c r="A704" s="8">
        <f>IF(OR($B704="",$C704=""),"",IFERROR(INDEX(PM_Short,MATCH($B704,PM_ID,0))&amp;"-"&amp;TEXT($C704,"00"),"?? no such product"))</f>
        <v/>
      </c>
      <c r="B704" s="5" t="n"/>
      <c r="C704" s="5" t="n"/>
      <c r="D704" s="8">
        <f>IF($B704="","",IFERROR(INDEX(PM_Category,MATCH($B704,PM_ID,0)),""))</f>
        <v/>
      </c>
      <c r="E704" s="8">
        <f>IF($B704="","",IFERROR(INDEX(PM_Subcategory,MATCH($B704,PM_ID,0)),""))</f>
        <v/>
      </c>
      <c r="F704" s="8">
        <f>IF($B704="","",IFERROR(INDEX(PM_Brand,MATCH($B704,PM_ID,0)),""))</f>
        <v/>
      </c>
      <c r="G704" s="8">
        <f>IF($B704="","",IFERROR(INDEX(PM_Model,MATCH($B704,PM_ID,0)),""))</f>
        <v/>
      </c>
      <c r="H704" s="5" t="n"/>
      <c r="I704" s="10" t="n"/>
      <c r="J704" s="9" t="n"/>
      <c r="K704" s="5" t="n"/>
      <c r="L704" s="5" t="n"/>
      <c r="M704" s="5" t="n"/>
      <c r="N704" s="5" t="n"/>
      <c r="O704" s="8">
        <f>IF($B704="","",IF(AND($A704&lt;&gt;"",COUNTIF(INV_ID,$A704)&gt;1),"⚠ this Unit ID already exists",IF(AND($H704&lt;&gt;"",COUNTIF(INV_Serial,$H704)&gt;1),"⚠ this serial already exists",IF(COUNTIFS(INV_Product,$B704,INV_No,$C704)&gt;1,"⚠ piece number reused",""))))</f>
        <v/>
      </c>
      <c r="P704" s="5" t="n"/>
    </row>
    <row r="705">
      <c r="A705" s="8">
        <f>IF(OR($B705="",$C705=""),"",IFERROR(INDEX(PM_Short,MATCH($B705,PM_ID,0))&amp;"-"&amp;TEXT($C705,"00"),"?? no such product"))</f>
        <v/>
      </c>
      <c r="B705" s="5" t="n"/>
      <c r="C705" s="5" t="n"/>
      <c r="D705" s="8">
        <f>IF($B705="","",IFERROR(INDEX(PM_Category,MATCH($B705,PM_ID,0)),""))</f>
        <v/>
      </c>
      <c r="E705" s="8">
        <f>IF($B705="","",IFERROR(INDEX(PM_Subcategory,MATCH($B705,PM_ID,0)),""))</f>
        <v/>
      </c>
      <c r="F705" s="8">
        <f>IF($B705="","",IFERROR(INDEX(PM_Brand,MATCH($B705,PM_ID,0)),""))</f>
        <v/>
      </c>
      <c r="G705" s="8">
        <f>IF($B705="","",IFERROR(INDEX(PM_Model,MATCH($B705,PM_ID,0)),""))</f>
        <v/>
      </c>
      <c r="H705" s="5" t="n"/>
      <c r="I705" s="10" t="n"/>
      <c r="J705" s="9" t="n"/>
      <c r="K705" s="5" t="n"/>
      <c r="L705" s="5" t="n"/>
      <c r="M705" s="5" t="n"/>
      <c r="N705" s="5" t="n"/>
      <c r="O705" s="8">
        <f>IF($B705="","",IF(AND($A705&lt;&gt;"",COUNTIF(INV_ID,$A705)&gt;1),"⚠ this Unit ID already exists",IF(AND($H705&lt;&gt;"",COUNTIF(INV_Serial,$H705)&gt;1),"⚠ this serial already exists",IF(COUNTIFS(INV_Product,$B705,INV_No,$C705)&gt;1,"⚠ piece number reused",""))))</f>
        <v/>
      </c>
      <c r="P705" s="5" t="n"/>
    </row>
    <row r="706">
      <c r="A706" s="8">
        <f>IF(OR($B706="",$C706=""),"",IFERROR(INDEX(PM_Short,MATCH($B706,PM_ID,0))&amp;"-"&amp;TEXT($C706,"00"),"?? no such product"))</f>
        <v/>
      </c>
      <c r="B706" s="5" t="n"/>
      <c r="C706" s="5" t="n"/>
      <c r="D706" s="8">
        <f>IF($B706="","",IFERROR(INDEX(PM_Category,MATCH($B706,PM_ID,0)),""))</f>
        <v/>
      </c>
      <c r="E706" s="8">
        <f>IF($B706="","",IFERROR(INDEX(PM_Subcategory,MATCH($B706,PM_ID,0)),""))</f>
        <v/>
      </c>
      <c r="F706" s="8">
        <f>IF($B706="","",IFERROR(INDEX(PM_Brand,MATCH($B706,PM_ID,0)),""))</f>
        <v/>
      </c>
      <c r="G706" s="8">
        <f>IF($B706="","",IFERROR(INDEX(PM_Model,MATCH($B706,PM_ID,0)),""))</f>
        <v/>
      </c>
      <c r="H706" s="5" t="n"/>
      <c r="I706" s="10" t="n"/>
      <c r="J706" s="9" t="n"/>
      <c r="K706" s="5" t="n"/>
      <c r="L706" s="5" t="n"/>
      <c r="M706" s="5" t="n"/>
      <c r="N706" s="5" t="n"/>
      <c r="O706" s="8">
        <f>IF($B706="","",IF(AND($A706&lt;&gt;"",COUNTIF(INV_ID,$A706)&gt;1),"⚠ this Unit ID already exists",IF(AND($H706&lt;&gt;"",COUNTIF(INV_Serial,$H706)&gt;1),"⚠ this serial already exists",IF(COUNTIFS(INV_Product,$B706,INV_No,$C706)&gt;1,"⚠ piece number reused",""))))</f>
        <v/>
      </c>
      <c r="P706" s="5" t="n"/>
    </row>
    <row r="707">
      <c r="A707" s="8">
        <f>IF(OR($B707="",$C707=""),"",IFERROR(INDEX(PM_Short,MATCH($B707,PM_ID,0))&amp;"-"&amp;TEXT($C707,"00"),"?? no such product"))</f>
        <v/>
      </c>
      <c r="B707" s="5" t="n"/>
      <c r="C707" s="5" t="n"/>
      <c r="D707" s="8">
        <f>IF($B707="","",IFERROR(INDEX(PM_Category,MATCH($B707,PM_ID,0)),""))</f>
        <v/>
      </c>
      <c r="E707" s="8">
        <f>IF($B707="","",IFERROR(INDEX(PM_Subcategory,MATCH($B707,PM_ID,0)),""))</f>
        <v/>
      </c>
      <c r="F707" s="8">
        <f>IF($B707="","",IFERROR(INDEX(PM_Brand,MATCH($B707,PM_ID,0)),""))</f>
        <v/>
      </c>
      <c r="G707" s="8">
        <f>IF($B707="","",IFERROR(INDEX(PM_Model,MATCH($B707,PM_ID,0)),""))</f>
        <v/>
      </c>
      <c r="H707" s="5" t="n"/>
      <c r="I707" s="10" t="n"/>
      <c r="J707" s="9" t="n"/>
      <c r="K707" s="5" t="n"/>
      <c r="L707" s="5" t="n"/>
      <c r="M707" s="5" t="n"/>
      <c r="N707" s="5" t="n"/>
      <c r="O707" s="8">
        <f>IF($B707="","",IF(AND($A707&lt;&gt;"",COUNTIF(INV_ID,$A707)&gt;1),"⚠ this Unit ID already exists",IF(AND($H707&lt;&gt;"",COUNTIF(INV_Serial,$H707)&gt;1),"⚠ this serial already exists",IF(COUNTIFS(INV_Product,$B707,INV_No,$C707)&gt;1,"⚠ piece number reused",""))))</f>
        <v/>
      </c>
      <c r="P707" s="5" t="n"/>
    </row>
    <row r="708">
      <c r="A708" s="8">
        <f>IF(OR($B708="",$C708=""),"",IFERROR(INDEX(PM_Short,MATCH($B708,PM_ID,0))&amp;"-"&amp;TEXT($C708,"00"),"?? no such product"))</f>
        <v/>
      </c>
      <c r="B708" s="5" t="n"/>
      <c r="C708" s="5" t="n"/>
      <c r="D708" s="8">
        <f>IF($B708="","",IFERROR(INDEX(PM_Category,MATCH($B708,PM_ID,0)),""))</f>
        <v/>
      </c>
      <c r="E708" s="8">
        <f>IF($B708="","",IFERROR(INDEX(PM_Subcategory,MATCH($B708,PM_ID,0)),""))</f>
        <v/>
      </c>
      <c r="F708" s="8">
        <f>IF($B708="","",IFERROR(INDEX(PM_Brand,MATCH($B708,PM_ID,0)),""))</f>
        <v/>
      </c>
      <c r="G708" s="8">
        <f>IF($B708="","",IFERROR(INDEX(PM_Model,MATCH($B708,PM_ID,0)),""))</f>
        <v/>
      </c>
      <c r="H708" s="5" t="n"/>
      <c r="I708" s="10" t="n"/>
      <c r="J708" s="9" t="n"/>
      <c r="K708" s="5" t="n"/>
      <c r="L708" s="5" t="n"/>
      <c r="M708" s="5" t="n"/>
      <c r="N708" s="5" t="n"/>
      <c r="O708" s="8">
        <f>IF($B708="","",IF(AND($A708&lt;&gt;"",COUNTIF(INV_ID,$A708)&gt;1),"⚠ this Unit ID already exists",IF(AND($H708&lt;&gt;"",COUNTIF(INV_Serial,$H708)&gt;1),"⚠ this serial already exists",IF(COUNTIFS(INV_Product,$B708,INV_No,$C708)&gt;1,"⚠ piece number reused",""))))</f>
        <v/>
      </c>
      <c r="P708" s="5" t="n"/>
    </row>
    <row r="709">
      <c r="A709" s="8">
        <f>IF(OR($B709="",$C709=""),"",IFERROR(INDEX(PM_Short,MATCH($B709,PM_ID,0))&amp;"-"&amp;TEXT($C709,"00"),"?? no such product"))</f>
        <v/>
      </c>
      <c r="B709" s="5" t="n"/>
      <c r="C709" s="5" t="n"/>
      <c r="D709" s="8">
        <f>IF($B709="","",IFERROR(INDEX(PM_Category,MATCH($B709,PM_ID,0)),""))</f>
        <v/>
      </c>
      <c r="E709" s="8">
        <f>IF($B709="","",IFERROR(INDEX(PM_Subcategory,MATCH($B709,PM_ID,0)),""))</f>
        <v/>
      </c>
      <c r="F709" s="8">
        <f>IF($B709="","",IFERROR(INDEX(PM_Brand,MATCH($B709,PM_ID,0)),""))</f>
        <v/>
      </c>
      <c r="G709" s="8">
        <f>IF($B709="","",IFERROR(INDEX(PM_Model,MATCH($B709,PM_ID,0)),""))</f>
        <v/>
      </c>
      <c r="H709" s="5" t="n"/>
      <c r="I709" s="10" t="n"/>
      <c r="J709" s="9" t="n"/>
      <c r="K709" s="5" t="n"/>
      <c r="L709" s="5" t="n"/>
      <c r="M709" s="5" t="n"/>
      <c r="N709" s="5" t="n"/>
      <c r="O709" s="8">
        <f>IF($B709="","",IF(AND($A709&lt;&gt;"",COUNTIF(INV_ID,$A709)&gt;1),"⚠ this Unit ID already exists",IF(AND($H709&lt;&gt;"",COUNTIF(INV_Serial,$H709)&gt;1),"⚠ this serial already exists",IF(COUNTIFS(INV_Product,$B709,INV_No,$C709)&gt;1,"⚠ piece number reused",""))))</f>
        <v/>
      </c>
      <c r="P709" s="5" t="n"/>
    </row>
    <row r="710">
      <c r="A710" s="8">
        <f>IF(OR($B710="",$C710=""),"",IFERROR(INDEX(PM_Short,MATCH($B710,PM_ID,0))&amp;"-"&amp;TEXT($C710,"00"),"?? no such product"))</f>
        <v/>
      </c>
      <c r="B710" s="5" t="n"/>
      <c r="C710" s="5" t="n"/>
      <c r="D710" s="8">
        <f>IF($B710="","",IFERROR(INDEX(PM_Category,MATCH($B710,PM_ID,0)),""))</f>
        <v/>
      </c>
      <c r="E710" s="8">
        <f>IF($B710="","",IFERROR(INDEX(PM_Subcategory,MATCH($B710,PM_ID,0)),""))</f>
        <v/>
      </c>
      <c r="F710" s="8">
        <f>IF($B710="","",IFERROR(INDEX(PM_Brand,MATCH($B710,PM_ID,0)),""))</f>
        <v/>
      </c>
      <c r="G710" s="8">
        <f>IF($B710="","",IFERROR(INDEX(PM_Model,MATCH($B710,PM_ID,0)),""))</f>
        <v/>
      </c>
      <c r="H710" s="5" t="n"/>
      <c r="I710" s="10" t="n"/>
      <c r="J710" s="9" t="n"/>
      <c r="K710" s="5" t="n"/>
      <c r="L710" s="5" t="n"/>
      <c r="M710" s="5" t="n"/>
      <c r="N710" s="5" t="n"/>
      <c r="O710" s="8">
        <f>IF($B710="","",IF(AND($A710&lt;&gt;"",COUNTIF(INV_ID,$A710)&gt;1),"⚠ this Unit ID already exists",IF(AND($H710&lt;&gt;"",COUNTIF(INV_Serial,$H710)&gt;1),"⚠ this serial already exists",IF(COUNTIFS(INV_Product,$B710,INV_No,$C710)&gt;1,"⚠ piece number reused",""))))</f>
        <v/>
      </c>
      <c r="P710" s="5" t="n"/>
    </row>
    <row r="711">
      <c r="A711" s="8">
        <f>IF(OR($B711="",$C711=""),"",IFERROR(INDEX(PM_Short,MATCH($B711,PM_ID,0))&amp;"-"&amp;TEXT($C711,"00"),"?? no such product"))</f>
        <v/>
      </c>
      <c r="B711" s="5" t="n"/>
      <c r="C711" s="5" t="n"/>
      <c r="D711" s="8">
        <f>IF($B711="","",IFERROR(INDEX(PM_Category,MATCH($B711,PM_ID,0)),""))</f>
        <v/>
      </c>
      <c r="E711" s="8">
        <f>IF($B711="","",IFERROR(INDEX(PM_Subcategory,MATCH($B711,PM_ID,0)),""))</f>
        <v/>
      </c>
      <c r="F711" s="8">
        <f>IF($B711="","",IFERROR(INDEX(PM_Brand,MATCH($B711,PM_ID,0)),""))</f>
        <v/>
      </c>
      <c r="G711" s="8">
        <f>IF($B711="","",IFERROR(INDEX(PM_Model,MATCH($B711,PM_ID,0)),""))</f>
        <v/>
      </c>
      <c r="H711" s="5" t="n"/>
      <c r="I711" s="10" t="n"/>
      <c r="J711" s="9" t="n"/>
      <c r="K711" s="5" t="n"/>
      <c r="L711" s="5" t="n"/>
      <c r="M711" s="5" t="n"/>
      <c r="N711" s="5" t="n"/>
      <c r="O711" s="8">
        <f>IF($B711="","",IF(AND($A711&lt;&gt;"",COUNTIF(INV_ID,$A711)&gt;1),"⚠ this Unit ID already exists",IF(AND($H711&lt;&gt;"",COUNTIF(INV_Serial,$H711)&gt;1),"⚠ this serial already exists",IF(COUNTIFS(INV_Product,$B711,INV_No,$C711)&gt;1,"⚠ piece number reused",""))))</f>
        <v/>
      </c>
      <c r="P711" s="5" t="n"/>
    </row>
    <row r="712">
      <c r="A712" s="8">
        <f>IF(OR($B712="",$C712=""),"",IFERROR(INDEX(PM_Short,MATCH($B712,PM_ID,0))&amp;"-"&amp;TEXT($C712,"00"),"?? no such product"))</f>
        <v/>
      </c>
      <c r="B712" s="5" t="n"/>
      <c r="C712" s="5" t="n"/>
      <c r="D712" s="8">
        <f>IF($B712="","",IFERROR(INDEX(PM_Category,MATCH($B712,PM_ID,0)),""))</f>
        <v/>
      </c>
      <c r="E712" s="8">
        <f>IF($B712="","",IFERROR(INDEX(PM_Subcategory,MATCH($B712,PM_ID,0)),""))</f>
        <v/>
      </c>
      <c r="F712" s="8">
        <f>IF($B712="","",IFERROR(INDEX(PM_Brand,MATCH($B712,PM_ID,0)),""))</f>
        <v/>
      </c>
      <c r="G712" s="8">
        <f>IF($B712="","",IFERROR(INDEX(PM_Model,MATCH($B712,PM_ID,0)),""))</f>
        <v/>
      </c>
      <c r="H712" s="5" t="n"/>
      <c r="I712" s="10" t="n"/>
      <c r="J712" s="9" t="n"/>
      <c r="K712" s="5" t="n"/>
      <c r="L712" s="5" t="n"/>
      <c r="M712" s="5" t="n"/>
      <c r="N712" s="5" t="n"/>
      <c r="O712" s="8">
        <f>IF($B712="","",IF(AND($A712&lt;&gt;"",COUNTIF(INV_ID,$A712)&gt;1),"⚠ this Unit ID already exists",IF(AND($H712&lt;&gt;"",COUNTIF(INV_Serial,$H712)&gt;1),"⚠ this serial already exists",IF(COUNTIFS(INV_Product,$B712,INV_No,$C712)&gt;1,"⚠ piece number reused",""))))</f>
        <v/>
      </c>
      <c r="P712" s="5" t="n"/>
    </row>
    <row r="713">
      <c r="A713" s="8">
        <f>IF(OR($B713="",$C713=""),"",IFERROR(INDEX(PM_Short,MATCH($B713,PM_ID,0))&amp;"-"&amp;TEXT($C713,"00"),"?? no such product"))</f>
        <v/>
      </c>
      <c r="B713" s="5" t="n"/>
      <c r="C713" s="5" t="n"/>
      <c r="D713" s="8">
        <f>IF($B713="","",IFERROR(INDEX(PM_Category,MATCH($B713,PM_ID,0)),""))</f>
        <v/>
      </c>
      <c r="E713" s="8">
        <f>IF($B713="","",IFERROR(INDEX(PM_Subcategory,MATCH($B713,PM_ID,0)),""))</f>
        <v/>
      </c>
      <c r="F713" s="8">
        <f>IF($B713="","",IFERROR(INDEX(PM_Brand,MATCH($B713,PM_ID,0)),""))</f>
        <v/>
      </c>
      <c r="G713" s="8">
        <f>IF($B713="","",IFERROR(INDEX(PM_Model,MATCH($B713,PM_ID,0)),""))</f>
        <v/>
      </c>
      <c r="H713" s="5" t="n"/>
      <c r="I713" s="10" t="n"/>
      <c r="J713" s="9" t="n"/>
      <c r="K713" s="5" t="n"/>
      <c r="L713" s="5" t="n"/>
      <c r="M713" s="5" t="n"/>
      <c r="N713" s="5" t="n"/>
      <c r="O713" s="8">
        <f>IF($B713="","",IF(AND($A713&lt;&gt;"",COUNTIF(INV_ID,$A713)&gt;1),"⚠ this Unit ID already exists",IF(AND($H713&lt;&gt;"",COUNTIF(INV_Serial,$H713)&gt;1),"⚠ this serial already exists",IF(COUNTIFS(INV_Product,$B713,INV_No,$C713)&gt;1,"⚠ piece number reused",""))))</f>
        <v/>
      </c>
      <c r="P713" s="5" t="n"/>
    </row>
    <row r="714">
      <c r="A714" s="8">
        <f>IF(OR($B714="",$C714=""),"",IFERROR(INDEX(PM_Short,MATCH($B714,PM_ID,0))&amp;"-"&amp;TEXT($C714,"00"),"?? no such product"))</f>
        <v/>
      </c>
      <c r="B714" s="5" t="n"/>
      <c r="C714" s="5" t="n"/>
      <c r="D714" s="8">
        <f>IF($B714="","",IFERROR(INDEX(PM_Category,MATCH($B714,PM_ID,0)),""))</f>
        <v/>
      </c>
      <c r="E714" s="8">
        <f>IF($B714="","",IFERROR(INDEX(PM_Subcategory,MATCH($B714,PM_ID,0)),""))</f>
        <v/>
      </c>
      <c r="F714" s="8">
        <f>IF($B714="","",IFERROR(INDEX(PM_Brand,MATCH($B714,PM_ID,0)),""))</f>
        <v/>
      </c>
      <c r="G714" s="8">
        <f>IF($B714="","",IFERROR(INDEX(PM_Model,MATCH($B714,PM_ID,0)),""))</f>
        <v/>
      </c>
      <c r="H714" s="5" t="n"/>
      <c r="I714" s="10" t="n"/>
      <c r="J714" s="9" t="n"/>
      <c r="K714" s="5" t="n"/>
      <c r="L714" s="5" t="n"/>
      <c r="M714" s="5" t="n"/>
      <c r="N714" s="5" t="n"/>
      <c r="O714" s="8">
        <f>IF($B714="","",IF(AND($A714&lt;&gt;"",COUNTIF(INV_ID,$A714)&gt;1),"⚠ this Unit ID already exists",IF(AND($H714&lt;&gt;"",COUNTIF(INV_Serial,$H714)&gt;1),"⚠ this serial already exists",IF(COUNTIFS(INV_Product,$B714,INV_No,$C714)&gt;1,"⚠ piece number reused",""))))</f>
        <v/>
      </c>
      <c r="P714" s="5" t="n"/>
    </row>
    <row r="715">
      <c r="A715" s="8">
        <f>IF(OR($B715="",$C715=""),"",IFERROR(INDEX(PM_Short,MATCH($B715,PM_ID,0))&amp;"-"&amp;TEXT($C715,"00"),"?? no such product"))</f>
        <v/>
      </c>
      <c r="B715" s="5" t="n"/>
      <c r="C715" s="5" t="n"/>
      <c r="D715" s="8">
        <f>IF($B715="","",IFERROR(INDEX(PM_Category,MATCH($B715,PM_ID,0)),""))</f>
        <v/>
      </c>
      <c r="E715" s="8">
        <f>IF($B715="","",IFERROR(INDEX(PM_Subcategory,MATCH($B715,PM_ID,0)),""))</f>
        <v/>
      </c>
      <c r="F715" s="8">
        <f>IF($B715="","",IFERROR(INDEX(PM_Brand,MATCH($B715,PM_ID,0)),""))</f>
        <v/>
      </c>
      <c r="G715" s="8">
        <f>IF($B715="","",IFERROR(INDEX(PM_Model,MATCH($B715,PM_ID,0)),""))</f>
        <v/>
      </c>
      <c r="H715" s="5" t="n"/>
      <c r="I715" s="10" t="n"/>
      <c r="J715" s="9" t="n"/>
      <c r="K715" s="5" t="n"/>
      <c r="L715" s="5" t="n"/>
      <c r="M715" s="5" t="n"/>
      <c r="N715" s="5" t="n"/>
      <c r="O715" s="8">
        <f>IF($B715="","",IF(AND($A715&lt;&gt;"",COUNTIF(INV_ID,$A715)&gt;1),"⚠ this Unit ID already exists",IF(AND($H715&lt;&gt;"",COUNTIF(INV_Serial,$H715)&gt;1),"⚠ this serial already exists",IF(COUNTIFS(INV_Product,$B715,INV_No,$C715)&gt;1,"⚠ piece number reused",""))))</f>
        <v/>
      </c>
      <c r="P715" s="5" t="n"/>
    </row>
    <row r="716">
      <c r="A716" s="8">
        <f>IF(OR($B716="",$C716=""),"",IFERROR(INDEX(PM_Short,MATCH($B716,PM_ID,0))&amp;"-"&amp;TEXT($C716,"00"),"?? no such product"))</f>
        <v/>
      </c>
      <c r="B716" s="5" t="n"/>
      <c r="C716" s="5" t="n"/>
      <c r="D716" s="8">
        <f>IF($B716="","",IFERROR(INDEX(PM_Category,MATCH($B716,PM_ID,0)),""))</f>
        <v/>
      </c>
      <c r="E716" s="8">
        <f>IF($B716="","",IFERROR(INDEX(PM_Subcategory,MATCH($B716,PM_ID,0)),""))</f>
        <v/>
      </c>
      <c r="F716" s="8">
        <f>IF($B716="","",IFERROR(INDEX(PM_Brand,MATCH($B716,PM_ID,0)),""))</f>
        <v/>
      </c>
      <c r="G716" s="8">
        <f>IF($B716="","",IFERROR(INDEX(PM_Model,MATCH($B716,PM_ID,0)),""))</f>
        <v/>
      </c>
      <c r="H716" s="5" t="n"/>
      <c r="I716" s="10" t="n"/>
      <c r="J716" s="9" t="n"/>
      <c r="K716" s="5" t="n"/>
      <c r="L716" s="5" t="n"/>
      <c r="M716" s="5" t="n"/>
      <c r="N716" s="5" t="n"/>
      <c r="O716" s="8">
        <f>IF($B716="","",IF(AND($A716&lt;&gt;"",COUNTIF(INV_ID,$A716)&gt;1),"⚠ this Unit ID already exists",IF(AND($H716&lt;&gt;"",COUNTIF(INV_Serial,$H716)&gt;1),"⚠ this serial already exists",IF(COUNTIFS(INV_Product,$B716,INV_No,$C716)&gt;1,"⚠ piece number reused",""))))</f>
        <v/>
      </c>
      <c r="P716" s="5" t="n"/>
    </row>
    <row r="717">
      <c r="A717" s="8">
        <f>IF(OR($B717="",$C717=""),"",IFERROR(INDEX(PM_Short,MATCH($B717,PM_ID,0))&amp;"-"&amp;TEXT($C717,"00"),"?? no such product"))</f>
        <v/>
      </c>
      <c r="B717" s="5" t="n"/>
      <c r="C717" s="5" t="n"/>
      <c r="D717" s="8">
        <f>IF($B717="","",IFERROR(INDEX(PM_Category,MATCH($B717,PM_ID,0)),""))</f>
        <v/>
      </c>
      <c r="E717" s="8">
        <f>IF($B717="","",IFERROR(INDEX(PM_Subcategory,MATCH($B717,PM_ID,0)),""))</f>
        <v/>
      </c>
      <c r="F717" s="8">
        <f>IF($B717="","",IFERROR(INDEX(PM_Brand,MATCH($B717,PM_ID,0)),""))</f>
        <v/>
      </c>
      <c r="G717" s="8">
        <f>IF($B717="","",IFERROR(INDEX(PM_Model,MATCH($B717,PM_ID,0)),""))</f>
        <v/>
      </c>
      <c r="H717" s="5" t="n"/>
      <c r="I717" s="10" t="n"/>
      <c r="J717" s="9" t="n"/>
      <c r="K717" s="5" t="n"/>
      <c r="L717" s="5" t="n"/>
      <c r="M717" s="5" t="n"/>
      <c r="N717" s="5" t="n"/>
      <c r="O717" s="8">
        <f>IF($B717="","",IF(AND($A717&lt;&gt;"",COUNTIF(INV_ID,$A717)&gt;1),"⚠ this Unit ID already exists",IF(AND($H717&lt;&gt;"",COUNTIF(INV_Serial,$H717)&gt;1),"⚠ this serial already exists",IF(COUNTIFS(INV_Product,$B717,INV_No,$C717)&gt;1,"⚠ piece number reused",""))))</f>
        <v/>
      </c>
      <c r="P717" s="5" t="n"/>
    </row>
    <row r="718">
      <c r="A718" s="8">
        <f>IF(OR($B718="",$C718=""),"",IFERROR(INDEX(PM_Short,MATCH($B718,PM_ID,0))&amp;"-"&amp;TEXT($C718,"00"),"?? no such product"))</f>
        <v/>
      </c>
      <c r="B718" s="5" t="n"/>
      <c r="C718" s="5" t="n"/>
      <c r="D718" s="8">
        <f>IF($B718="","",IFERROR(INDEX(PM_Category,MATCH($B718,PM_ID,0)),""))</f>
        <v/>
      </c>
      <c r="E718" s="8">
        <f>IF($B718="","",IFERROR(INDEX(PM_Subcategory,MATCH($B718,PM_ID,0)),""))</f>
        <v/>
      </c>
      <c r="F718" s="8">
        <f>IF($B718="","",IFERROR(INDEX(PM_Brand,MATCH($B718,PM_ID,0)),""))</f>
        <v/>
      </c>
      <c r="G718" s="8">
        <f>IF($B718="","",IFERROR(INDEX(PM_Model,MATCH($B718,PM_ID,0)),""))</f>
        <v/>
      </c>
      <c r="H718" s="5" t="n"/>
      <c r="I718" s="10" t="n"/>
      <c r="J718" s="9" t="n"/>
      <c r="K718" s="5" t="n"/>
      <c r="L718" s="5" t="n"/>
      <c r="M718" s="5" t="n"/>
      <c r="N718" s="5" t="n"/>
      <c r="O718" s="8">
        <f>IF($B718="","",IF(AND($A718&lt;&gt;"",COUNTIF(INV_ID,$A718)&gt;1),"⚠ this Unit ID already exists",IF(AND($H718&lt;&gt;"",COUNTIF(INV_Serial,$H718)&gt;1),"⚠ this serial already exists",IF(COUNTIFS(INV_Product,$B718,INV_No,$C718)&gt;1,"⚠ piece number reused",""))))</f>
        <v/>
      </c>
      <c r="P718" s="5" t="n"/>
    </row>
    <row r="719">
      <c r="A719" s="8">
        <f>IF(OR($B719="",$C719=""),"",IFERROR(INDEX(PM_Short,MATCH($B719,PM_ID,0))&amp;"-"&amp;TEXT($C719,"00"),"?? no such product"))</f>
        <v/>
      </c>
      <c r="B719" s="5" t="n"/>
      <c r="C719" s="5" t="n"/>
      <c r="D719" s="8">
        <f>IF($B719="","",IFERROR(INDEX(PM_Category,MATCH($B719,PM_ID,0)),""))</f>
        <v/>
      </c>
      <c r="E719" s="8">
        <f>IF($B719="","",IFERROR(INDEX(PM_Subcategory,MATCH($B719,PM_ID,0)),""))</f>
        <v/>
      </c>
      <c r="F719" s="8">
        <f>IF($B719="","",IFERROR(INDEX(PM_Brand,MATCH($B719,PM_ID,0)),""))</f>
        <v/>
      </c>
      <c r="G719" s="8">
        <f>IF($B719="","",IFERROR(INDEX(PM_Model,MATCH($B719,PM_ID,0)),""))</f>
        <v/>
      </c>
      <c r="H719" s="5" t="n"/>
      <c r="I719" s="10" t="n"/>
      <c r="J719" s="9" t="n"/>
      <c r="K719" s="5" t="n"/>
      <c r="L719" s="5" t="n"/>
      <c r="M719" s="5" t="n"/>
      <c r="N719" s="5" t="n"/>
      <c r="O719" s="8">
        <f>IF($B719="","",IF(AND($A719&lt;&gt;"",COUNTIF(INV_ID,$A719)&gt;1),"⚠ this Unit ID already exists",IF(AND($H719&lt;&gt;"",COUNTIF(INV_Serial,$H719)&gt;1),"⚠ this serial already exists",IF(COUNTIFS(INV_Product,$B719,INV_No,$C719)&gt;1,"⚠ piece number reused",""))))</f>
        <v/>
      </c>
      <c r="P719" s="5" t="n"/>
    </row>
    <row r="720">
      <c r="A720" s="8">
        <f>IF(OR($B720="",$C720=""),"",IFERROR(INDEX(PM_Short,MATCH($B720,PM_ID,0))&amp;"-"&amp;TEXT($C720,"00"),"?? no such product"))</f>
        <v/>
      </c>
      <c r="B720" s="5" t="n"/>
      <c r="C720" s="5" t="n"/>
      <c r="D720" s="8">
        <f>IF($B720="","",IFERROR(INDEX(PM_Category,MATCH($B720,PM_ID,0)),""))</f>
        <v/>
      </c>
      <c r="E720" s="8">
        <f>IF($B720="","",IFERROR(INDEX(PM_Subcategory,MATCH($B720,PM_ID,0)),""))</f>
        <v/>
      </c>
      <c r="F720" s="8">
        <f>IF($B720="","",IFERROR(INDEX(PM_Brand,MATCH($B720,PM_ID,0)),""))</f>
        <v/>
      </c>
      <c r="G720" s="8">
        <f>IF($B720="","",IFERROR(INDEX(PM_Model,MATCH($B720,PM_ID,0)),""))</f>
        <v/>
      </c>
      <c r="H720" s="5" t="n"/>
      <c r="I720" s="10" t="n"/>
      <c r="J720" s="9" t="n"/>
      <c r="K720" s="5" t="n"/>
      <c r="L720" s="5" t="n"/>
      <c r="M720" s="5" t="n"/>
      <c r="N720" s="5" t="n"/>
      <c r="O720" s="8">
        <f>IF($B720="","",IF(AND($A720&lt;&gt;"",COUNTIF(INV_ID,$A720)&gt;1),"⚠ this Unit ID already exists",IF(AND($H720&lt;&gt;"",COUNTIF(INV_Serial,$H720)&gt;1),"⚠ this serial already exists",IF(COUNTIFS(INV_Product,$B720,INV_No,$C720)&gt;1,"⚠ piece number reused",""))))</f>
        <v/>
      </c>
      <c r="P720" s="5" t="n"/>
    </row>
    <row r="721">
      <c r="A721" s="8">
        <f>IF(OR($B721="",$C721=""),"",IFERROR(INDEX(PM_Short,MATCH($B721,PM_ID,0))&amp;"-"&amp;TEXT($C721,"00"),"?? no such product"))</f>
        <v/>
      </c>
      <c r="B721" s="5" t="n"/>
      <c r="C721" s="5" t="n"/>
      <c r="D721" s="8">
        <f>IF($B721="","",IFERROR(INDEX(PM_Category,MATCH($B721,PM_ID,0)),""))</f>
        <v/>
      </c>
      <c r="E721" s="8">
        <f>IF($B721="","",IFERROR(INDEX(PM_Subcategory,MATCH($B721,PM_ID,0)),""))</f>
        <v/>
      </c>
      <c r="F721" s="8">
        <f>IF($B721="","",IFERROR(INDEX(PM_Brand,MATCH($B721,PM_ID,0)),""))</f>
        <v/>
      </c>
      <c r="G721" s="8">
        <f>IF($B721="","",IFERROR(INDEX(PM_Model,MATCH($B721,PM_ID,0)),""))</f>
        <v/>
      </c>
      <c r="H721" s="5" t="n"/>
      <c r="I721" s="10" t="n"/>
      <c r="J721" s="9" t="n"/>
      <c r="K721" s="5" t="n"/>
      <c r="L721" s="5" t="n"/>
      <c r="M721" s="5" t="n"/>
      <c r="N721" s="5" t="n"/>
      <c r="O721" s="8">
        <f>IF($B721="","",IF(AND($A721&lt;&gt;"",COUNTIF(INV_ID,$A721)&gt;1),"⚠ this Unit ID already exists",IF(AND($H721&lt;&gt;"",COUNTIF(INV_Serial,$H721)&gt;1),"⚠ this serial already exists",IF(COUNTIFS(INV_Product,$B721,INV_No,$C721)&gt;1,"⚠ piece number reused",""))))</f>
        <v/>
      </c>
      <c r="P721" s="5" t="n"/>
    </row>
    <row r="722">
      <c r="A722" s="8">
        <f>IF(OR($B722="",$C722=""),"",IFERROR(INDEX(PM_Short,MATCH($B722,PM_ID,0))&amp;"-"&amp;TEXT($C722,"00"),"?? no such product"))</f>
        <v/>
      </c>
      <c r="B722" s="5" t="n"/>
      <c r="C722" s="5" t="n"/>
      <c r="D722" s="8">
        <f>IF($B722="","",IFERROR(INDEX(PM_Category,MATCH($B722,PM_ID,0)),""))</f>
        <v/>
      </c>
      <c r="E722" s="8">
        <f>IF($B722="","",IFERROR(INDEX(PM_Subcategory,MATCH($B722,PM_ID,0)),""))</f>
        <v/>
      </c>
      <c r="F722" s="8">
        <f>IF($B722="","",IFERROR(INDEX(PM_Brand,MATCH($B722,PM_ID,0)),""))</f>
        <v/>
      </c>
      <c r="G722" s="8">
        <f>IF($B722="","",IFERROR(INDEX(PM_Model,MATCH($B722,PM_ID,0)),""))</f>
        <v/>
      </c>
      <c r="H722" s="5" t="n"/>
      <c r="I722" s="10" t="n"/>
      <c r="J722" s="9" t="n"/>
      <c r="K722" s="5" t="n"/>
      <c r="L722" s="5" t="n"/>
      <c r="M722" s="5" t="n"/>
      <c r="N722" s="5" t="n"/>
      <c r="O722" s="8">
        <f>IF($B722="","",IF(AND($A722&lt;&gt;"",COUNTIF(INV_ID,$A722)&gt;1),"⚠ this Unit ID already exists",IF(AND($H722&lt;&gt;"",COUNTIF(INV_Serial,$H722)&gt;1),"⚠ this serial already exists",IF(COUNTIFS(INV_Product,$B722,INV_No,$C722)&gt;1,"⚠ piece number reused",""))))</f>
        <v/>
      </c>
      <c r="P722" s="5" t="n"/>
    </row>
    <row r="723">
      <c r="A723" s="8">
        <f>IF(OR($B723="",$C723=""),"",IFERROR(INDEX(PM_Short,MATCH($B723,PM_ID,0))&amp;"-"&amp;TEXT($C723,"00"),"?? no such product"))</f>
        <v/>
      </c>
      <c r="B723" s="5" t="n"/>
      <c r="C723" s="5" t="n"/>
      <c r="D723" s="8">
        <f>IF($B723="","",IFERROR(INDEX(PM_Category,MATCH($B723,PM_ID,0)),""))</f>
        <v/>
      </c>
      <c r="E723" s="8">
        <f>IF($B723="","",IFERROR(INDEX(PM_Subcategory,MATCH($B723,PM_ID,0)),""))</f>
        <v/>
      </c>
      <c r="F723" s="8">
        <f>IF($B723="","",IFERROR(INDEX(PM_Brand,MATCH($B723,PM_ID,0)),""))</f>
        <v/>
      </c>
      <c r="G723" s="8">
        <f>IF($B723="","",IFERROR(INDEX(PM_Model,MATCH($B723,PM_ID,0)),""))</f>
        <v/>
      </c>
      <c r="H723" s="5" t="n"/>
      <c r="I723" s="10" t="n"/>
      <c r="J723" s="9" t="n"/>
      <c r="K723" s="5" t="n"/>
      <c r="L723" s="5" t="n"/>
      <c r="M723" s="5" t="n"/>
      <c r="N723" s="5" t="n"/>
      <c r="O723" s="8">
        <f>IF($B723="","",IF(AND($A723&lt;&gt;"",COUNTIF(INV_ID,$A723)&gt;1),"⚠ this Unit ID already exists",IF(AND($H723&lt;&gt;"",COUNTIF(INV_Serial,$H723)&gt;1),"⚠ this serial already exists",IF(COUNTIFS(INV_Product,$B723,INV_No,$C723)&gt;1,"⚠ piece number reused",""))))</f>
        <v/>
      </c>
      <c r="P723" s="5" t="n"/>
    </row>
    <row r="724">
      <c r="A724" s="8">
        <f>IF(OR($B724="",$C724=""),"",IFERROR(INDEX(PM_Short,MATCH($B724,PM_ID,0))&amp;"-"&amp;TEXT($C724,"00"),"?? no such product"))</f>
        <v/>
      </c>
      <c r="B724" s="5" t="n"/>
      <c r="C724" s="5" t="n"/>
      <c r="D724" s="8">
        <f>IF($B724="","",IFERROR(INDEX(PM_Category,MATCH($B724,PM_ID,0)),""))</f>
        <v/>
      </c>
      <c r="E724" s="8">
        <f>IF($B724="","",IFERROR(INDEX(PM_Subcategory,MATCH($B724,PM_ID,0)),""))</f>
        <v/>
      </c>
      <c r="F724" s="8">
        <f>IF($B724="","",IFERROR(INDEX(PM_Brand,MATCH($B724,PM_ID,0)),""))</f>
        <v/>
      </c>
      <c r="G724" s="8">
        <f>IF($B724="","",IFERROR(INDEX(PM_Model,MATCH($B724,PM_ID,0)),""))</f>
        <v/>
      </c>
      <c r="H724" s="5" t="n"/>
      <c r="I724" s="10" t="n"/>
      <c r="J724" s="9" t="n"/>
      <c r="K724" s="5" t="n"/>
      <c r="L724" s="5" t="n"/>
      <c r="M724" s="5" t="n"/>
      <c r="N724" s="5" t="n"/>
      <c r="O724" s="8">
        <f>IF($B724="","",IF(AND($A724&lt;&gt;"",COUNTIF(INV_ID,$A724)&gt;1),"⚠ this Unit ID already exists",IF(AND($H724&lt;&gt;"",COUNTIF(INV_Serial,$H724)&gt;1),"⚠ this serial already exists",IF(COUNTIFS(INV_Product,$B724,INV_No,$C724)&gt;1,"⚠ piece number reused",""))))</f>
        <v/>
      </c>
      <c r="P724" s="5" t="n"/>
    </row>
    <row r="725">
      <c r="A725" s="8">
        <f>IF(OR($B725="",$C725=""),"",IFERROR(INDEX(PM_Short,MATCH($B725,PM_ID,0))&amp;"-"&amp;TEXT($C725,"00"),"?? no such product"))</f>
        <v/>
      </c>
      <c r="B725" s="5" t="n"/>
      <c r="C725" s="5" t="n"/>
      <c r="D725" s="8">
        <f>IF($B725="","",IFERROR(INDEX(PM_Category,MATCH($B725,PM_ID,0)),""))</f>
        <v/>
      </c>
      <c r="E725" s="8">
        <f>IF($B725="","",IFERROR(INDEX(PM_Subcategory,MATCH($B725,PM_ID,0)),""))</f>
        <v/>
      </c>
      <c r="F725" s="8">
        <f>IF($B725="","",IFERROR(INDEX(PM_Brand,MATCH($B725,PM_ID,0)),""))</f>
        <v/>
      </c>
      <c r="G725" s="8">
        <f>IF($B725="","",IFERROR(INDEX(PM_Model,MATCH($B725,PM_ID,0)),""))</f>
        <v/>
      </c>
      <c r="H725" s="5" t="n"/>
      <c r="I725" s="10" t="n"/>
      <c r="J725" s="9" t="n"/>
      <c r="K725" s="5" t="n"/>
      <c r="L725" s="5" t="n"/>
      <c r="M725" s="5" t="n"/>
      <c r="N725" s="5" t="n"/>
      <c r="O725" s="8">
        <f>IF($B725="","",IF(AND($A725&lt;&gt;"",COUNTIF(INV_ID,$A725)&gt;1),"⚠ this Unit ID already exists",IF(AND($H725&lt;&gt;"",COUNTIF(INV_Serial,$H725)&gt;1),"⚠ this serial already exists",IF(COUNTIFS(INV_Product,$B725,INV_No,$C725)&gt;1,"⚠ piece number reused",""))))</f>
        <v/>
      </c>
      <c r="P725" s="5" t="n"/>
    </row>
    <row r="726">
      <c r="A726" s="8">
        <f>IF(OR($B726="",$C726=""),"",IFERROR(INDEX(PM_Short,MATCH($B726,PM_ID,0))&amp;"-"&amp;TEXT($C726,"00"),"?? no such product"))</f>
        <v/>
      </c>
      <c r="B726" s="5" t="n"/>
      <c r="C726" s="5" t="n"/>
      <c r="D726" s="8">
        <f>IF($B726="","",IFERROR(INDEX(PM_Category,MATCH($B726,PM_ID,0)),""))</f>
        <v/>
      </c>
      <c r="E726" s="8">
        <f>IF($B726="","",IFERROR(INDEX(PM_Subcategory,MATCH($B726,PM_ID,0)),""))</f>
        <v/>
      </c>
      <c r="F726" s="8">
        <f>IF($B726="","",IFERROR(INDEX(PM_Brand,MATCH($B726,PM_ID,0)),""))</f>
        <v/>
      </c>
      <c r="G726" s="8">
        <f>IF($B726="","",IFERROR(INDEX(PM_Model,MATCH($B726,PM_ID,0)),""))</f>
        <v/>
      </c>
      <c r="H726" s="5" t="n"/>
      <c r="I726" s="10" t="n"/>
      <c r="J726" s="9" t="n"/>
      <c r="K726" s="5" t="n"/>
      <c r="L726" s="5" t="n"/>
      <c r="M726" s="5" t="n"/>
      <c r="N726" s="5" t="n"/>
      <c r="O726" s="8">
        <f>IF($B726="","",IF(AND($A726&lt;&gt;"",COUNTIF(INV_ID,$A726)&gt;1),"⚠ this Unit ID already exists",IF(AND($H726&lt;&gt;"",COUNTIF(INV_Serial,$H726)&gt;1),"⚠ this serial already exists",IF(COUNTIFS(INV_Product,$B726,INV_No,$C726)&gt;1,"⚠ piece number reused",""))))</f>
        <v/>
      </c>
      <c r="P726" s="5" t="n"/>
    </row>
    <row r="727">
      <c r="A727" s="8">
        <f>IF(OR($B727="",$C727=""),"",IFERROR(INDEX(PM_Short,MATCH($B727,PM_ID,0))&amp;"-"&amp;TEXT($C727,"00"),"?? no such product"))</f>
        <v/>
      </c>
      <c r="B727" s="5" t="n"/>
      <c r="C727" s="5" t="n"/>
      <c r="D727" s="8">
        <f>IF($B727="","",IFERROR(INDEX(PM_Category,MATCH($B727,PM_ID,0)),""))</f>
        <v/>
      </c>
      <c r="E727" s="8">
        <f>IF($B727="","",IFERROR(INDEX(PM_Subcategory,MATCH($B727,PM_ID,0)),""))</f>
        <v/>
      </c>
      <c r="F727" s="8">
        <f>IF($B727="","",IFERROR(INDEX(PM_Brand,MATCH($B727,PM_ID,0)),""))</f>
        <v/>
      </c>
      <c r="G727" s="8">
        <f>IF($B727="","",IFERROR(INDEX(PM_Model,MATCH($B727,PM_ID,0)),""))</f>
        <v/>
      </c>
      <c r="H727" s="5" t="n"/>
      <c r="I727" s="10" t="n"/>
      <c r="J727" s="9" t="n"/>
      <c r="K727" s="5" t="n"/>
      <c r="L727" s="5" t="n"/>
      <c r="M727" s="5" t="n"/>
      <c r="N727" s="5" t="n"/>
      <c r="O727" s="8">
        <f>IF($B727="","",IF(AND($A727&lt;&gt;"",COUNTIF(INV_ID,$A727)&gt;1),"⚠ this Unit ID already exists",IF(AND($H727&lt;&gt;"",COUNTIF(INV_Serial,$H727)&gt;1),"⚠ this serial already exists",IF(COUNTIFS(INV_Product,$B727,INV_No,$C727)&gt;1,"⚠ piece number reused",""))))</f>
        <v/>
      </c>
      <c r="P727" s="5" t="n"/>
    </row>
    <row r="728">
      <c r="A728" s="8">
        <f>IF(OR($B728="",$C728=""),"",IFERROR(INDEX(PM_Short,MATCH($B728,PM_ID,0))&amp;"-"&amp;TEXT($C728,"00"),"?? no such product"))</f>
        <v/>
      </c>
      <c r="B728" s="5" t="n"/>
      <c r="C728" s="5" t="n"/>
      <c r="D728" s="8">
        <f>IF($B728="","",IFERROR(INDEX(PM_Category,MATCH($B728,PM_ID,0)),""))</f>
        <v/>
      </c>
      <c r="E728" s="8">
        <f>IF($B728="","",IFERROR(INDEX(PM_Subcategory,MATCH($B728,PM_ID,0)),""))</f>
        <v/>
      </c>
      <c r="F728" s="8">
        <f>IF($B728="","",IFERROR(INDEX(PM_Brand,MATCH($B728,PM_ID,0)),""))</f>
        <v/>
      </c>
      <c r="G728" s="8">
        <f>IF($B728="","",IFERROR(INDEX(PM_Model,MATCH($B728,PM_ID,0)),""))</f>
        <v/>
      </c>
      <c r="H728" s="5" t="n"/>
      <c r="I728" s="10" t="n"/>
      <c r="J728" s="9" t="n"/>
      <c r="K728" s="5" t="n"/>
      <c r="L728" s="5" t="n"/>
      <c r="M728" s="5" t="n"/>
      <c r="N728" s="5" t="n"/>
      <c r="O728" s="8">
        <f>IF($B728="","",IF(AND($A728&lt;&gt;"",COUNTIF(INV_ID,$A728)&gt;1),"⚠ this Unit ID already exists",IF(AND($H728&lt;&gt;"",COUNTIF(INV_Serial,$H728)&gt;1),"⚠ this serial already exists",IF(COUNTIFS(INV_Product,$B728,INV_No,$C728)&gt;1,"⚠ piece number reused",""))))</f>
        <v/>
      </c>
      <c r="P728" s="5" t="n"/>
    </row>
    <row r="729">
      <c r="A729" s="8">
        <f>IF(OR($B729="",$C729=""),"",IFERROR(INDEX(PM_Short,MATCH($B729,PM_ID,0))&amp;"-"&amp;TEXT($C729,"00"),"?? no such product"))</f>
        <v/>
      </c>
      <c r="B729" s="5" t="n"/>
      <c r="C729" s="5" t="n"/>
      <c r="D729" s="8">
        <f>IF($B729="","",IFERROR(INDEX(PM_Category,MATCH($B729,PM_ID,0)),""))</f>
        <v/>
      </c>
      <c r="E729" s="8">
        <f>IF($B729="","",IFERROR(INDEX(PM_Subcategory,MATCH($B729,PM_ID,0)),""))</f>
        <v/>
      </c>
      <c r="F729" s="8">
        <f>IF($B729="","",IFERROR(INDEX(PM_Brand,MATCH($B729,PM_ID,0)),""))</f>
        <v/>
      </c>
      <c r="G729" s="8">
        <f>IF($B729="","",IFERROR(INDEX(PM_Model,MATCH($B729,PM_ID,0)),""))</f>
        <v/>
      </c>
      <c r="H729" s="5" t="n"/>
      <c r="I729" s="10" t="n"/>
      <c r="J729" s="9" t="n"/>
      <c r="K729" s="5" t="n"/>
      <c r="L729" s="5" t="n"/>
      <c r="M729" s="5" t="n"/>
      <c r="N729" s="5" t="n"/>
      <c r="O729" s="8">
        <f>IF($B729="","",IF(AND($A729&lt;&gt;"",COUNTIF(INV_ID,$A729)&gt;1),"⚠ this Unit ID already exists",IF(AND($H729&lt;&gt;"",COUNTIF(INV_Serial,$H729)&gt;1),"⚠ this serial already exists",IF(COUNTIFS(INV_Product,$B729,INV_No,$C729)&gt;1,"⚠ piece number reused",""))))</f>
        <v/>
      </c>
      <c r="P729" s="5" t="n"/>
    </row>
    <row r="730">
      <c r="A730" s="8">
        <f>IF(OR($B730="",$C730=""),"",IFERROR(INDEX(PM_Short,MATCH($B730,PM_ID,0))&amp;"-"&amp;TEXT($C730,"00"),"?? no such product"))</f>
        <v/>
      </c>
      <c r="B730" s="5" t="n"/>
      <c r="C730" s="5" t="n"/>
      <c r="D730" s="8">
        <f>IF($B730="","",IFERROR(INDEX(PM_Category,MATCH($B730,PM_ID,0)),""))</f>
        <v/>
      </c>
      <c r="E730" s="8">
        <f>IF($B730="","",IFERROR(INDEX(PM_Subcategory,MATCH($B730,PM_ID,0)),""))</f>
        <v/>
      </c>
      <c r="F730" s="8">
        <f>IF($B730="","",IFERROR(INDEX(PM_Brand,MATCH($B730,PM_ID,0)),""))</f>
        <v/>
      </c>
      <c r="G730" s="8">
        <f>IF($B730="","",IFERROR(INDEX(PM_Model,MATCH($B730,PM_ID,0)),""))</f>
        <v/>
      </c>
      <c r="H730" s="5" t="n"/>
      <c r="I730" s="10" t="n"/>
      <c r="J730" s="9" t="n"/>
      <c r="K730" s="5" t="n"/>
      <c r="L730" s="5" t="n"/>
      <c r="M730" s="5" t="n"/>
      <c r="N730" s="5" t="n"/>
      <c r="O730" s="8">
        <f>IF($B730="","",IF(AND($A730&lt;&gt;"",COUNTIF(INV_ID,$A730)&gt;1),"⚠ this Unit ID already exists",IF(AND($H730&lt;&gt;"",COUNTIF(INV_Serial,$H730)&gt;1),"⚠ this serial already exists",IF(COUNTIFS(INV_Product,$B730,INV_No,$C730)&gt;1,"⚠ piece number reused",""))))</f>
        <v/>
      </c>
      <c r="P730" s="5" t="n"/>
    </row>
    <row r="731">
      <c r="A731" s="8">
        <f>IF(OR($B731="",$C731=""),"",IFERROR(INDEX(PM_Short,MATCH($B731,PM_ID,0))&amp;"-"&amp;TEXT($C731,"00"),"?? no such product"))</f>
        <v/>
      </c>
      <c r="B731" s="5" t="n"/>
      <c r="C731" s="5" t="n"/>
      <c r="D731" s="8">
        <f>IF($B731="","",IFERROR(INDEX(PM_Category,MATCH($B731,PM_ID,0)),""))</f>
        <v/>
      </c>
      <c r="E731" s="8">
        <f>IF($B731="","",IFERROR(INDEX(PM_Subcategory,MATCH($B731,PM_ID,0)),""))</f>
        <v/>
      </c>
      <c r="F731" s="8">
        <f>IF($B731="","",IFERROR(INDEX(PM_Brand,MATCH($B731,PM_ID,0)),""))</f>
        <v/>
      </c>
      <c r="G731" s="8">
        <f>IF($B731="","",IFERROR(INDEX(PM_Model,MATCH($B731,PM_ID,0)),""))</f>
        <v/>
      </c>
      <c r="H731" s="5" t="n"/>
      <c r="I731" s="10" t="n"/>
      <c r="J731" s="9" t="n"/>
      <c r="K731" s="5" t="n"/>
      <c r="L731" s="5" t="n"/>
      <c r="M731" s="5" t="n"/>
      <c r="N731" s="5" t="n"/>
      <c r="O731" s="8">
        <f>IF($B731="","",IF(AND($A731&lt;&gt;"",COUNTIF(INV_ID,$A731)&gt;1),"⚠ this Unit ID already exists",IF(AND($H731&lt;&gt;"",COUNTIF(INV_Serial,$H731)&gt;1),"⚠ this serial already exists",IF(COUNTIFS(INV_Product,$B731,INV_No,$C731)&gt;1,"⚠ piece number reused",""))))</f>
        <v/>
      </c>
      <c r="P731" s="5" t="n"/>
    </row>
    <row r="732">
      <c r="A732" s="8">
        <f>IF(OR($B732="",$C732=""),"",IFERROR(INDEX(PM_Short,MATCH($B732,PM_ID,0))&amp;"-"&amp;TEXT($C732,"00"),"?? no such product"))</f>
        <v/>
      </c>
      <c r="B732" s="5" t="n"/>
      <c r="C732" s="5" t="n"/>
      <c r="D732" s="8">
        <f>IF($B732="","",IFERROR(INDEX(PM_Category,MATCH($B732,PM_ID,0)),""))</f>
        <v/>
      </c>
      <c r="E732" s="8">
        <f>IF($B732="","",IFERROR(INDEX(PM_Subcategory,MATCH($B732,PM_ID,0)),""))</f>
        <v/>
      </c>
      <c r="F732" s="8">
        <f>IF($B732="","",IFERROR(INDEX(PM_Brand,MATCH($B732,PM_ID,0)),""))</f>
        <v/>
      </c>
      <c r="G732" s="8">
        <f>IF($B732="","",IFERROR(INDEX(PM_Model,MATCH($B732,PM_ID,0)),""))</f>
        <v/>
      </c>
      <c r="H732" s="5" t="n"/>
      <c r="I732" s="10" t="n"/>
      <c r="J732" s="9" t="n"/>
      <c r="K732" s="5" t="n"/>
      <c r="L732" s="5" t="n"/>
      <c r="M732" s="5" t="n"/>
      <c r="N732" s="5" t="n"/>
      <c r="O732" s="8">
        <f>IF($B732="","",IF(AND($A732&lt;&gt;"",COUNTIF(INV_ID,$A732)&gt;1),"⚠ this Unit ID already exists",IF(AND($H732&lt;&gt;"",COUNTIF(INV_Serial,$H732)&gt;1),"⚠ this serial already exists",IF(COUNTIFS(INV_Product,$B732,INV_No,$C732)&gt;1,"⚠ piece number reused",""))))</f>
        <v/>
      </c>
      <c r="P732" s="5" t="n"/>
    </row>
    <row r="733">
      <c r="A733" s="8">
        <f>IF(OR($B733="",$C733=""),"",IFERROR(INDEX(PM_Short,MATCH($B733,PM_ID,0))&amp;"-"&amp;TEXT($C733,"00"),"?? no such product"))</f>
        <v/>
      </c>
      <c r="B733" s="5" t="n"/>
      <c r="C733" s="5" t="n"/>
      <c r="D733" s="8">
        <f>IF($B733="","",IFERROR(INDEX(PM_Category,MATCH($B733,PM_ID,0)),""))</f>
        <v/>
      </c>
      <c r="E733" s="8">
        <f>IF($B733="","",IFERROR(INDEX(PM_Subcategory,MATCH($B733,PM_ID,0)),""))</f>
        <v/>
      </c>
      <c r="F733" s="8">
        <f>IF($B733="","",IFERROR(INDEX(PM_Brand,MATCH($B733,PM_ID,0)),""))</f>
        <v/>
      </c>
      <c r="G733" s="8">
        <f>IF($B733="","",IFERROR(INDEX(PM_Model,MATCH($B733,PM_ID,0)),""))</f>
        <v/>
      </c>
      <c r="H733" s="5" t="n"/>
      <c r="I733" s="10" t="n"/>
      <c r="J733" s="9" t="n"/>
      <c r="K733" s="5" t="n"/>
      <c r="L733" s="5" t="n"/>
      <c r="M733" s="5" t="n"/>
      <c r="N733" s="5" t="n"/>
      <c r="O733" s="8">
        <f>IF($B733="","",IF(AND($A733&lt;&gt;"",COUNTIF(INV_ID,$A733)&gt;1),"⚠ this Unit ID already exists",IF(AND($H733&lt;&gt;"",COUNTIF(INV_Serial,$H733)&gt;1),"⚠ this serial already exists",IF(COUNTIFS(INV_Product,$B733,INV_No,$C733)&gt;1,"⚠ piece number reused",""))))</f>
        <v/>
      </c>
      <c r="P733" s="5" t="n"/>
    </row>
    <row r="734">
      <c r="A734" s="8">
        <f>IF(OR($B734="",$C734=""),"",IFERROR(INDEX(PM_Short,MATCH($B734,PM_ID,0))&amp;"-"&amp;TEXT($C734,"00"),"?? no such product"))</f>
        <v/>
      </c>
      <c r="B734" s="5" t="n"/>
      <c r="C734" s="5" t="n"/>
      <c r="D734" s="8">
        <f>IF($B734="","",IFERROR(INDEX(PM_Category,MATCH($B734,PM_ID,0)),""))</f>
        <v/>
      </c>
      <c r="E734" s="8">
        <f>IF($B734="","",IFERROR(INDEX(PM_Subcategory,MATCH($B734,PM_ID,0)),""))</f>
        <v/>
      </c>
      <c r="F734" s="8">
        <f>IF($B734="","",IFERROR(INDEX(PM_Brand,MATCH($B734,PM_ID,0)),""))</f>
        <v/>
      </c>
      <c r="G734" s="8">
        <f>IF($B734="","",IFERROR(INDEX(PM_Model,MATCH($B734,PM_ID,0)),""))</f>
        <v/>
      </c>
      <c r="H734" s="5" t="n"/>
      <c r="I734" s="10" t="n"/>
      <c r="J734" s="9" t="n"/>
      <c r="K734" s="5" t="n"/>
      <c r="L734" s="5" t="n"/>
      <c r="M734" s="5" t="n"/>
      <c r="N734" s="5" t="n"/>
      <c r="O734" s="8">
        <f>IF($B734="","",IF(AND($A734&lt;&gt;"",COUNTIF(INV_ID,$A734)&gt;1),"⚠ this Unit ID already exists",IF(AND($H734&lt;&gt;"",COUNTIF(INV_Serial,$H734)&gt;1),"⚠ this serial already exists",IF(COUNTIFS(INV_Product,$B734,INV_No,$C734)&gt;1,"⚠ piece number reused",""))))</f>
        <v/>
      </c>
      <c r="P734" s="5" t="n"/>
    </row>
    <row r="735">
      <c r="A735" s="8">
        <f>IF(OR($B735="",$C735=""),"",IFERROR(INDEX(PM_Short,MATCH($B735,PM_ID,0))&amp;"-"&amp;TEXT($C735,"00"),"?? no such product"))</f>
        <v/>
      </c>
      <c r="B735" s="5" t="n"/>
      <c r="C735" s="5" t="n"/>
      <c r="D735" s="8">
        <f>IF($B735="","",IFERROR(INDEX(PM_Category,MATCH($B735,PM_ID,0)),""))</f>
        <v/>
      </c>
      <c r="E735" s="8">
        <f>IF($B735="","",IFERROR(INDEX(PM_Subcategory,MATCH($B735,PM_ID,0)),""))</f>
        <v/>
      </c>
      <c r="F735" s="8">
        <f>IF($B735="","",IFERROR(INDEX(PM_Brand,MATCH($B735,PM_ID,0)),""))</f>
        <v/>
      </c>
      <c r="G735" s="8">
        <f>IF($B735="","",IFERROR(INDEX(PM_Model,MATCH($B735,PM_ID,0)),""))</f>
        <v/>
      </c>
      <c r="H735" s="5" t="n"/>
      <c r="I735" s="10" t="n"/>
      <c r="J735" s="9" t="n"/>
      <c r="K735" s="5" t="n"/>
      <c r="L735" s="5" t="n"/>
      <c r="M735" s="5" t="n"/>
      <c r="N735" s="5" t="n"/>
      <c r="O735" s="8">
        <f>IF($B735="","",IF(AND($A735&lt;&gt;"",COUNTIF(INV_ID,$A735)&gt;1),"⚠ this Unit ID already exists",IF(AND($H735&lt;&gt;"",COUNTIF(INV_Serial,$H735)&gt;1),"⚠ this serial already exists",IF(COUNTIFS(INV_Product,$B735,INV_No,$C735)&gt;1,"⚠ piece number reused",""))))</f>
        <v/>
      </c>
      <c r="P735" s="5" t="n"/>
    </row>
    <row r="736">
      <c r="A736" s="8">
        <f>IF(OR($B736="",$C736=""),"",IFERROR(INDEX(PM_Short,MATCH($B736,PM_ID,0))&amp;"-"&amp;TEXT($C736,"00"),"?? no such product"))</f>
        <v/>
      </c>
      <c r="B736" s="5" t="n"/>
      <c r="C736" s="5" t="n"/>
      <c r="D736" s="8">
        <f>IF($B736="","",IFERROR(INDEX(PM_Category,MATCH($B736,PM_ID,0)),""))</f>
        <v/>
      </c>
      <c r="E736" s="8">
        <f>IF($B736="","",IFERROR(INDEX(PM_Subcategory,MATCH($B736,PM_ID,0)),""))</f>
        <v/>
      </c>
      <c r="F736" s="8">
        <f>IF($B736="","",IFERROR(INDEX(PM_Brand,MATCH($B736,PM_ID,0)),""))</f>
        <v/>
      </c>
      <c r="G736" s="8">
        <f>IF($B736="","",IFERROR(INDEX(PM_Model,MATCH($B736,PM_ID,0)),""))</f>
        <v/>
      </c>
      <c r="H736" s="5" t="n"/>
      <c r="I736" s="10" t="n"/>
      <c r="J736" s="9" t="n"/>
      <c r="K736" s="5" t="n"/>
      <c r="L736" s="5" t="n"/>
      <c r="M736" s="5" t="n"/>
      <c r="N736" s="5" t="n"/>
      <c r="O736" s="8">
        <f>IF($B736="","",IF(AND($A736&lt;&gt;"",COUNTIF(INV_ID,$A736)&gt;1),"⚠ this Unit ID already exists",IF(AND($H736&lt;&gt;"",COUNTIF(INV_Serial,$H736)&gt;1),"⚠ this serial already exists",IF(COUNTIFS(INV_Product,$B736,INV_No,$C736)&gt;1,"⚠ piece number reused",""))))</f>
        <v/>
      </c>
      <c r="P736" s="5" t="n"/>
    </row>
    <row r="737">
      <c r="A737" s="8">
        <f>IF(OR($B737="",$C737=""),"",IFERROR(INDEX(PM_Short,MATCH($B737,PM_ID,0))&amp;"-"&amp;TEXT($C737,"00"),"?? no such product"))</f>
        <v/>
      </c>
      <c r="B737" s="5" t="n"/>
      <c r="C737" s="5" t="n"/>
      <c r="D737" s="8">
        <f>IF($B737="","",IFERROR(INDEX(PM_Category,MATCH($B737,PM_ID,0)),""))</f>
        <v/>
      </c>
      <c r="E737" s="8">
        <f>IF($B737="","",IFERROR(INDEX(PM_Subcategory,MATCH($B737,PM_ID,0)),""))</f>
        <v/>
      </c>
      <c r="F737" s="8">
        <f>IF($B737="","",IFERROR(INDEX(PM_Brand,MATCH($B737,PM_ID,0)),""))</f>
        <v/>
      </c>
      <c r="G737" s="8">
        <f>IF($B737="","",IFERROR(INDEX(PM_Model,MATCH($B737,PM_ID,0)),""))</f>
        <v/>
      </c>
      <c r="H737" s="5" t="n"/>
      <c r="I737" s="10" t="n"/>
      <c r="J737" s="9" t="n"/>
      <c r="K737" s="5" t="n"/>
      <c r="L737" s="5" t="n"/>
      <c r="M737" s="5" t="n"/>
      <c r="N737" s="5" t="n"/>
      <c r="O737" s="8">
        <f>IF($B737="","",IF(AND($A737&lt;&gt;"",COUNTIF(INV_ID,$A737)&gt;1),"⚠ this Unit ID already exists",IF(AND($H737&lt;&gt;"",COUNTIF(INV_Serial,$H737)&gt;1),"⚠ this serial already exists",IF(COUNTIFS(INV_Product,$B737,INV_No,$C737)&gt;1,"⚠ piece number reused",""))))</f>
        <v/>
      </c>
      <c r="P737" s="5" t="n"/>
    </row>
    <row r="738">
      <c r="A738" s="8">
        <f>IF(OR($B738="",$C738=""),"",IFERROR(INDEX(PM_Short,MATCH($B738,PM_ID,0))&amp;"-"&amp;TEXT($C738,"00"),"?? no such product"))</f>
        <v/>
      </c>
      <c r="B738" s="5" t="n"/>
      <c r="C738" s="5" t="n"/>
      <c r="D738" s="8">
        <f>IF($B738="","",IFERROR(INDEX(PM_Category,MATCH($B738,PM_ID,0)),""))</f>
        <v/>
      </c>
      <c r="E738" s="8">
        <f>IF($B738="","",IFERROR(INDEX(PM_Subcategory,MATCH($B738,PM_ID,0)),""))</f>
        <v/>
      </c>
      <c r="F738" s="8">
        <f>IF($B738="","",IFERROR(INDEX(PM_Brand,MATCH($B738,PM_ID,0)),""))</f>
        <v/>
      </c>
      <c r="G738" s="8">
        <f>IF($B738="","",IFERROR(INDEX(PM_Model,MATCH($B738,PM_ID,0)),""))</f>
        <v/>
      </c>
      <c r="H738" s="5" t="n"/>
      <c r="I738" s="10" t="n"/>
      <c r="J738" s="9" t="n"/>
      <c r="K738" s="5" t="n"/>
      <c r="L738" s="5" t="n"/>
      <c r="M738" s="5" t="n"/>
      <c r="N738" s="5" t="n"/>
      <c r="O738" s="8">
        <f>IF($B738="","",IF(AND($A738&lt;&gt;"",COUNTIF(INV_ID,$A738)&gt;1),"⚠ this Unit ID already exists",IF(AND($H738&lt;&gt;"",COUNTIF(INV_Serial,$H738)&gt;1),"⚠ this serial already exists",IF(COUNTIFS(INV_Product,$B738,INV_No,$C738)&gt;1,"⚠ piece number reused",""))))</f>
        <v/>
      </c>
      <c r="P738" s="5" t="n"/>
    </row>
    <row r="739">
      <c r="A739" s="8">
        <f>IF(OR($B739="",$C739=""),"",IFERROR(INDEX(PM_Short,MATCH($B739,PM_ID,0))&amp;"-"&amp;TEXT($C739,"00"),"?? no such product"))</f>
        <v/>
      </c>
      <c r="B739" s="5" t="n"/>
      <c r="C739" s="5" t="n"/>
      <c r="D739" s="8">
        <f>IF($B739="","",IFERROR(INDEX(PM_Category,MATCH($B739,PM_ID,0)),""))</f>
        <v/>
      </c>
      <c r="E739" s="8">
        <f>IF($B739="","",IFERROR(INDEX(PM_Subcategory,MATCH($B739,PM_ID,0)),""))</f>
        <v/>
      </c>
      <c r="F739" s="8">
        <f>IF($B739="","",IFERROR(INDEX(PM_Brand,MATCH($B739,PM_ID,0)),""))</f>
        <v/>
      </c>
      <c r="G739" s="8">
        <f>IF($B739="","",IFERROR(INDEX(PM_Model,MATCH($B739,PM_ID,0)),""))</f>
        <v/>
      </c>
      <c r="H739" s="5" t="n"/>
      <c r="I739" s="10" t="n"/>
      <c r="J739" s="9" t="n"/>
      <c r="K739" s="5" t="n"/>
      <c r="L739" s="5" t="n"/>
      <c r="M739" s="5" t="n"/>
      <c r="N739" s="5" t="n"/>
      <c r="O739" s="8">
        <f>IF($B739="","",IF(AND($A739&lt;&gt;"",COUNTIF(INV_ID,$A739)&gt;1),"⚠ this Unit ID already exists",IF(AND($H739&lt;&gt;"",COUNTIF(INV_Serial,$H739)&gt;1),"⚠ this serial already exists",IF(COUNTIFS(INV_Product,$B739,INV_No,$C739)&gt;1,"⚠ piece number reused",""))))</f>
        <v/>
      </c>
      <c r="P739" s="5" t="n"/>
    </row>
    <row r="740">
      <c r="A740" s="8">
        <f>IF(OR($B740="",$C740=""),"",IFERROR(INDEX(PM_Short,MATCH($B740,PM_ID,0))&amp;"-"&amp;TEXT($C740,"00"),"?? no such product"))</f>
        <v/>
      </c>
      <c r="B740" s="5" t="n"/>
      <c r="C740" s="5" t="n"/>
      <c r="D740" s="8">
        <f>IF($B740="","",IFERROR(INDEX(PM_Category,MATCH($B740,PM_ID,0)),""))</f>
        <v/>
      </c>
      <c r="E740" s="8">
        <f>IF($B740="","",IFERROR(INDEX(PM_Subcategory,MATCH($B740,PM_ID,0)),""))</f>
        <v/>
      </c>
      <c r="F740" s="8">
        <f>IF($B740="","",IFERROR(INDEX(PM_Brand,MATCH($B740,PM_ID,0)),""))</f>
        <v/>
      </c>
      <c r="G740" s="8">
        <f>IF($B740="","",IFERROR(INDEX(PM_Model,MATCH($B740,PM_ID,0)),""))</f>
        <v/>
      </c>
      <c r="H740" s="5" t="n"/>
      <c r="I740" s="10" t="n"/>
      <c r="J740" s="9" t="n"/>
      <c r="K740" s="5" t="n"/>
      <c r="L740" s="5" t="n"/>
      <c r="M740" s="5" t="n"/>
      <c r="N740" s="5" t="n"/>
      <c r="O740" s="8">
        <f>IF($B740="","",IF(AND($A740&lt;&gt;"",COUNTIF(INV_ID,$A740)&gt;1),"⚠ this Unit ID already exists",IF(AND($H740&lt;&gt;"",COUNTIF(INV_Serial,$H740)&gt;1),"⚠ this serial already exists",IF(COUNTIFS(INV_Product,$B740,INV_No,$C740)&gt;1,"⚠ piece number reused",""))))</f>
        <v/>
      </c>
      <c r="P740" s="5" t="n"/>
    </row>
    <row r="741">
      <c r="A741" s="8">
        <f>IF(OR($B741="",$C741=""),"",IFERROR(INDEX(PM_Short,MATCH($B741,PM_ID,0))&amp;"-"&amp;TEXT($C741,"00"),"?? no such product"))</f>
        <v/>
      </c>
      <c r="B741" s="5" t="n"/>
      <c r="C741" s="5" t="n"/>
      <c r="D741" s="8">
        <f>IF($B741="","",IFERROR(INDEX(PM_Category,MATCH($B741,PM_ID,0)),""))</f>
        <v/>
      </c>
      <c r="E741" s="8">
        <f>IF($B741="","",IFERROR(INDEX(PM_Subcategory,MATCH($B741,PM_ID,0)),""))</f>
        <v/>
      </c>
      <c r="F741" s="8">
        <f>IF($B741="","",IFERROR(INDEX(PM_Brand,MATCH($B741,PM_ID,0)),""))</f>
        <v/>
      </c>
      <c r="G741" s="8">
        <f>IF($B741="","",IFERROR(INDEX(PM_Model,MATCH($B741,PM_ID,0)),""))</f>
        <v/>
      </c>
      <c r="H741" s="5" t="n"/>
      <c r="I741" s="10" t="n"/>
      <c r="J741" s="9" t="n"/>
      <c r="K741" s="5" t="n"/>
      <c r="L741" s="5" t="n"/>
      <c r="M741" s="5" t="n"/>
      <c r="N741" s="5" t="n"/>
      <c r="O741" s="8">
        <f>IF($B741="","",IF(AND($A741&lt;&gt;"",COUNTIF(INV_ID,$A741)&gt;1),"⚠ this Unit ID already exists",IF(AND($H741&lt;&gt;"",COUNTIF(INV_Serial,$H741)&gt;1),"⚠ this serial already exists",IF(COUNTIFS(INV_Product,$B741,INV_No,$C741)&gt;1,"⚠ piece number reused",""))))</f>
        <v/>
      </c>
      <c r="P741" s="5" t="n"/>
    </row>
    <row r="742">
      <c r="A742" s="8">
        <f>IF(OR($B742="",$C742=""),"",IFERROR(INDEX(PM_Short,MATCH($B742,PM_ID,0))&amp;"-"&amp;TEXT($C742,"00"),"?? no such product"))</f>
        <v/>
      </c>
      <c r="B742" s="5" t="n"/>
      <c r="C742" s="5" t="n"/>
      <c r="D742" s="8">
        <f>IF($B742="","",IFERROR(INDEX(PM_Category,MATCH($B742,PM_ID,0)),""))</f>
        <v/>
      </c>
      <c r="E742" s="8">
        <f>IF($B742="","",IFERROR(INDEX(PM_Subcategory,MATCH($B742,PM_ID,0)),""))</f>
        <v/>
      </c>
      <c r="F742" s="8">
        <f>IF($B742="","",IFERROR(INDEX(PM_Brand,MATCH($B742,PM_ID,0)),""))</f>
        <v/>
      </c>
      <c r="G742" s="8">
        <f>IF($B742="","",IFERROR(INDEX(PM_Model,MATCH($B742,PM_ID,0)),""))</f>
        <v/>
      </c>
      <c r="H742" s="5" t="n"/>
      <c r="I742" s="10" t="n"/>
      <c r="J742" s="9" t="n"/>
      <c r="K742" s="5" t="n"/>
      <c r="L742" s="5" t="n"/>
      <c r="M742" s="5" t="n"/>
      <c r="N742" s="5" t="n"/>
      <c r="O742" s="8">
        <f>IF($B742="","",IF(AND($A742&lt;&gt;"",COUNTIF(INV_ID,$A742)&gt;1),"⚠ this Unit ID already exists",IF(AND($H742&lt;&gt;"",COUNTIF(INV_Serial,$H742)&gt;1),"⚠ this serial already exists",IF(COUNTIFS(INV_Product,$B742,INV_No,$C742)&gt;1,"⚠ piece number reused",""))))</f>
        <v/>
      </c>
      <c r="P742" s="5" t="n"/>
    </row>
    <row r="743">
      <c r="A743" s="8">
        <f>IF(OR($B743="",$C743=""),"",IFERROR(INDEX(PM_Short,MATCH($B743,PM_ID,0))&amp;"-"&amp;TEXT($C743,"00"),"?? no such product"))</f>
        <v/>
      </c>
      <c r="B743" s="5" t="n"/>
      <c r="C743" s="5" t="n"/>
      <c r="D743" s="8">
        <f>IF($B743="","",IFERROR(INDEX(PM_Category,MATCH($B743,PM_ID,0)),""))</f>
        <v/>
      </c>
      <c r="E743" s="8">
        <f>IF($B743="","",IFERROR(INDEX(PM_Subcategory,MATCH($B743,PM_ID,0)),""))</f>
        <v/>
      </c>
      <c r="F743" s="8">
        <f>IF($B743="","",IFERROR(INDEX(PM_Brand,MATCH($B743,PM_ID,0)),""))</f>
        <v/>
      </c>
      <c r="G743" s="8">
        <f>IF($B743="","",IFERROR(INDEX(PM_Model,MATCH($B743,PM_ID,0)),""))</f>
        <v/>
      </c>
      <c r="H743" s="5" t="n"/>
      <c r="I743" s="10" t="n"/>
      <c r="J743" s="9" t="n"/>
      <c r="K743" s="5" t="n"/>
      <c r="L743" s="5" t="n"/>
      <c r="M743" s="5" t="n"/>
      <c r="N743" s="5" t="n"/>
      <c r="O743" s="8">
        <f>IF($B743="","",IF(AND($A743&lt;&gt;"",COUNTIF(INV_ID,$A743)&gt;1),"⚠ this Unit ID already exists",IF(AND($H743&lt;&gt;"",COUNTIF(INV_Serial,$H743)&gt;1),"⚠ this serial already exists",IF(COUNTIFS(INV_Product,$B743,INV_No,$C743)&gt;1,"⚠ piece number reused",""))))</f>
        <v/>
      </c>
      <c r="P743" s="5" t="n"/>
    </row>
    <row r="744">
      <c r="A744" s="8">
        <f>IF(OR($B744="",$C744=""),"",IFERROR(INDEX(PM_Short,MATCH($B744,PM_ID,0))&amp;"-"&amp;TEXT($C744,"00"),"?? no such product"))</f>
        <v/>
      </c>
      <c r="B744" s="5" t="n"/>
      <c r="C744" s="5" t="n"/>
      <c r="D744" s="8">
        <f>IF($B744="","",IFERROR(INDEX(PM_Category,MATCH($B744,PM_ID,0)),""))</f>
        <v/>
      </c>
      <c r="E744" s="8">
        <f>IF($B744="","",IFERROR(INDEX(PM_Subcategory,MATCH($B744,PM_ID,0)),""))</f>
        <v/>
      </c>
      <c r="F744" s="8">
        <f>IF($B744="","",IFERROR(INDEX(PM_Brand,MATCH($B744,PM_ID,0)),""))</f>
        <v/>
      </c>
      <c r="G744" s="8">
        <f>IF($B744="","",IFERROR(INDEX(PM_Model,MATCH($B744,PM_ID,0)),""))</f>
        <v/>
      </c>
      <c r="H744" s="5" t="n"/>
      <c r="I744" s="10" t="n"/>
      <c r="J744" s="9" t="n"/>
      <c r="K744" s="5" t="n"/>
      <c r="L744" s="5" t="n"/>
      <c r="M744" s="5" t="n"/>
      <c r="N744" s="5" t="n"/>
      <c r="O744" s="8">
        <f>IF($B744="","",IF(AND($A744&lt;&gt;"",COUNTIF(INV_ID,$A744)&gt;1),"⚠ this Unit ID already exists",IF(AND($H744&lt;&gt;"",COUNTIF(INV_Serial,$H744)&gt;1),"⚠ this serial already exists",IF(COUNTIFS(INV_Product,$B744,INV_No,$C744)&gt;1,"⚠ piece number reused",""))))</f>
        <v/>
      </c>
      <c r="P744" s="5" t="n"/>
    </row>
    <row r="745">
      <c r="A745" s="8">
        <f>IF(OR($B745="",$C745=""),"",IFERROR(INDEX(PM_Short,MATCH($B745,PM_ID,0))&amp;"-"&amp;TEXT($C745,"00"),"?? no such product"))</f>
        <v/>
      </c>
      <c r="B745" s="5" t="n"/>
      <c r="C745" s="5" t="n"/>
      <c r="D745" s="8">
        <f>IF($B745="","",IFERROR(INDEX(PM_Category,MATCH($B745,PM_ID,0)),""))</f>
        <v/>
      </c>
      <c r="E745" s="8">
        <f>IF($B745="","",IFERROR(INDEX(PM_Subcategory,MATCH($B745,PM_ID,0)),""))</f>
        <v/>
      </c>
      <c r="F745" s="8">
        <f>IF($B745="","",IFERROR(INDEX(PM_Brand,MATCH($B745,PM_ID,0)),""))</f>
        <v/>
      </c>
      <c r="G745" s="8">
        <f>IF($B745="","",IFERROR(INDEX(PM_Model,MATCH($B745,PM_ID,0)),""))</f>
        <v/>
      </c>
      <c r="H745" s="5" t="n"/>
      <c r="I745" s="10" t="n"/>
      <c r="J745" s="9" t="n"/>
      <c r="K745" s="5" t="n"/>
      <c r="L745" s="5" t="n"/>
      <c r="M745" s="5" t="n"/>
      <c r="N745" s="5" t="n"/>
      <c r="O745" s="8">
        <f>IF($B745="","",IF(AND($A745&lt;&gt;"",COUNTIF(INV_ID,$A745)&gt;1),"⚠ this Unit ID already exists",IF(AND($H745&lt;&gt;"",COUNTIF(INV_Serial,$H745)&gt;1),"⚠ this serial already exists",IF(COUNTIFS(INV_Product,$B745,INV_No,$C745)&gt;1,"⚠ piece number reused",""))))</f>
        <v/>
      </c>
      <c r="P745" s="5" t="n"/>
    </row>
    <row r="746">
      <c r="A746" s="8">
        <f>IF(OR($B746="",$C746=""),"",IFERROR(INDEX(PM_Short,MATCH($B746,PM_ID,0))&amp;"-"&amp;TEXT($C746,"00"),"?? no such product"))</f>
        <v/>
      </c>
      <c r="B746" s="5" t="n"/>
      <c r="C746" s="5" t="n"/>
      <c r="D746" s="8">
        <f>IF($B746="","",IFERROR(INDEX(PM_Category,MATCH($B746,PM_ID,0)),""))</f>
        <v/>
      </c>
      <c r="E746" s="8">
        <f>IF($B746="","",IFERROR(INDEX(PM_Subcategory,MATCH($B746,PM_ID,0)),""))</f>
        <v/>
      </c>
      <c r="F746" s="8">
        <f>IF($B746="","",IFERROR(INDEX(PM_Brand,MATCH($B746,PM_ID,0)),""))</f>
        <v/>
      </c>
      <c r="G746" s="8">
        <f>IF($B746="","",IFERROR(INDEX(PM_Model,MATCH($B746,PM_ID,0)),""))</f>
        <v/>
      </c>
      <c r="H746" s="5" t="n"/>
      <c r="I746" s="10" t="n"/>
      <c r="J746" s="9" t="n"/>
      <c r="K746" s="5" t="n"/>
      <c r="L746" s="5" t="n"/>
      <c r="M746" s="5" t="n"/>
      <c r="N746" s="5" t="n"/>
      <c r="O746" s="8">
        <f>IF($B746="","",IF(AND($A746&lt;&gt;"",COUNTIF(INV_ID,$A746)&gt;1),"⚠ this Unit ID already exists",IF(AND($H746&lt;&gt;"",COUNTIF(INV_Serial,$H746)&gt;1),"⚠ this serial already exists",IF(COUNTIFS(INV_Product,$B746,INV_No,$C746)&gt;1,"⚠ piece number reused",""))))</f>
        <v/>
      </c>
      <c r="P746" s="5" t="n"/>
    </row>
    <row r="747">
      <c r="A747" s="8">
        <f>IF(OR($B747="",$C747=""),"",IFERROR(INDEX(PM_Short,MATCH($B747,PM_ID,0))&amp;"-"&amp;TEXT($C747,"00"),"?? no such product"))</f>
        <v/>
      </c>
      <c r="B747" s="5" t="n"/>
      <c r="C747" s="5" t="n"/>
      <c r="D747" s="8">
        <f>IF($B747="","",IFERROR(INDEX(PM_Category,MATCH($B747,PM_ID,0)),""))</f>
        <v/>
      </c>
      <c r="E747" s="8">
        <f>IF($B747="","",IFERROR(INDEX(PM_Subcategory,MATCH($B747,PM_ID,0)),""))</f>
        <v/>
      </c>
      <c r="F747" s="8">
        <f>IF($B747="","",IFERROR(INDEX(PM_Brand,MATCH($B747,PM_ID,0)),""))</f>
        <v/>
      </c>
      <c r="G747" s="8">
        <f>IF($B747="","",IFERROR(INDEX(PM_Model,MATCH($B747,PM_ID,0)),""))</f>
        <v/>
      </c>
      <c r="H747" s="5" t="n"/>
      <c r="I747" s="10" t="n"/>
      <c r="J747" s="9" t="n"/>
      <c r="K747" s="5" t="n"/>
      <c r="L747" s="5" t="n"/>
      <c r="M747" s="5" t="n"/>
      <c r="N747" s="5" t="n"/>
      <c r="O747" s="8">
        <f>IF($B747="","",IF(AND($A747&lt;&gt;"",COUNTIF(INV_ID,$A747)&gt;1),"⚠ this Unit ID already exists",IF(AND($H747&lt;&gt;"",COUNTIF(INV_Serial,$H747)&gt;1),"⚠ this serial already exists",IF(COUNTIFS(INV_Product,$B747,INV_No,$C747)&gt;1,"⚠ piece number reused",""))))</f>
        <v/>
      </c>
      <c r="P747" s="5" t="n"/>
    </row>
    <row r="748">
      <c r="A748" s="8">
        <f>IF(OR($B748="",$C748=""),"",IFERROR(INDEX(PM_Short,MATCH($B748,PM_ID,0))&amp;"-"&amp;TEXT($C748,"00"),"?? no such product"))</f>
        <v/>
      </c>
      <c r="B748" s="5" t="n"/>
      <c r="C748" s="5" t="n"/>
      <c r="D748" s="8">
        <f>IF($B748="","",IFERROR(INDEX(PM_Category,MATCH($B748,PM_ID,0)),""))</f>
        <v/>
      </c>
      <c r="E748" s="8">
        <f>IF($B748="","",IFERROR(INDEX(PM_Subcategory,MATCH($B748,PM_ID,0)),""))</f>
        <v/>
      </c>
      <c r="F748" s="8">
        <f>IF($B748="","",IFERROR(INDEX(PM_Brand,MATCH($B748,PM_ID,0)),""))</f>
        <v/>
      </c>
      <c r="G748" s="8">
        <f>IF($B748="","",IFERROR(INDEX(PM_Model,MATCH($B748,PM_ID,0)),""))</f>
        <v/>
      </c>
      <c r="H748" s="5" t="n"/>
      <c r="I748" s="10" t="n"/>
      <c r="J748" s="9" t="n"/>
      <c r="K748" s="5" t="n"/>
      <c r="L748" s="5" t="n"/>
      <c r="M748" s="5" t="n"/>
      <c r="N748" s="5" t="n"/>
      <c r="O748" s="8">
        <f>IF($B748="","",IF(AND($A748&lt;&gt;"",COUNTIF(INV_ID,$A748)&gt;1),"⚠ this Unit ID already exists",IF(AND($H748&lt;&gt;"",COUNTIF(INV_Serial,$H748)&gt;1),"⚠ this serial already exists",IF(COUNTIFS(INV_Product,$B748,INV_No,$C748)&gt;1,"⚠ piece number reused",""))))</f>
        <v/>
      </c>
      <c r="P748" s="5" t="n"/>
    </row>
    <row r="749">
      <c r="A749" s="8">
        <f>IF(OR($B749="",$C749=""),"",IFERROR(INDEX(PM_Short,MATCH($B749,PM_ID,0))&amp;"-"&amp;TEXT($C749,"00"),"?? no such product"))</f>
        <v/>
      </c>
      <c r="B749" s="5" t="n"/>
      <c r="C749" s="5" t="n"/>
      <c r="D749" s="8">
        <f>IF($B749="","",IFERROR(INDEX(PM_Category,MATCH($B749,PM_ID,0)),""))</f>
        <v/>
      </c>
      <c r="E749" s="8">
        <f>IF($B749="","",IFERROR(INDEX(PM_Subcategory,MATCH($B749,PM_ID,0)),""))</f>
        <v/>
      </c>
      <c r="F749" s="8">
        <f>IF($B749="","",IFERROR(INDEX(PM_Brand,MATCH($B749,PM_ID,0)),""))</f>
        <v/>
      </c>
      <c r="G749" s="8">
        <f>IF($B749="","",IFERROR(INDEX(PM_Model,MATCH($B749,PM_ID,0)),""))</f>
        <v/>
      </c>
      <c r="H749" s="5" t="n"/>
      <c r="I749" s="10" t="n"/>
      <c r="J749" s="9" t="n"/>
      <c r="K749" s="5" t="n"/>
      <c r="L749" s="5" t="n"/>
      <c r="M749" s="5" t="n"/>
      <c r="N749" s="5" t="n"/>
      <c r="O749" s="8">
        <f>IF($B749="","",IF(AND($A749&lt;&gt;"",COUNTIF(INV_ID,$A749)&gt;1),"⚠ this Unit ID already exists",IF(AND($H749&lt;&gt;"",COUNTIF(INV_Serial,$H749)&gt;1),"⚠ this serial already exists",IF(COUNTIFS(INV_Product,$B749,INV_No,$C749)&gt;1,"⚠ piece number reused",""))))</f>
        <v/>
      </c>
      <c r="P749" s="5" t="n"/>
    </row>
    <row r="750">
      <c r="A750" s="8">
        <f>IF(OR($B750="",$C750=""),"",IFERROR(INDEX(PM_Short,MATCH($B750,PM_ID,0))&amp;"-"&amp;TEXT($C750,"00"),"?? no such product"))</f>
        <v/>
      </c>
      <c r="B750" s="5" t="n"/>
      <c r="C750" s="5" t="n"/>
      <c r="D750" s="8">
        <f>IF($B750="","",IFERROR(INDEX(PM_Category,MATCH($B750,PM_ID,0)),""))</f>
        <v/>
      </c>
      <c r="E750" s="8">
        <f>IF($B750="","",IFERROR(INDEX(PM_Subcategory,MATCH($B750,PM_ID,0)),""))</f>
        <v/>
      </c>
      <c r="F750" s="8">
        <f>IF($B750="","",IFERROR(INDEX(PM_Brand,MATCH($B750,PM_ID,0)),""))</f>
        <v/>
      </c>
      <c r="G750" s="8">
        <f>IF($B750="","",IFERROR(INDEX(PM_Model,MATCH($B750,PM_ID,0)),""))</f>
        <v/>
      </c>
      <c r="H750" s="5" t="n"/>
      <c r="I750" s="10" t="n"/>
      <c r="J750" s="9" t="n"/>
      <c r="K750" s="5" t="n"/>
      <c r="L750" s="5" t="n"/>
      <c r="M750" s="5" t="n"/>
      <c r="N750" s="5" t="n"/>
      <c r="O750" s="8">
        <f>IF($B750="","",IF(AND($A750&lt;&gt;"",COUNTIF(INV_ID,$A750)&gt;1),"⚠ this Unit ID already exists",IF(AND($H750&lt;&gt;"",COUNTIF(INV_Serial,$H750)&gt;1),"⚠ this serial already exists",IF(COUNTIFS(INV_Product,$B750,INV_No,$C750)&gt;1,"⚠ piece number reused",""))))</f>
        <v/>
      </c>
      <c r="P750" s="5" t="n"/>
    </row>
    <row r="751">
      <c r="A751" s="8">
        <f>IF(OR($B751="",$C751=""),"",IFERROR(INDEX(PM_Short,MATCH($B751,PM_ID,0))&amp;"-"&amp;TEXT($C751,"00"),"?? no such product"))</f>
        <v/>
      </c>
      <c r="B751" s="5" t="n"/>
      <c r="C751" s="5" t="n"/>
      <c r="D751" s="8">
        <f>IF($B751="","",IFERROR(INDEX(PM_Category,MATCH($B751,PM_ID,0)),""))</f>
        <v/>
      </c>
      <c r="E751" s="8">
        <f>IF($B751="","",IFERROR(INDEX(PM_Subcategory,MATCH($B751,PM_ID,0)),""))</f>
        <v/>
      </c>
      <c r="F751" s="8">
        <f>IF($B751="","",IFERROR(INDEX(PM_Brand,MATCH($B751,PM_ID,0)),""))</f>
        <v/>
      </c>
      <c r="G751" s="8">
        <f>IF($B751="","",IFERROR(INDEX(PM_Model,MATCH($B751,PM_ID,0)),""))</f>
        <v/>
      </c>
      <c r="H751" s="5" t="n"/>
      <c r="I751" s="10" t="n"/>
      <c r="J751" s="9" t="n"/>
      <c r="K751" s="5" t="n"/>
      <c r="L751" s="5" t="n"/>
      <c r="M751" s="5" t="n"/>
      <c r="N751" s="5" t="n"/>
      <c r="O751" s="8">
        <f>IF($B751="","",IF(AND($A751&lt;&gt;"",COUNTIF(INV_ID,$A751)&gt;1),"⚠ this Unit ID already exists",IF(AND($H751&lt;&gt;"",COUNTIF(INV_Serial,$H751)&gt;1),"⚠ this serial already exists",IF(COUNTIFS(INV_Product,$B751,INV_No,$C751)&gt;1,"⚠ piece number reused",""))))</f>
        <v/>
      </c>
      <c r="P751" s="5" t="n"/>
    </row>
    <row r="752">
      <c r="A752" s="8">
        <f>IF(OR($B752="",$C752=""),"",IFERROR(INDEX(PM_Short,MATCH($B752,PM_ID,0))&amp;"-"&amp;TEXT($C752,"00"),"?? no such product"))</f>
        <v/>
      </c>
      <c r="B752" s="5" t="n"/>
      <c r="C752" s="5" t="n"/>
      <c r="D752" s="8">
        <f>IF($B752="","",IFERROR(INDEX(PM_Category,MATCH($B752,PM_ID,0)),""))</f>
        <v/>
      </c>
      <c r="E752" s="8">
        <f>IF($B752="","",IFERROR(INDEX(PM_Subcategory,MATCH($B752,PM_ID,0)),""))</f>
        <v/>
      </c>
      <c r="F752" s="8">
        <f>IF($B752="","",IFERROR(INDEX(PM_Brand,MATCH($B752,PM_ID,0)),""))</f>
        <v/>
      </c>
      <c r="G752" s="8">
        <f>IF($B752="","",IFERROR(INDEX(PM_Model,MATCH($B752,PM_ID,0)),""))</f>
        <v/>
      </c>
      <c r="H752" s="5" t="n"/>
      <c r="I752" s="10" t="n"/>
      <c r="J752" s="9" t="n"/>
      <c r="K752" s="5" t="n"/>
      <c r="L752" s="5" t="n"/>
      <c r="M752" s="5" t="n"/>
      <c r="N752" s="5" t="n"/>
      <c r="O752" s="8">
        <f>IF($B752="","",IF(AND($A752&lt;&gt;"",COUNTIF(INV_ID,$A752)&gt;1),"⚠ this Unit ID already exists",IF(AND($H752&lt;&gt;"",COUNTIF(INV_Serial,$H752)&gt;1),"⚠ this serial already exists",IF(COUNTIFS(INV_Product,$B752,INV_No,$C752)&gt;1,"⚠ piece number reused",""))))</f>
        <v/>
      </c>
      <c r="P752" s="5" t="n"/>
    </row>
    <row r="753">
      <c r="A753" s="8">
        <f>IF(OR($B753="",$C753=""),"",IFERROR(INDEX(PM_Short,MATCH($B753,PM_ID,0))&amp;"-"&amp;TEXT($C753,"00"),"?? no such product"))</f>
        <v/>
      </c>
      <c r="B753" s="5" t="n"/>
      <c r="C753" s="5" t="n"/>
      <c r="D753" s="8">
        <f>IF($B753="","",IFERROR(INDEX(PM_Category,MATCH($B753,PM_ID,0)),""))</f>
        <v/>
      </c>
      <c r="E753" s="8">
        <f>IF($B753="","",IFERROR(INDEX(PM_Subcategory,MATCH($B753,PM_ID,0)),""))</f>
        <v/>
      </c>
      <c r="F753" s="8">
        <f>IF($B753="","",IFERROR(INDEX(PM_Brand,MATCH($B753,PM_ID,0)),""))</f>
        <v/>
      </c>
      <c r="G753" s="8">
        <f>IF($B753="","",IFERROR(INDEX(PM_Model,MATCH($B753,PM_ID,0)),""))</f>
        <v/>
      </c>
      <c r="H753" s="5" t="n"/>
      <c r="I753" s="10" t="n"/>
      <c r="J753" s="9" t="n"/>
      <c r="K753" s="5" t="n"/>
      <c r="L753" s="5" t="n"/>
      <c r="M753" s="5" t="n"/>
      <c r="N753" s="5" t="n"/>
      <c r="O753" s="8">
        <f>IF($B753="","",IF(AND($A753&lt;&gt;"",COUNTIF(INV_ID,$A753)&gt;1),"⚠ this Unit ID already exists",IF(AND($H753&lt;&gt;"",COUNTIF(INV_Serial,$H753)&gt;1),"⚠ this serial already exists",IF(COUNTIFS(INV_Product,$B753,INV_No,$C753)&gt;1,"⚠ piece number reused",""))))</f>
        <v/>
      </c>
      <c r="P753" s="5" t="n"/>
    </row>
    <row r="754">
      <c r="A754" s="8">
        <f>IF(OR($B754="",$C754=""),"",IFERROR(INDEX(PM_Short,MATCH($B754,PM_ID,0))&amp;"-"&amp;TEXT($C754,"00"),"?? no such product"))</f>
        <v/>
      </c>
      <c r="B754" s="5" t="n"/>
      <c r="C754" s="5" t="n"/>
      <c r="D754" s="8">
        <f>IF($B754="","",IFERROR(INDEX(PM_Category,MATCH($B754,PM_ID,0)),""))</f>
        <v/>
      </c>
      <c r="E754" s="8">
        <f>IF($B754="","",IFERROR(INDEX(PM_Subcategory,MATCH($B754,PM_ID,0)),""))</f>
        <v/>
      </c>
      <c r="F754" s="8">
        <f>IF($B754="","",IFERROR(INDEX(PM_Brand,MATCH($B754,PM_ID,0)),""))</f>
        <v/>
      </c>
      <c r="G754" s="8">
        <f>IF($B754="","",IFERROR(INDEX(PM_Model,MATCH($B754,PM_ID,0)),""))</f>
        <v/>
      </c>
      <c r="H754" s="5" t="n"/>
      <c r="I754" s="10" t="n"/>
      <c r="J754" s="9" t="n"/>
      <c r="K754" s="5" t="n"/>
      <c r="L754" s="5" t="n"/>
      <c r="M754" s="5" t="n"/>
      <c r="N754" s="5" t="n"/>
      <c r="O754" s="8">
        <f>IF($B754="","",IF(AND($A754&lt;&gt;"",COUNTIF(INV_ID,$A754)&gt;1),"⚠ this Unit ID already exists",IF(AND($H754&lt;&gt;"",COUNTIF(INV_Serial,$H754)&gt;1),"⚠ this serial already exists",IF(COUNTIFS(INV_Product,$B754,INV_No,$C754)&gt;1,"⚠ piece number reused",""))))</f>
        <v/>
      </c>
      <c r="P754" s="5" t="n"/>
    </row>
    <row r="755">
      <c r="A755" s="8">
        <f>IF(OR($B755="",$C755=""),"",IFERROR(INDEX(PM_Short,MATCH($B755,PM_ID,0))&amp;"-"&amp;TEXT($C755,"00"),"?? no such product"))</f>
        <v/>
      </c>
      <c r="B755" s="5" t="n"/>
      <c r="C755" s="5" t="n"/>
      <c r="D755" s="8">
        <f>IF($B755="","",IFERROR(INDEX(PM_Category,MATCH($B755,PM_ID,0)),""))</f>
        <v/>
      </c>
      <c r="E755" s="8">
        <f>IF($B755="","",IFERROR(INDEX(PM_Subcategory,MATCH($B755,PM_ID,0)),""))</f>
        <v/>
      </c>
      <c r="F755" s="8">
        <f>IF($B755="","",IFERROR(INDEX(PM_Brand,MATCH($B755,PM_ID,0)),""))</f>
        <v/>
      </c>
      <c r="G755" s="8">
        <f>IF($B755="","",IFERROR(INDEX(PM_Model,MATCH($B755,PM_ID,0)),""))</f>
        <v/>
      </c>
      <c r="H755" s="5" t="n"/>
      <c r="I755" s="10" t="n"/>
      <c r="J755" s="9" t="n"/>
      <c r="K755" s="5" t="n"/>
      <c r="L755" s="5" t="n"/>
      <c r="M755" s="5" t="n"/>
      <c r="N755" s="5" t="n"/>
      <c r="O755" s="8">
        <f>IF($B755="","",IF(AND($A755&lt;&gt;"",COUNTIF(INV_ID,$A755)&gt;1),"⚠ this Unit ID already exists",IF(AND($H755&lt;&gt;"",COUNTIF(INV_Serial,$H755)&gt;1),"⚠ this serial already exists",IF(COUNTIFS(INV_Product,$B755,INV_No,$C755)&gt;1,"⚠ piece number reused",""))))</f>
        <v/>
      </c>
      <c r="P755" s="5" t="n"/>
    </row>
    <row r="756">
      <c r="A756" s="8">
        <f>IF(OR($B756="",$C756=""),"",IFERROR(INDEX(PM_Short,MATCH($B756,PM_ID,0))&amp;"-"&amp;TEXT($C756,"00"),"?? no such product"))</f>
        <v/>
      </c>
      <c r="B756" s="5" t="n"/>
      <c r="C756" s="5" t="n"/>
      <c r="D756" s="8">
        <f>IF($B756="","",IFERROR(INDEX(PM_Category,MATCH($B756,PM_ID,0)),""))</f>
        <v/>
      </c>
      <c r="E756" s="8">
        <f>IF($B756="","",IFERROR(INDEX(PM_Subcategory,MATCH($B756,PM_ID,0)),""))</f>
        <v/>
      </c>
      <c r="F756" s="8">
        <f>IF($B756="","",IFERROR(INDEX(PM_Brand,MATCH($B756,PM_ID,0)),""))</f>
        <v/>
      </c>
      <c r="G756" s="8">
        <f>IF($B756="","",IFERROR(INDEX(PM_Model,MATCH($B756,PM_ID,0)),""))</f>
        <v/>
      </c>
      <c r="H756" s="5" t="n"/>
      <c r="I756" s="10" t="n"/>
      <c r="J756" s="9" t="n"/>
      <c r="K756" s="5" t="n"/>
      <c r="L756" s="5" t="n"/>
      <c r="M756" s="5" t="n"/>
      <c r="N756" s="5" t="n"/>
      <c r="O756" s="8">
        <f>IF($B756="","",IF(AND($A756&lt;&gt;"",COUNTIF(INV_ID,$A756)&gt;1),"⚠ this Unit ID already exists",IF(AND($H756&lt;&gt;"",COUNTIF(INV_Serial,$H756)&gt;1),"⚠ this serial already exists",IF(COUNTIFS(INV_Product,$B756,INV_No,$C756)&gt;1,"⚠ piece number reused",""))))</f>
        <v/>
      </c>
      <c r="P756" s="5" t="n"/>
    </row>
    <row r="757">
      <c r="A757" s="8">
        <f>IF(OR($B757="",$C757=""),"",IFERROR(INDEX(PM_Short,MATCH($B757,PM_ID,0))&amp;"-"&amp;TEXT($C757,"00"),"?? no such product"))</f>
        <v/>
      </c>
      <c r="B757" s="5" t="n"/>
      <c r="C757" s="5" t="n"/>
      <c r="D757" s="8">
        <f>IF($B757="","",IFERROR(INDEX(PM_Category,MATCH($B757,PM_ID,0)),""))</f>
        <v/>
      </c>
      <c r="E757" s="8">
        <f>IF($B757="","",IFERROR(INDEX(PM_Subcategory,MATCH($B757,PM_ID,0)),""))</f>
        <v/>
      </c>
      <c r="F757" s="8">
        <f>IF($B757="","",IFERROR(INDEX(PM_Brand,MATCH($B757,PM_ID,0)),""))</f>
        <v/>
      </c>
      <c r="G757" s="8">
        <f>IF($B757="","",IFERROR(INDEX(PM_Model,MATCH($B757,PM_ID,0)),""))</f>
        <v/>
      </c>
      <c r="H757" s="5" t="n"/>
      <c r="I757" s="10" t="n"/>
      <c r="J757" s="9" t="n"/>
      <c r="K757" s="5" t="n"/>
      <c r="L757" s="5" t="n"/>
      <c r="M757" s="5" t="n"/>
      <c r="N757" s="5" t="n"/>
      <c r="O757" s="8">
        <f>IF($B757="","",IF(AND($A757&lt;&gt;"",COUNTIF(INV_ID,$A757)&gt;1),"⚠ this Unit ID already exists",IF(AND($H757&lt;&gt;"",COUNTIF(INV_Serial,$H757)&gt;1),"⚠ this serial already exists",IF(COUNTIFS(INV_Product,$B757,INV_No,$C757)&gt;1,"⚠ piece number reused",""))))</f>
        <v/>
      </c>
      <c r="P757" s="5" t="n"/>
    </row>
    <row r="758">
      <c r="A758" s="8">
        <f>IF(OR($B758="",$C758=""),"",IFERROR(INDEX(PM_Short,MATCH($B758,PM_ID,0))&amp;"-"&amp;TEXT($C758,"00"),"?? no such product"))</f>
        <v/>
      </c>
      <c r="B758" s="5" t="n"/>
      <c r="C758" s="5" t="n"/>
      <c r="D758" s="8">
        <f>IF($B758="","",IFERROR(INDEX(PM_Category,MATCH($B758,PM_ID,0)),""))</f>
        <v/>
      </c>
      <c r="E758" s="8">
        <f>IF($B758="","",IFERROR(INDEX(PM_Subcategory,MATCH($B758,PM_ID,0)),""))</f>
        <v/>
      </c>
      <c r="F758" s="8">
        <f>IF($B758="","",IFERROR(INDEX(PM_Brand,MATCH($B758,PM_ID,0)),""))</f>
        <v/>
      </c>
      <c r="G758" s="8">
        <f>IF($B758="","",IFERROR(INDEX(PM_Model,MATCH($B758,PM_ID,0)),""))</f>
        <v/>
      </c>
      <c r="H758" s="5" t="n"/>
      <c r="I758" s="10" t="n"/>
      <c r="J758" s="9" t="n"/>
      <c r="K758" s="5" t="n"/>
      <c r="L758" s="5" t="n"/>
      <c r="M758" s="5" t="n"/>
      <c r="N758" s="5" t="n"/>
      <c r="O758" s="8">
        <f>IF($B758="","",IF(AND($A758&lt;&gt;"",COUNTIF(INV_ID,$A758)&gt;1),"⚠ this Unit ID already exists",IF(AND($H758&lt;&gt;"",COUNTIF(INV_Serial,$H758)&gt;1),"⚠ this serial already exists",IF(COUNTIFS(INV_Product,$B758,INV_No,$C758)&gt;1,"⚠ piece number reused",""))))</f>
        <v/>
      </c>
      <c r="P758" s="5" t="n"/>
    </row>
    <row r="759">
      <c r="A759" s="8">
        <f>IF(OR($B759="",$C759=""),"",IFERROR(INDEX(PM_Short,MATCH($B759,PM_ID,0))&amp;"-"&amp;TEXT($C759,"00"),"?? no such product"))</f>
        <v/>
      </c>
      <c r="B759" s="5" t="n"/>
      <c r="C759" s="5" t="n"/>
      <c r="D759" s="8">
        <f>IF($B759="","",IFERROR(INDEX(PM_Category,MATCH($B759,PM_ID,0)),""))</f>
        <v/>
      </c>
      <c r="E759" s="8">
        <f>IF($B759="","",IFERROR(INDEX(PM_Subcategory,MATCH($B759,PM_ID,0)),""))</f>
        <v/>
      </c>
      <c r="F759" s="8">
        <f>IF($B759="","",IFERROR(INDEX(PM_Brand,MATCH($B759,PM_ID,0)),""))</f>
        <v/>
      </c>
      <c r="G759" s="8">
        <f>IF($B759="","",IFERROR(INDEX(PM_Model,MATCH($B759,PM_ID,0)),""))</f>
        <v/>
      </c>
      <c r="H759" s="5" t="n"/>
      <c r="I759" s="10" t="n"/>
      <c r="J759" s="9" t="n"/>
      <c r="K759" s="5" t="n"/>
      <c r="L759" s="5" t="n"/>
      <c r="M759" s="5" t="n"/>
      <c r="N759" s="5" t="n"/>
      <c r="O759" s="8">
        <f>IF($B759="","",IF(AND($A759&lt;&gt;"",COUNTIF(INV_ID,$A759)&gt;1),"⚠ this Unit ID already exists",IF(AND($H759&lt;&gt;"",COUNTIF(INV_Serial,$H759)&gt;1),"⚠ this serial already exists",IF(COUNTIFS(INV_Product,$B759,INV_No,$C759)&gt;1,"⚠ piece number reused",""))))</f>
        <v/>
      </c>
      <c r="P759" s="5" t="n"/>
    </row>
    <row r="760">
      <c r="A760" s="8">
        <f>IF(OR($B760="",$C760=""),"",IFERROR(INDEX(PM_Short,MATCH($B760,PM_ID,0))&amp;"-"&amp;TEXT($C760,"00"),"?? no such product"))</f>
        <v/>
      </c>
      <c r="B760" s="5" t="n"/>
      <c r="C760" s="5" t="n"/>
      <c r="D760" s="8">
        <f>IF($B760="","",IFERROR(INDEX(PM_Category,MATCH($B760,PM_ID,0)),""))</f>
        <v/>
      </c>
      <c r="E760" s="8">
        <f>IF($B760="","",IFERROR(INDEX(PM_Subcategory,MATCH($B760,PM_ID,0)),""))</f>
        <v/>
      </c>
      <c r="F760" s="8">
        <f>IF($B760="","",IFERROR(INDEX(PM_Brand,MATCH($B760,PM_ID,0)),""))</f>
        <v/>
      </c>
      <c r="G760" s="8">
        <f>IF($B760="","",IFERROR(INDEX(PM_Model,MATCH($B760,PM_ID,0)),""))</f>
        <v/>
      </c>
      <c r="H760" s="5" t="n"/>
      <c r="I760" s="10" t="n"/>
      <c r="J760" s="9" t="n"/>
      <c r="K760" s="5" t="n"/>
      <c r="L760" s="5" t="n"/>
      <c r="M760" s="5" t="n"/>
      <c r="N760" s="5" t="n"/>
      <c r="O760" s="8">
        <f>IF($B760="","",IF(AND($A760&lt;&gt;"",COUNTIF(INV_ID,$A760)&gt;1),"⚠ this Unit ID already exists",IF(AND($H760&lt;&gt;"",COUNTIF(INV_Serial,$H760)&gt;1),"⚠ this serial already exists",IF(COUNTIFS(INV_Product,$B760,INV_No,$C760)&gt;1,"⚠ piece number reused",""))))</f>
        <v/>
      </c>
      <c r="P760" s="5" t="n"/>
    </row>
    <row r="761">
      <c r="A761" s="8">
        <f>IF(OR($B761="",$C761=""),"",IFERROR(INDEX(PM_Short,MATCH($B761,PM_ID,0))&amp;"-"&amp;TEXT($C761,"00"),"?? no such product"))</f>
        <v/>
      </c>
      <c r="B761" s="5" t="n"/>
      <c r="C761" s="5" t="n"/>
      <c r="D761" s="8">
        <f>IF($B761="","",IFERROR(INDEX(PM_Category,MATCH($B761,PM_ID,0)),""))</f>
        <v/>
      </c>
      <c r="E761" s="8">
        <f>IF($B761="","",IFERROR(INDEX(PM_Subcategory,MATCH($B761,PM_ID,0)),""))</f>
        <v/>
      </c>
      <c r="F761" s="8">
        <f>IF($B761="","",IFERROR(INDEX(PM_Brand,MATCH($B761,PM_ID,0)),""))</f>
        <v/>
      </c>
      <c r="G761" s="8">
        <f>IF($B761="","",IFERROR(INDEX(PM_Model,MATCH($B761,PM_ID,0)),""))</f>
        <v/>
      </c>
      <c r="H761" s="5" t="n"/>
      <c r="I761" s="10" t="n"/>
      <c r="J761" s="9" t="n"/>
      <c r="K761" s="5" t="n"/>
      <c r="L761" s="5" t="n"/>
      <c r="M761" s="5" t="n"/>
      <c r="N761" s="5" t="n"/>
      <c r="O761" s="8">
        <f>IF($B761="","",IF(AND($A761&lt;&gt;"",COUNTIF(INV_ID,$A761)&gt;1),"⚠ this Unit ID already exists",IF(AND($H761&lt;&gt;"",COUNTIF(INV_Serial,$H761)&gt;1),"⚠ this serial already exists",IF(COUNTIFS(INV_Product,$B761,INV_No,$C761)&gt;1,"⚠ piece number reused",""))))</f>
        <v/>
      </c>
      <c r="P761" s="5" t="n"/>
    </row>
    <row r="762">
      <c r="A762" s="8">
        <f>IF(OR($B762="",$C762=""),"",IFERROR(INDEX(PM_Short,MATCH($B762,PM_ID,0))&amp;"-"&amp;TEXT($C762,"00"),"?? no such product"))</f>
        <v/>
      </c>
      <c r="B762" s="5" t="n"/>
      <c r="C762" s="5" t="n"/>
      <c r="D762" s="8">
        <f>IF($B762="","",IFERROR(INDEX(PM_Category,MATCH($B762,PM_ID,0)),""))</f>
        <v/>
      </c>
      <c r="E762" s="8">
        <f>IF($B762="","",IFERROR(INDEX(PM_Subcategory,MATCH($B762,PM_ID,0)),""))</f>
        <v/>
      </c>
      <c r="F762" s="8">
        <f>IF($B762="","",IFERROR(INDEX(PM_Brand,MATCH($B762,PM_ID,0)),""))</f>
        <v/>
      </c>
      <c r="G762" s="8">
        <f>IF($B762="","",IFERROR(INDEX(PM_Model,MATCH($B762,PM_ID,0)),""))</f>
        <v/>
      </c>
      <c r="H762" s="5" t="n"/>
      <c r="I762" s="10" t="n"/>
      <c r="J762" s="9" t="n"/>
      <c r="K762" s="5" t="n"/>
      <c r="L762" s="5" t="n"/>
      <c r="M762" s="5" t="n"/>
      <c r="N762" s="5" t="n"/>
      <c r="O762" s="8">
        <f>IF($B762="","",IF(AND($A762&lt;&gt;"",COUNTIF(INV_ID,$A762)&gt;1),"⚠ this Unit ID already exists",IF(AND($H762&lt;&gt;"",COUNTIF(INV_Serial,$H762)&gt;1),"⚠ this serial already exists",IF(COUNTIFS(INV_Product,$B762,INV_No,$C762)&gt;1,"⚠ piece number reused",""))))</f>
        <v/>
      </c>
      <c r="P762" s="5" t="n"/>
    </row>
    <row r="763">
      <c r="A763" s="8">
        <f>IF(OR($B763="",$C763=""),"",IFERROR(INDEX(PM_Short,MATCH($B763,PM_ID,0))&amp;"-"&amp;TEXT($C763,"00"),"?? no such product"))</f>
        <v/>
      </c>
      <c r="B763" s="5" t="n"/>
      <c r="C763" s="5" t="n"/>
      <c r="D763" s="8">
        <f>IF($B763="","",IFERROR(INDEX(PM_Category,MATCH($B763,PM_ID,0)),""))</f>
        <v/>
      </c>
      <c r="E763" s="8">
        <f>IF($B763="","",IFERROR(INDEX(PM_Subcategory,MATCH($B763,PM_ID,0)),""))</f>
        <v/>
      </c>
      <c r="F763" s="8">
        <f>IF($B763="","",IFERROR(INDEX(PM_Brand,MATCH($B763,PM_ID,0)),""))</f>
        <v/>
      </c>
      <c r="G763" s="8">
        <f>IF($B763="","",IFERROR(INDEX(PM_Model,MATCH($B763,PM_ID,0)),""))</f>
        <v/>
      </c>
      <c r="H763" s="5" t="n"/>
      <c r="I763" s="10" t="n"/>
      <c r="J763" s="9" t="n"/>
      <c r="K763" s="5" t="n"/>
      <c r="L763" s="5" t="n"/>
      <c r="M763" s="5" t="n"/>
      <c r="N763" s="5" t="n"/>
      <c r="O763" s="8">
        <f>IF($B763="","",IF(AND($A763&lt;&gt;"",COUNTIF(INV_ID,$A763)&gt;1),"⚠ this Unit ID already exists",IF(AND($H763&lt;&gt;"",COUNTIF(INV_Serial,$H763)&gt;1),"⚠ this serial already exists",IF(COUNTIFS(INV_Product,$B763,INV_No,$C763)&gt;1,"⚠ piece number reused",""))))</f>
        <v/>
      </c>
      <c r="P763" s="5" t="n"/>
    </row>
    <row r="764">
      <c r="A764" s="8">
        <f>IF(OR($B764="",$C764=""),"",IFERROR(INDEX(PM_Short,MATCH($B764,PM_ID,0))&amp;"-"&amp;TEXT($C764,"00"),"?? no such product"))</f>
        <v/>
      </c>
      <c r="B764" s="5" t="n"/>
      <c r="C764" s="5" t="n"/>
      <c r="D764" s="8">
        <f>IF($B764="","",IFERROR(INDEX(PM_Category,MATCH($B764,PM_ID,0)),""))</f>
        <v/>
      </c>
      <c r="E764" s="8">
        <f>IF($B764="","",IFERROR(INDEX(PM_Subcategory,MATCH($B764,PM_ID,0)),""))</f>
        <v/>
      </c>
      <c r="F764" s="8">
        <f>IF($B764="","",IFERROR(INDEX(PM_Brand,MATCH($B764,PM_ID,0)),""))</f>
        <v/>
      </c>
      <c r="G764" s="8">
        <f>IF($B764="","",IFERROR(INDEX(PM_Model,MATCH($B764,PM_ID,0)),""))</f>
        <v/>
      </c>
      <c r="H764" s="5" t="n"/>
      <c r="I764" s="10" t="n"/>
      <c r="J764" s="9" t="n"/>
      <c r="K764" s="5" t="n"/>
      <c r="L764" s="5" t="n"/>
      <c r="M764" s="5" t="n"/>
      <c r="N764" s="5" t="n"/>
      <c r="O764" s="8">
        <f>IF($B764="","",IF(AND($A764&lt;&gt;"",COUNTIF(INV_ID,$A764)&gt;1),"⚠ this Unit ID already exists",IF(AND($H764&lt;&gt;"",COUNTIF(INV_Serial,$H764)&gt;1),"⚠ this serial already exists",IF(COUNTIFS(INV_Product,$B764,INV_No,$C764)&gt;1,"⚠ piece number reused",""))))</f>
        <v/>
      </c>
      <c r="P764" s="5" t="n"/>
    </row>
    <row r="765">
      <c r="A765" s="8">
        <f>IF(OR($B765="",$C765=""),"",IFERROR(INDEX(PM_Short,MATCH($B765,PM_ID,0))&amp;"-"&amp;TEXT($C765,"00"),"?? no such product"))</f>
        <v/>
      </c>
      <c r="B765" s="5" t="n"/>
      <c r="C765" s="5" t="n"/>
      <c r="D765" s="8">
        <f>IF($B765="","",IFERROR(INDEX(PM_Category,MATCH($B765,PM_ID,0)),""))</f>
        <v/>
      </c>
      <c r="E765" s="8">
        <f>IF($B765="","",IFERROR(INDEX(PM_Subcategory,MATCH($B765,PM_ID,0)),""))</f>
        <v/>
      </c>
      <c r="F765" s="8">
        <f>IF($B765="","",IFERROR(INDEX(PM_Brand,MATCH($B765,PM_ID,0)),""))</f>
        <v/>
      </c>
      <c r="G765" s="8">
        <f>IF($B765="","",IFERROR(INDEX(PM_Model,MATCH($B765,PM_ID,0)),""))</f>
        <v/>
      </c>
      <c r="H765" s="5" t="n"/>
      <c r="I765" s="10" t="n"/>
      <c r="J765" s="9" t="n"/>
      <c r="K765" s="5" t="n"/>
      <c r="L765" s="5" t="n"/>
      <c r="M765" s="5" t="n"/>
      <c r="N765" s="5" t="n"/>
      <c r="O765" s="8">
        <f>IF($B765="","",IF(AND($A765&lt;&gt;"",COUNTIF(INV_ID,$A765)&gt;1),"⚠ this Unit ID already exists",IF(AND($H765&lt;&gt;"",COUNTIF(INV_Serial,$H765)&gt;1),"⚠ this serial already exists",IF(COUNTIFS(INV_Product,$B765,INV_No,$C765)&gt;1,"⚠ piece number reused",""))))</f>
        <v/>
      </c>
      <c r="P765" s="5" t="n"/>
    </row>
    <row r="766">
      <c r="A766" s="8">
        <f>IF(OR($B766="",$C766=""),"",IFERROR(INDEX(PM_Short,MATCH($B766,PM_ID,0))&amp;"-"&amp;TEXT($C766,"00"),"?? no such product"))</f>
        <v/>
      </c>
      <c r="B766" s="5" t="n"/>
      <c r="C766" s="5" t="n"/>
      <c r="D766" s="8">
        <f>IF($B766="","",IFERROR(INDEX(PM_Category,MATCH($B766,PM_ID,0)),""))</f>
        <v/>
      </c>
      <c r="E766" s="8">
        <f>IF($B766="","",IFERROR(INDEX(PM_Subcategory,MATCH($B766,PM_ID,0)),""))</f>
        <v/>
      </c>
      <c r="F766" s="8">
        <f>IF($B766="","",IFERROR(INDEX(PM_Brand,MATCH($B766,PM_ID,0)),""))</f>
        <v/>
      </c>
      <c r="G766" s="8">
        <f>IF($B766="","",IFERROR(INDEX(PM_Model,MATCH($B766,PM_ID,0)),""))</f>
        <v/>
      </c>
      <c r="H766" s="5" t="n"/>
      <c r="I766" s="10" t="n"/>
      <c r="J766" s="9" t="n"/>
      <c r="K766" s="5" t="n"/>
      <c r="L766" s="5" t="n"/>
      <c r="M766" s="5" t="n"/>
      <c r="N766" s="5" t="n"/>
      <c r="O766" s="8">
        <f>IF($B766="","",IF(AND($A766&lt;&gt;"",COUNTIF(INV_ID,$A766)&gt;1),"⚠ this Unit ID already exists",IF(AND($H766&lt;&gt;"",COUNTIF(INV_Serial,$H766)&gt;1),"⚠ this serial already exists",IF(COUNTIFS(INV_Product,$B766,INV_No,$C766)&gt;1,"⚠ piece number reused",""))))</f>
        <v/>
      </c>
      <c r="P766" s="5" t="n"/>
    </row>
    <row r="767">
      <c r="A767" s="8">
        <f>IF(OR($B767="",$C767=""),"",IFERROR(INDEX(PM_Short,MATCH($B767,PM_ID,0))&amp;"-"&amp;TEXT($C767,"00"),"?? no such product"))</f>
        <v/>
      </c>
      <c r="B767" s="5" t="n"/>
      <c r="C767" s="5" t="n"/>
      <c r="D767" s="8">
        <f>IF($B767="","",IFERROR(INDEX(PM_Category,MATCH($B767,PM_ID,0)),""))</f>
        <v/>
      </c>
      <c r="E767" s="8">
        <f>IF($B767="","",IFERROR(INDEX(PM_Subcategory,MATCH($B767,PM_ID,0)),""))</f>
        <v/>
      </c>
      <c r="F767" s="8">
        <f>IF($B767="","",IFERROR(INDEX(PM_Brand,MATCH($B767,PM_ID,0)),""))</f>
        <v/>
      </c>
      <c r="G767" s="8">
        <f>IF($B767="","",IFERROR(INDEX(PM_Model,MATCH($B767,PM_ID,0)),""))</f>
        <v/>
      </c>
      <c r="H767" s="5" t="n"/>
      <c r="I767" s="10" t="n"/>
      <c r="J767" s="9" t="n"/>
      <c r="K767" s="5" t="n"/>
      <c r="L767" s="5" t="n"/>
      <c r="M767" s="5" t="n"/>
      <c r="N767" s="5" t="n"/>
      <c r="O767" s="8">
        <f>IF($B767="","",IF(AND($A767&lt;&gt;"",COUNTIF(INV_ID,$A767)&gt;1),"⚠ this Unit ID already exists",IF(AND($H767&lt;&gt;"",COUNTIF(INV_Serial,$H767)&gt;1),"⚠ this serial already exists",IF(COUNTIFS(INV_Product,$B767,INV_No,$C767)&gt;1,"⚠ piece number reused",""))))</f>
        <v/>
      </c>
      <c r="P767" s="5" t="n"/>
    </row>
    <row r="768">
      <c r="A768" s="8">
        <f>IF(OR($B768="",$C768=""),"",IFERROR(INDEX(PM_Short,MATCH($B768,PM_ID,0))&amp;"-"&amp;TEXT($C768,"00"),"?? no such product"))</f>
        <v/>
      </c>
      <c r="B768" s="5" t="n"/>
      <c r="C768" s="5" t="n"/>
      <c r="D768" s="8">
        <f>IF($B768="","",IFERROR(INDEX(PM_Category,MATCH($B768,PM_ID,0)),""))</f>
        <v/>
      </c>
      <c r="E768" s="8">
        <f>IF($B768="","",IFERROR(INDEX(PM_Subcategory,MATCH($B768,PM_ID,0)),""))</f>
        <v/>
      </c>
      <c r="F768" s="8">
        <f>IF($B768="","",IFERROR(INDEX(PM_Brand,MATCH($B768,PM_ID,0)),""))</f>
        <v/>
      </c>
      <c r="G768" s="8">
        <f>IF($B768="","",IFERROR(INDEX(PM_Model,MATCH($B768,PM_ID,0)),""))</f>
        <v/>
      </c>
      <c r="H768" s="5" t="n"/>
      <c r="I768" s="10" t="n"/>
      <c r="J768" s="9" t="n"/>
      <c r="K768" s="5" t="n"/>
      <c r="L768" s="5" t="n"/>
      <c r="M768" s="5" t="n"/>
      <c r="N768" s="5" t="n"/>
      <c r="O768" s="8">
        <f>IF($B768="","",IF(AND($A768&lt;&gt;"",COUNTIF(INV_ID,$A768)&gt;1),"⚠ this Unit ID already exists",IF(AND($H768&lt;&gt;"",COUNTIF(INV_Serial,$H768)&gt;1),"⚠ this serial already exists",IF(COUNTIFS(INV_Product,$B768,INV_No,$C768)&gt;1,"⚠ piece number reused",""))))</f>
        <v/>
      </c>
      <c r="P768" s="5" t="n"/>
    </row>
    <row r="769">
      <c r="A769" s="8">
        <f>IF(OR($B769="",$C769=""),"",IFERROR(INDEX(PM_Short,MATCH($B769,PM_ID,0))&amp;"-"&amp;TEXT($C769,"00"),"?? no such product"))</f>
        <v/>
      </c>
      <c r="B769" s="5" t="n"/>
      <c r="C769" s="5" t="n"/>
      <c r="D769" s="8">
        <f>IF($B769="","",IFERROR(INDEX(PM_Category,MATCH($B769,PM_ID,0)),""))</f>
        <v/>
      </c>
      <c r="E769" s="8">
        <f>IF($B769="","",IFERROR(INDEX(PM_Subcategory,MATCH($B769,PM_ID,0)),""))</f>
        <v/>
      </c>
      <c r="F769" s="8">
        <f>IF($B769="","",IFERROR(INDEX(PM_Brand,MATCH($B769,PM_ID,0)),""))</f>
        <v/>
      </c>
      <c r="G769" s="8">
        <f>IF($B769="","",IFERROR(INDEX(PM_Model,MATCH($B769,PM_ID,0)),""))</f>
        <v/>
      </c>
      <c r="H769" s="5" t="n"/>
      <c r="I769" s="10" t="n"/>
      <c r="J769" s="9" t="n"/>
      <c r="K769" s="5" t="n"/>
      <c r="L769" s="5" t="n"/>
      <c r="M769" s="5" t="n"/>
      <c r="N769" s="5" t="n"/>
      <c r="O769" s="8">
        <f>IF($B769="","",IF(AND($A769&lt;&gt;"",COUNTIF(INV_ID,$A769)&gt;1),"⚠ this Unit ID already exists",IF(AND($H769&lt;&gt;"",COUNTIF(INV_Serial,$H769)&gt;1),"⚠ this serial already exists",IF(COUNTIFS(INV_Product,$B769,INV_No,$C769)&gt;1,"⚠ piece number reused",""))))</f>
        <v/>
      </c>
      <c r="P769" s="5" t="n"/>
    </row>
    <row r="770">
      <c r="A770" s="8">
        <f>IF(OR($B770="",$C770=""),"",IFERROR(INDEX(PM_Short,MATCH($B770,PM_ID,0))&amp;"-"&amp;TEXT($C770,"00"),"?? no such product"))</f>
        <v/>
      </c>
      <c r="B770" s="5" t="n"/>
      <c r="C770" s="5" t="n"/>
      <c r="D770" s="8">
        <f>IF($B770="","",IFERROR(INDEX(PM_Category,MATCH($B770,PM_ID,0)),""))</f>
        <v/>
      </c>
      <c r="E770" s="8">
        <f>IF($B770="","",IFERROR(INDEX(PM_Subcategory,MATCH($B770,PM_ID,0)),""))</f>
        <v/>
      </c>
      <c r="F770" s="8">
        <f>IF($B770="","",IFERROR(INDEX(PM_Brand,MATCH($B770,PM_ID,0)),""))</f>
        <v/>
      </c>
      <c r="G770" s="8">
        <f>IF($B770="","",IFERROR(INDEX(PM_Model,MATCH($B770,PM_ID,0)),""))</f>
        <v/>
      </c>
      <c r="H770" s="5" t="n"/>
      <c r="I770" s="10" t="n"/>
      <c r="J770" s="9" t="n"/>
      <c r="K770" s="5" t="n"/>
      <c r="L770" s="5" t="n"/>
      <c r="M770" s="5" t="n"/>
      <c r="N770" s="5" t="n"/>
      <c r="O770" s="8">
        <f>IF($B770="","",IF(AND($A770&lt;&gt;"",COUNTIF(INV_ID,$A770)&gt;1),"⚠ this Unit ID already exists",IF(AND($H770&lt;&gt;"",COUNTIF(INV_Serial,$H770)&gt;1),"⚠ this serial already exists",IF(COUNTIFS(INV_Product,$B770,INV_No,$C770)&gt;1,"⚠ piece number reused",""))))</f>
        <v/>
      </c>
      <c r="P770" s="5" t="n"/>
    </row>
    <row r="771">
      <c r="A771" s="8">
        <f>IF(OR($B771="",$C771=""),"",IFERROR(INDEX(PM_Short,MATCH($B771,PM_ID,0))&amp;"-"&amp;TEXT($C771,"00"),"?? no such product"))</f>
        <v/>
      </c>
      <c r="B771" s="5" t="n"/>
      <c r="C771" s="5" t="n"/>
      <c r="D771" s="8">
        <f>IF($B771="","",IFERROR(INDEX(PM_Category,MATCH($B771,PM_ID,0)),""))</f>
        <v/>
      </c>
      <c r="E771" s="8">
        <f>IF($B771="","",IFERROR(INDEX(PM_Subcategory,MATCH($B771,PM_ID,0)),""))</f>
        <v/>
      </c>
      <c r="F771" s="8">
        <f>IF($B771="","",IFERROR(INDEX(PM_Brand,MATCH($B771,PM_ID,0)),""))</f>
        <v/>
      </c>
      <c r="G771" s="8">
        <f>IF($B771="","",IFERROR(INDEX(PM_Model,MATCH($B771,PM_ID,0)),""))</f>
        <v/>
      </c>
      <c r="H771" s="5" t="n"/>
      <c r="I771" s="10" t="n"/>
      <c r="J771" s="9" t="n"/>
      <c r="K771" s="5" t="n"/>
      <c r="L771" s="5" t="n"/>
      <c r="M771" s="5" t="n"/>
      <c r="N771" s="5" t="n"/>
      <c r="O771" s="8">
        <f>IF($B771="","",IF(AND($A771&lt;&gt;"",COUNTIF(INV_ID,$A771)&gt;1),"⚠ this Unit ID already exists",IF(AND($H771&lt;&gt;"",COUNTIF(INV_Serial,$H771)&gt;1),"⚠ this serial already exists",IF(COUNTIFS(INV_Product,$B771,INV_No,$C771)&gt;1,"⚠ piece number reused",""))))</f>
        <v/>
      </c>
      <c r="P771" s="5" t="n"/>
    </row>
    <row r="772">
      <c r="A772" s="8">
        <f>IF(OR($B772="",$C772=""),"",IFERROR(INDEX(PM_Short,MATCH($B772,PM_ID,0))&amp;"-"&amp;TEXT($C772,"00"),"?? no such product"))</f>
        <v/>
      </c>
      <c r="B772" s="5" t="n"/>
      <c r="C772" s="5" t="n"/>
      <c r="D772" s="8">
        <f>IF($B772="","",IFERROR(INDEX(PM_Category,MATCH($B772,PM_ID,0)),""))</f>
        <v/>
      </c>
      <c r="E772" s="8">
        <f>IF($B772="","",IFERROR(INDEX(PM_Subcategory,MATCH($B772,PM_ID,0)),""))</f>
        <v/>
      </c>
      <c r="F772" s="8">
        <f>IF($B772="","",IFERROR(INDEX(PM_Brand,MATCH($B772,PM_ID,0)),""))</f>
        <v/>
      </c>
      <c r="G772" s="8">
        <f>IF($B772="","",IFERROR(INDEX(PM_Model,MATCH($B772,PM_ID,0)),""))</f>
        <v/>
      </c>
      <c r="H772" s="5" t="n"/>
      <c r="I772" s="10" t="n"/>
      <c r="J772" s="9" t="n"/>
      <c r="K772" s="5" t="n"/>
      <c r="L772" s="5" t="n"/>
      <c r="M772" s="5" t="n"/>
      <c r="N772" s="5" t="n"/>
      <c r="O772" s="8">
        <f>IF($B772="","",IF(AND($A772&lt;&gt;"",COUNTIF(INV_ID,$A772)&gt;1),"⚠ this Unit ID already exists",IF(AND($H772&lt;&gt;"",COUNTIF(INV_Serial,$H772)&gt;1),"⚠ this serial already exists",IF(COUNTIFS(INV_Product,$B772,INV_No,$C772)&gt;1,"⚠ piece number reused",""))))</f>
        <v/>
      </c>
      <c r="P772" s="5" t="n"/>
    </row>
    <row r="773">
      <c r="A773" s="8">
        <f>IF(OR($B773="",$C773=""),"",IFERROR(INDEX(PM_Short,MATCH($B773,PM_ID,0))&amp;"-"&amp;TEXT($C773,"00"),"?? no such product"))</f>
        <v/>
      </c>
      <c r="B773" s="5" t="n"/>
      <c r="C773" s="5" t="n"/>
      <c r="D773" s="8">
        <f>IF($B773="","",IFERROR(INDEX(PM_Category,MATCH($B773,PM_ID,0)),""))</f>
        <v/>
      </c>
      <c r="E773" s="8">
        <f>IF($B773="","",IFERROR(INDEX(PM_Subcategory,MATCH($B773,PM_ID,0)),""))</f>
        <v/>
      </c>
      <c r="F773" s="8">
        <f>IF($B773="","",IFERROR(INDEX(PM_Brand,MATCH($B773,PM_ID,0)),""))</f>
        <v/>
      </c>
      <c r="G773" s="8">
        <f>IF($B773="","",IFERROR(INDEX(PM_Model,MATCH($B773,PM_ID,0)),""))</f>
        <v/>
      </c>
      <c r="H773" s="5" t="n"/>
      <c r="I773" s="10" t="n"/>
      <c r="J773" s="9" t="n"/>
      <c r="K773" s="5" t="n"/>
      <c r="L773" s="5" t="n"/>
      <c r="M773" s="5" t="n"/>
      <c r="N773" s="5" t="n"/>
      <c r="O773" s="8">
        <f>IF($B773="","",IF(AND($A773&lt;&gt;"",COUNTIF(INV_ID,$A773)&gt;1),"⚠ this Unit ID already exists",IF(AND($H773&lt;&gt;"",COUNTIF(INV_Serial,$H773)&gt;1),"⚠ this serial already exists",IF(COUNTIFS(INV_Product,$B773,INV_No,$C773)&gt;1,"⚠ piece number reused",""))))</f>
        <v/>
      </c>
      <c r="P773" s="5" t="n"/>
    </row>
    <row r="774">
      <c r="A774" s="8">
        <f>IF(OR($B774="",$C774=""),"",IFERROR(INDEX(PM_Short,MATCH($B774,PM_ID,0))&amp;"-"&amp;TEXT($C774,"00"),"?? no such product"))</f>
        <v/>
      </c>
      <c r="B774" s="5" t="n"/>
      <c r="C774" s="5" t="n"/>
      <c r="D774" s="8">
        <f>IF($B774="","",IFERROR(INDEX(PM_Category,MATCH($B774,PM_ID,0)),""))</f>
        <v/>
      </c>
      <c r="E774" s="8">
        <f>IF($B774="","",IFERROR(INDEX(PM_Subcategory,MATCH($B774,PM_ID,0)),""))</f>
        <v/>
      </c>
      <c r="F774" s="8">
        <f>IF($B774="","",IFERROR(INDEX(PM_Brand,MATCH($B774,PM_ID,0)),""))</f>
        <v/>
      </c>
      <c r="G774" s="8">
        <f>IF($B774="","",IFERROR(INDEX(PM_Model,MATCH($B774,PM_ID,0)),""))</f>
        <v/>
      </c>
      <c r="H774" s="5" t="n"/>
      <c r="I774" s="10" t="n"/>
      <c r="J774" s="9" t="n"/>
      <c r="K774" s="5" t="n"/>
      <c r="L774" s="5" t="n"/>
      <c r="M774" s="5" t="n"/>
      <c r="N774" s="5" t="n"/>
      <c r="O774" s="8">
        <f>IF($B774="","",IF(AND($A774&lt;&gt;"",COUNTIF(INV_ID,$A774)&gt;1),"⚠ this Unit ID already exists",IF(AND($H774&lt;&gt;"",COUNTIF(INV_Serial,$H774)&gt;1),"⚠ this serial already exists",IF(COUNTIFS(INV_Product,$B774,INV_No,$C774)&gt;1,"⚠ piece number reused",""))))</f>
        <v/>
      </c>
      <c r="P774" s="5" t="n"/>
    </row>
    <row r="775">
      <c r="A775" s="8">
        <f>IF(OR($B775="",$C775=""),"",IFERROR(INDEX(PM_Short,MATCH($B775,PM_ID,0))&amp;"-"&amp;TEXT($C775,"00"),"?? no such product"))</f>
        <v/>
      </c>
      <c r="B775" s="5" t="n"/>
      <c r="C775" s="5" t="n"/>
      <c r="D775" s="8">
        <f>IF($B775="","",IFERROR(INDEX(PM_Category,MATCH($B775,PM_ID,0)),""))</f>
        <v/>
      </c>
      <c r="E775" s="8">
        <f>IF($B775="","",IFERROR(INDEX(PM_Subcategory,MATCH($B775,PM_ID,0)),""))</f>
        <v/>
      </c>
      <c r="F775" s="8">
        <f>IF($B775="","",IFERROR(INDEX(PM_Brand,MATCH($B775,PM_ID,0)),""))</f>
        <v/>
      </c>
      <c r="G775" s="8">
        <f>IF($B775="","",IFERROR(INDEX(PM_Model,MATCH($B775,PM_ID,0)),""))</f>
        <v/>
      </c>
      <c r="H775" s="5" t="n"/>
      <c r="I775" s="10" t="n"/>
      <c r="J775" s="9" t="n"/>
      <c r="K775" s="5" t="n"/>
      <c r="L775" s="5" t="n"/>
      <c r="M775" s="5" t="n"/>
      <c r="N775" s="5" t="n"/>
      <c r="O775" s="8">
        <f>IF($B775="","",IF(AND($A775&lt;&gt;"",COUNTIF(INV_ID,$A775)&gt;1),"⚠ this Unit ID already exists",IF(AND($H775&lt;&gt;"",COUNTIF(INV_Serial,$H775)&gt;1),"⚠ this serial already exists",IF(COUNTIFS(INV_Product,$B775,INV_No,$C775)&gt;1,"⚠ piece number reused",""))))</f>
        <v/>
      </c>
      <c r="P775" s="5" t="n"/>
    </row>
    <row r="776">
      <c r="A776" s="8">
        <f>IF(OR($B776="",$C776=""),"",IFERROR(INDEX(PM_Short,MATCH($B776,PM_ID,0))&amp;"-"&amp;TEXT($C776,"00"),"?? no such product"))</f>
        <v/>
      </c>
      <c r="B776" s="5" t="n"/>
      <c r="C776" s="5" t="n"/>
      <c r="D776" s="8">
        <f>IF($B776="","",IFERROR(INDEX(PM_Category,MATCH($B776,PM_ID,0)),""))</f>
        <v/>
      </c>
      <c r="E776" s="8">
        <f>IF($B776="","",IFERROR(INDEX(PM_Subcategory,MATCH($B776,PM_ID,0)),""))</f>
        <v/>
      </c>
      <c r="F776" s="8">
        <f>IF($B776="","",IFERROR(INDEX(PM_Brand,MATCH($B776,PM_ID,0)),""))</f>
        <v/>
      </c>
      <c r="G776" s="8">
        <f>IF($B776="","",IFERROR(INDEX(PM_Model,MATCH($B776,PM_ID,0)),""))</f>
        <v/>
      </c>
      <c r="H776" s="5" t="n"/>
      <c r="I776" s="10" t="n"/>
      <c r="J776" s="9" t="n"/>
      <c r="K776" s="5" t="n"/>
      <c r="L776" s="5" t="n"/>
      <c r="M776" s="5" t="n"/>
      <c r="N776" s="5" t="n"/>
      <c r="O776" s="8">
        <f>IF($B776="","",IF(AND($A776&lt;&gt;"",COUNTIF(INV_ID,$A776)&gt;1),"⚠ this Unit ID already exists",IF(AND($H776&lt;&gt;"",COUNTIF(INV_Serial,$H776)&gt;1),"⚠ this serial already exists",IF(COUNTIFS(INV_Product,$B776,INV_No,$C776)&gt;1,"⚠ piece number reused",""))))</f>
        <v/>
      </c>
      <c r="P776" s="5" t="n"/>
    </row>
    <row r="777">
      <c r="A777" s="8">
        <f>IF(OR($B777="",$C777=""),"",IFERROR(INDEX(PM_Short,MATCH($B777,PM_ID,0))&amp;"-"&amp;TEXT($C777,"00"),"?? no such product"))</f>
        <v/>
      </c>
      <c r="B777" s="5" t="n"/>
      <c r="C777" s="5" t="n"/>
      <c r="D777" s="8">
        <f>IF($B777="","",IFERROR(INDEX(PM_Category,MATCH($B777,PM_ID,0)),""))</f>
        <v/>
      </c>
      <c r="E777" s="8">
        <f>IF($B777="","",IFERROR(INDEX(PM_Subcategory,MATCH($B777,PM_ID,0)),""))</f>
        <v/>
      </c>
      <c r="F777" s="8">
        <f>IF($B777="","",IFERROR(INDEX(PM_Brand,MATCH($B777,PM_ID,0)),""))</f>
        <v/>
      </c>
      <c r="G777" s="8">
        <f>IF($B777="","",IFERROR(INDEX(PM_Model,MATCH($B777,PM_ID,0)),""))</f>
        <v/>
      </c>
      <c r="H777" s="5" t="n"/>
      <c r="I777" s="10" t="n"/>
      <c r="J777" s="9" t="n"/>
      <c r="K777" s="5" t="n"/>
      <c r="L777" s="5" t="n"/>
      <c r="M777" s="5" t="n"/>
      <c r="N777" s="5" t="n"/>
      <c r="O777" s="8">
        <f>IF($B777="","",IF(AND($A777&lt;&gt;"",COUNTIF(INV_ID,$A777)&gt;1),"⚠ this Unit ID already exists",IF(AND($H777&lt;&gt;"",COUNTIF(INV_Serial,$H777)&gt;1),"⚠ this serial already exists",IF(COUNTIFS(INV_Product,$B777,INV_No,$C777)&gt;1,"⚠ piece number reused",""))))</f>
        <v/>
      </c>
      <c r="P777" s="5" t="n"/>
    </row>
    <row r="778">
      <c r="A778" s="8">
        <f>IF(OR($B778="",$C778=""),"",IFERROR(INDEX(PM_Short,MATCH($B778,PM_ID,0))&amp;"-"&amp;TEXT($C778,"00"),"?? no such product"))</f>
        <v/>
      </c>
      <c r="B778" s="5" t="n"/>
      <c r="C778" s="5" t="n"/>
      <c r="D778" s="8">
        <f>IF($B778="","",IFERROR(INDEX(PM_Category,MATCH($B778,PM_ID,0)),""))</f>
        <v/>
      </c>
      <c r="E778" s="8">
        <f>IF($B778="","",IFERROR(INDEX(PM_Subcategory,MATCH($B778,PM_ID,0)),""))</f>
        <v/>
      </c>
      <c r="F778" s="8">
        <f>IF($B778="","",IFERROR(INDEX(PM_Brand,MATCH($B778,PM_ID,0)),""))</f>
        <v/>
      </c>
      <c r="G778" s="8">
        <f>IF($B778="","",IFERROR(INDEX(PM_Model,MATCH($B778,PM_ID,0)),""))</f>
        <v/>
      </c>
      <c r="H778" s="5" t="n"/>
      <c r="I778" s="10" t="n"/>
      <c r="J778" s="9" t="n"/>
      <c r="K778" s="5" t="n"/>
      <c r="L778" s="5" t="n"/>
      <c r="M778" s="5" t="n"/>
      <c r="N778" s="5" t="n"/>
      <c r="O778" s="8">
        <f>IF($B778="","",IF(AND($A778&lt;&gt;"",COUNTIF(INV_ID,$A778)&gt;1),"⚠ this Unit ID already exists",IF(AND($H778&lt;&gt;"",COUNTIF(INV_Serial,$H778)&gt;1),"⚠ this serial already exists",IF(COUNTIFS(INV_Product,$B778,INV_No,$C778)&gt;1,"⚠ piece number reused",""))))</f>
        <v/>
      </c>
      <c r="P778" s="5" t="n"/>
    </row>
    <row r="779">
      <c r="A779" s="8">
        <f>IF(OR($B779="",$C779=""),"",IFERROR(INDEX(PM_Short,MATCH($B779,PM_ID,0))&amp;"-"&amp;TEXT($C779,"00"),"?? no such product"))</f>
        <v/>
      </c>
      <c r="B779" s="5" t="n"/>
      <c r="C779" s="5" t="n"/>
      <c r="D779" s="8">
        <f>IF($B779="","",IFERROR(INDEX(PM_Category,MATCH($B779,PM_ID,0)),""))</f>
        <v/>
      </c>
      <c r="E779" s="8">
        <f>IF($B779="","",IFERROR(INDEX(PM_Subcategory,MATCH($B779,PM_ID,0)),""))</f>
        <v/>
      </c>
      <c r="F779" s="8">
        <f>IF($B779="","",IFERROR(INDEX(PM_Brand,MATCH($B779,PM_ID,0)),""))</f>
        <v/>
      </c>
      <c r="G779" s="8">
        <f>IF($B779="","",IFERROR(INDEX(PM_Model,MATCH($B779,PM_ID,0)),""))</f>
        <v/>
      </c>
      <c r="H779" s="5" t="n"/>
      <c r="I779" s="10" t="n"/>
      <c r="J779" s="9" t="n"/>
      <c r="K779" s="5" t="n"/>
      <c r="L779" s="5" t="n"/>
      <c r="M779" s="5" t="n"/>
      <c r="N779" s="5" t="n"/>
      <c r="O779" s="8">
        <f>IF($B779="","",IF(AND($A779&lt;&gt;"",COUNTIF(INV_ID,$A779)&gt;1),"⚠ this Unit ID already exists",IF(AND($H779&lt;&gt;"",COUNTIF(INV_Serial,$H779)&gt;1),"⚠ this serial already exists",IF(COUNTIFS(INV_Product,$B779,INV_No,$C779)&gt;1,"⚠ piece number reused",""))))</f>
        <v/>
      </c>
      <c r="P779" s="5" t="n"/>
    </row>
    <row r="780">
      <c r="A780" s="8">
        <f>IF(OR($B780="",$C780=""),"",IFERROR(INDEX(PM_Short,MATCH($B780,PM_ID,0))&amp;"-"&amp;TEXT($C780,"00"),"?? no such product"))</f>
        <v/>
      </c>
      <c r="B780" s="5" t="n"/>
      <c r="C780" s="5" t="n"/>
      <c r="D780" s="8">
        <f>IF($B780="","",IFERROR(INDEX(PM_Category,MATCH($B780,PM_ID,0)),""))</f>
        <v/>
      </c>
      <c r="E780" s="8">
        <f>IF($B780="","",IFERROR(INDEX(PM_Subcategory,MATCH($B780,PM_ID,0)),""))</f>
        <v/>
      </c>
      <c r="F780" s="8">
        <f>IF($B780="","",IFERROR(INDEX(PM_Brand,MATCH($B780,PM_ID,0)),""))</f>
        <v/>
      </c>
      <c r="G780" s="8">
        <f>IF($B780="","",IFERROR(INDEX(PM_Model,MATCH($B780,PM_ID,0)),""))</f>
        <v/>
      </c>
      <c r="H780" s="5" t="n"/>
      <c r="I780" s="10" t="n"/>
      <c r="J780" s="9" t="n"/>
      <c r="K780" s="5" t="n"/>
      <c r="L780" s="5" t="n"/>
      <c r="M780" s="5" t="n"/>
      <c r="N780" s="5" t="n"/>
      <c r="O780" s="8">
        <f>IF($B780="","",IF(AND($A780&lt;&gt;"",COUNTIF(INV_ID,$A780)&gt;1),"⚠ this Unit ID already exists",IF(AND($H780&lt;&gt;"",COUNTIF(INV_Serial,$H780)&gt;1),"⚠ this serial already exists",IF(COUNTIFS(INV_Product,$B780,INV_No,$C780)&gt;1,"⚠ piece number reused",""))))</f>
        <v/>
      </c>
      <c r="P780" s="5" t="n"/>
    </row>
    <row r="781">
      <c r="A781" s="8">
        <f>IF(OR($B781="",$C781=""),"",IFERROR(INDEX(PM_Short,MATCH($B781,PM_ID,0))&amp;"-"&amp;TEXT($C781,"00"),"?? no such product"))</f>
        <v/>
      </c>
      <c r="B781" s="5" t="n"/>
      <c r="C781" s="5" t="n"/>
      <c r="D781" s="8">
        <f>IF($B781="","",IFERROR(INDEX(PM_Category,MATCH($B781,PM_ID,0)),""))</f>
        <v/>
      </c>
      <c r="E781" s="8">
        <f>IF($B781="","",IFERROR(INDEX(PM_Subcategory,MATCH($B781,PM_ID,0)),""))</f>
        <v/>
      </c>
      <c r="F781" s="8">
        <f>IF($B781="","",IFERROR(INDEX(PM_Brand,MATCH($B781,PM_ID,0)),""))</f>
        <v/>
      </c>
      <c r="G781" s="8">
        <f>IF($B781="","",IFERROR(INDEX(PM_Model,MATCH($B781,PM_ID,0)),""))</f>
        <v/>
      </c>
      <c r="H781" s="5" t="n"/>
      <c r="I781" s="10" t="n"/>
      <c r="J781" s="9" t="n"/>
      <c r="K781" s="5" t="n"/>
      <c r="L781" s="5" t="n"/>
      <c r="M781" s="5" t="n"/>
      <c r="N781" s="5" t="n"/>
      <c r="O781" s="8">
        <f>IF($B781="","",IF(AND($A781&lt;&gt;"",COUNTIF(INV_ID,$A781)&gt;1),"⚠ this Unit ID already exists",IF(AND($H781&lt;&gt;"",COUNTIF(INV_Serial,$H781)&gt;1),"⚠ this serial already exists",IF(COUNTIFS(INV_Product,$B781,INV_No,$C781)&gt;1,"⚠ piece number reused",""))))</f>
        <v/>
      </c>
      <c r="P781" s="5" t="n"/>
    </row>
    <row r="782">
      <c r="A782" s="8">
        <f>IF(OR($B782="",$C782=""),"",IFERROR(INDEX(PM_Short,MATCH($B782,PM_ID,0))&amp;"-"&amp;TEXT($C782,"00"),"?? no such product"))</f>
        <v/>
      </c>
      <c r="B782" s="5" t="n"/>
      <c r="C782" s="5" t="n"/>
      <c r="D782" s="8">
        <f>IF($B782="","",IFERROR(INDEX(PM_Category,MATCH($B782,PM_ID,0)),""))</f>
        <v/>
      </c>
      <c r="E782" s="8">
        <f>IF($B782="","",IFERROR(INDEX(PM_Subcategory,MATCH($B782,PM_ID,0)),""))</f>
        <v/>
      </c>
      <c r="F782" s="8">
        <f>IF($B782="","",IFERROR(INDEX(PM_Brand,MATCH($B782,PM_ID,0)),""))</f>
        <v/>
      </c>
      <c r="G782" s="8">
        <f>IF($B782="","",IFERROR(INDEX(PM_Model,MATCH($B782,PM_ID,0)),""))</f>
        <v/>
      </c>
      <c r="H782" s="5" t="n"/>
      <c r="I782" s="10" t="n"/>
      <c r="J782" s="9" t="n"/>
      <c r="K782" s="5" t="n"/>
      <c r="L782" s="5" t="n"/>
      <c r="M782" s="5" t="n"/>
      <c r="N782" s="5" t="n"/>
      <c r="O782" s="8">
        <f>IF($B782="","",IF(AND($A782&lt;&gt;"",COUNTIF(INV_ID,$A782)&gt;1),"⚠ this Unit ID already exists",IF(AND($H782&lt;&gt;"",COUNTIF(INV_Serial,$H782)&gt;1),"⚠ this serial already exists",IF(COUNTIFS(INV_Product,$B782,INV_No,$C782)&gt;1,"⚠ piece number reused",""))))</f>
        <v/>
      </c>
      <c r="P782" s="5" t="n"/>
    </row>
    <row r="783">
      <c r="A783" s="8">
        <f>IF(OR($B783="",$C783=""),"",IFERROR(INDEX(PM_Short,MATCH($B783,PM_ID,0))&amp;"-"&amp;TEXT($C783,"00"),"?? no such product"))</f>
        <v/>
      </c>
      <c r="B783" s="5" t="n"/>
      <c r="C783" s="5" t="n"/>
      <c r="D783" s="8">
        <f>IF($B783="","",IFERROR(INDEX(PM_Category,MATCH($B783,PM_ID,0)),""))</f>
        <v/>
      </c>
      <c r="E783" s="8">
        <f>IF($B783="","",IFERROR(INDEX(PM_Subcategory,MATCH($B783,PM_ID,0)),""))</f>
        <v/>
      </c>
      <c r="F783" s="8">
        <f>IF($B783="","",IFERROR(INDEX(PM_Brand,MATCH($B783,PM_ID,0)),""))</f>
        <v/>
      </c>
      <c r="G783" s="8">
        <f>IF($B783="","",IFERROR(INDEX(PM_Model,MATCH($B783,PM_ID,0)),""))</f>
        <v/>
      </c>
      <c r="H783" s="5" t="n"/>
      <c r="I783" s="10" t="n"/>
      <c r="J783" s="9" t="n"/>
      <c r="K783" s="5" t="n"/>
      <c r="L783" s="5" t="n"/>
      <c r="M783" s="5" t="n"/>
      <c r="N783" s="5" t="n"/>
      <c r="O783" s="8">
        <f>IF($B783="","",IF(AND($A783&lt;&gt;"",COUNTIF(INV_ID,$A783)&gt;1),"⚠ this Unit ID already exists",IF(AND($H783&lt;&gt;"",COUNTIF(INV_Serial,$H783)&gt;1),"⚠ this serial already exists",IF(COUNTIFS(INV_Product,$B783,INV_No,$C783)&gt;1,"⚠ piece number reused",""))))</f>
        <v/>
      </c>
      <c r="P783" s="5" t="n"/>
    </row>
    <row r="784">
      <c r="A784" s="8">
        <f>IF(OR($B784="",$C784=""),"",IFERROR(INDEX(PM_Short,MATCH($B784,PM_ID,0))&amp;"-"&amp;TEXT($C784,"00"),"?? no such product"))</f>
        <v/>
      </c>
      <c r="B784" s="5" t="n"/>
      <c r="C784" s="5" t="n"/>
      <c r="D784" s="8">
        <f>IF($B784="","",IFERROR(INDEX(PM_Category,MATCH($B784,PM_ID,0)),""))</f>
        <v/>
      </c>
      <c r="E784" s="8">
        <f>IF($B784="","",IFERROR(INDEX(PM_Subcategory,MATCH($B784,PM_ID,0)),""))</f>
        <v/>
      </c>
      <c r="F784" s="8">
        <f>IF($B784="","",IFERROR(INDEX(PM_Brand,MATCH($B784,PM_ID,0)),""))</f>
        <v/>
      </c>
      <c r="G784" s="8">
        <f>IF($B784="","",IFERROR(INDEX(PM_Model,MATCH($B784,PM_ID,0)),""))</f>
        <v/>
      </c>
      <c r="H784" s="5" t="n"/>
      <c r="I784" s="10" t="n"/>
      <c r="J784" s="9" t="n"/>
      <c r="K784" s="5" t="n"/>
      <c r="L784" s="5" t="n"/>
      <c r="M784" s="5" t="n"/>
      <c r="N784" s="5" t="n"/>
      <c r="O784" s="8">
        <f>IF($B784="","",IF(AND($A784&lt;&gt;"",COUNTIF(INV_ID,$A784)&gt;1),"⚠ this Unit ID already exists",IF(AND($H784&lt;&gt;"",COUNTIF(INV_Serial,$H784)&gt;1),"⚠ this serial already exists",IF(COUNTIFS(INV_Product,$B784,INV_No,$C784)&gt;1,"⚠ piece number reused",""))))</f>
        <v/>
      </c>
      <c r="P784" s="5" t="n"/>
    </row>
    <row r="785">
      <c r="A785" s="8">
        <f>IF(OR($B785="",$C785=""),"",IFERROR(INDEX(PM_Short,MATCH($B785,PM_ID,0))&amp;"-"&amp;TEXT($C785,"00"),"?? no such product"))</f>
        <v/>
      </c>
      <c r="B785" s="5" t="n"/>
      <c r="C785" s="5" t="n"/>
      <c r="D785" s="8">
        <f>IF($B785="","",IFERROR(INDEX(PM_Category,MATCH($B785,PM_ID,0)),""))</f>
        <v/>
      </c>
      <c r="E785" s="8">
        <f>IF($B785="","",IFERROR(INDEX(PM_Subcategory,MATCH($B785,PM_ID,0)),""))</f>
        <v/>
      </c>
      <c r="F785" s="8">
        <f>IF($B785="","",IFERROR(INDEX(PM_Brand,MATCH($B785,PM_ID,0)),""))</f>
        <v/>
      </c>
      <c r="G785" s="8">
        <f>IF($B785="","",IFERROR(INDEX(PM_Model,MATCH($B785,PM_ID,0)),""))</f>
        <v/>
      </c>
      <c r="H785" s="5" t="n"/>
      <c r="I785" s="10" t="n"/>
      <c r="J785" s="9" t="n"/>
      <c r="K785" s="5" t="n"/>
      <c r="L785" s="5" t="n"/>
      <c r="M785" s="5" t="n"/>
      <c r="N785" s="5" t="n"/>
      <c r="O785" s="8">
        <f>IF($B785="","",IF(AND($A785&lt;&gt;"",COUNTIF(INV_ID,$A785)&gt;1),"⚠ this Unit ID already exists",IF(AND($H785&lt;&gt;"",COUNTIF(INV_Serial,$H785)&gt;1),"⚠ this serial already exists",IF(COUNTIFS(INV_Product,$B785,INV_No,$C785)&gt;1,"⚠ piece number reused",""))))</f>
        <v/>
      </c>
      <c r="P785" s="5" t="n"/>
    </row>
    <row r="786">
      <c r="A786" s="8">
        <f>IF(OR($B786="",$C786=""),"",IFERROR(INDEX(PM_Short,MATCH($B786,PM_ID,0))&amp;"-"&amp;TEXT($C786,"00"),"?? no such product"))</f>
        <v/>
      </c>
      <c r="B786" s="5" t="n"/>
      <c r="C786" s="5" t="n"/>
      <c r="D786" s="8">
        <f>IF($B786="","",IFERROR(INDEX(PM_Category,MATCH($B786,PM_ID,0)),""))</f>
        <v/>
      </c>
      <c r="E786" s="8">
        <f>IF($B786="","",IFERROR(INDEX(PM_Subcategory,MATCH($B786,PM_ID,0)),""))</f>
        <v/>
      </c>
      <c r="F786" s="8">
        <f>IF($B786="","",IFERROR(INDEX(PM_Brand,MATCH($B786,PM_ID,0)),""))</f>
        <v/>
      </c>
      <c r="G786" s="8">
        <f>IF($B786="","",IFERROR(INDEX(PM_Model,MATCH($B786,PM_ID,0)),""))</f>
        <v/>
      </c>
      <c r="H786" s="5" t="n"/>
      <c r="I786" s="10" t="n"/>
      <c r="J786" s="9" t="n"/>
      <c r="K786" s="5" t="n"/>
      <c r="L786" s="5" t="n"/>
      <c r="M786" s="5" t="n"/>
      <c r="N786" s="5" t="n"/>
      <c r="O786" s="8">
        <f>IF($B786="","",IF(AND($A786&lt;&gt;"",COUNTIF(INV_ID,$A786)&gt;1),"⚠ this Unit ID already exists",IF(AND($H786&lt;&gt;"",COUNTIF(INV_Serial,$H786)&gt;1),"⚠ this serial already exists",IF(COUNTIFS(INV_Product,$B786,INV_No,$C786)&gt;1,"⚠ piece number reused",""))))</f>
        <v/>
      </c>
      <c r="P786" s="5" t="n"/>
    </row>
    <row r="787">
      <c r="A787" s="8">
        <f>IF(OR($B787="",$C787=""),"",IFERROR(INDEX(PM_Short,MATCH($B787,PM_ID,0))&amp;"-"&amp;TEXT($C787,"00"),"?? no such product"))</f>
        <v/>
      </c>
      <c r="B787" s="5" t="n"/>
      <c r="C787" s="5" t="n"/>
      <c r="D787" s="8">
        <f>IF($B787="","",IFERROR(INDEX(PM_Category,MATCH($B787,PM_ID,0)),""))</f>
        <v/>
      </c>
      <c r="E787" s="8">
        <f>IF($B787="","",IFERROR(INDEX(PM_Subcategory,MATCH($B787,PM_ID,0)),""))</f>
        <v/>
      </c>
      <c r="F787" s="8">
        <f>IF($B787="","",IFERROR(INDEX(PM_Brand,MATCH($B787,PM_ID,0)),""))</f>
        <v/>
      </c>
      <c r="G787" s="8">
        <f>IF($B787="","",IFERROR(INDEX(PM_Model,MATCH($B787,PM_ID,0)),""))</f>
        <v/>
      </c>
      <c r="H787" s="5" t="n"/>
      <c r="I787" s="10" t="n"/>
      <c r="J787" s="9" t="n"/>
      <c r="K787" s="5" t="n"/>
      <c r="L787" s="5" t="n"/>
      <c r="M787" s="5" t="n"/>
      <c r="N787" s="5" t="n"/>
      <c r="O787" s="8">
        <f>IF($B787="","",IF(AND($A787&lt;&gt;"",COUNTIF(INV_ID,$A787)&gt;1),"⚠ this Unit ID already exists",IF(AND($H787&lt;&gt;"",COUNTIF(INV_Serial,$H787)&gt;1),"⚠ this serial already exists",IF(COUNTIFS(INV_Product,$B787,INV_No,$C787)&gt;1,"⚠ piece number reused",""))))</f>
        <v/>
      </c>
      <c r="P787" s="5" t="n"/>
    </row>
    <row r="788">
      <c r="A788" s="8">
        <f>IF(OR($B788="",$C788=""),"",IFERROR(INDEX(PM_Short,MATCH($B788,PM_ID,0))&amp;"-"&amp;TEXT($C788,"00"),"?? no such product"))</f>
        <v/>
      </c>
      <c r="B788" s="5" t="n"/>
      <c r="C788" s="5" t="n"/>
      <c r="D788" s="8">
        <f>IF($B788="","",IFERROR(INDEX(PM_Category,MATCH($B788,PM_ID,0)),""))</f>
        <v/>
      </c>
      <c r="E788" s="8">
        <f>IF($B788="","",IFERROR(INDEX(PM_Subcategory,MATCH($B788,PM_ID,0)),""))</f>
        <v/>
      </c>
      <c r="F788" s="8">
        <f>IF($B788="","",IFERROR(INDEX(PM_Brand,MATCH($B788,PM_ID,0)),""))</f>
        <v/>
      </c>
      <c r="G788" s="8">
        <f>IF($B788="","",IFERROR(INDEX(PM_Model,MATCH($B788,PM_ID,0)),""))</f>
        <v/>
      </c>
      <c r="H788" s="5" t="n"/>
      <c r="I788" s="10" t="n"/>
      <c r="J788" s="9" t="n"/>
      <c r="K788" s="5" t="n"/>
      <c r="L788" s="5" t="n"/>
      <c r="M788" s="5" t="n"/>
      <c r="N788" s="5" t="n"/>
      <c r="O788" s="8">
        <f>IF($B788="","",IF(AND($A788&lt;&gt;"",COUNTIF(INV_ID,$A788)&gt;1),"⚠ this Unit ID already exists",IF(AND($H788&lt;&gt;"",COUNTIF(INV_Serial,$H788)&gt;1),"⚠ this serial already exists",IF(COUNTIFS(INV_Product,$B788,INV_No,$C788)&gt;1,"⚠ piece number reused",""))))</f>
        <v/>
      </c>
      <c r="P788" s="5" t="n"/>
    </row>
    <row r="789">
      <c r="A789" s="8">
        <f>IF(OR($B789="",$C789=""),"",IFERROR(INDEX(PM_Short,MATCH($B789,PM_ID,0))&amp;"-"&amp;TEXT($C789,"00"),"?? no such product"))</f>
        <v/>
      </c>
      <c r="B789" s="5" t="n"/>
      <c r="C789" s="5" t="n"/>
      <c r="D789" s="8">
        <f>IF($B789="","",IFERROR(INDEX(PM_Category,MATCH($B789,PM_ID,0)),""))</f>
        <v/>
      </c>
      <c r="E789" s="8">
        <f>IF($B789="","",IFERROR(INDEX(PM_Subcategory,MATCH($B789,PM_ID,0)),""))</f>
        <v/>
      </c>
      <c r="F789" s="8">
        <f>IF($B789="","",IFERROR(INDEX(PM_Brand,MATCH($B789,PM_ID,0)),""))</f>
        <v/>
      </c>
      <c r="G789" s="8">
        <f>IF($B789="","",IFERROR(INDEX(PM_Model,MATCH($B789,PM_ID,0)),""))</f>
        <v/>
      </c>
      <c r="H789" s="5" t="n"/>
      <c r="I789" s="10" t="n"/>
      <c r="J789" s="9" t="n"/>
      <c r="K789" s="5" t="n"/>
      <c r="L789" s="5" t="n"/>
      <c r="M789" s="5" t="n"/>
      <c r="N789" s="5" t="n"/>
      <c r="O789" s="8">
        <f>IF($B789="","",IF(AND($A789&lt;&gt;"",COUNTIF(INV_ID,$A789)&gt;1),"⚠ this Unit ID already exists",IF(AND($H789&lt;&gt;"",COUNTIF(INV_Serial,$H789)&gt;1),"⚠ this serial already exists",IF(COUNTIFS(INV_Product,$B789,INV_No,$C789)&gt;1,"⚠ piece number reused",""))))</f>
        <v/>
      </c>
      <c r="P789" s="5" t="n"/>
    </row>
    <row r="790">
      <c r="A790" s="8">
        <f>IF(OR($B790="",$C790=""),"",IFERROR(INDEX(PM_Short,MATCH($B790,PM_ID,0))&amp;"-"&amp;TEXT($C790,"00"),"?? no such product"))</f>
        <v/>
      </c>
      <c r="B790" s="5" t="n"/>
      <c r="C790" s="5" t="n"/>
      <c r="D790" s="8">
        <f>IF($B790="","",IFERROR(INDEX(PM_Category,MATCH($B790,PM_ID,0)),""))</f>
        <v/>
      </c>
      <c r="E790" s="8">
        <f>IF($B790="","",IFERROR(INDEX(PM_Subcategory,MATCH($B790,PM_ID,0)),""))</f>
        <v/>
      </c>
      <c r="F790" s="8">
        <f>IF($B790="","",IFERROR(INDEX(PM_Brand,MATCH($B790,PM_ID,0)),""))</f>
        <v/>
      </c>
      <c r="G790" s="8">
        <f>IF($B790="","",IFERROR(INDEX(PM_Model,MATCH($B790,PM_ID,0)),""))</f>
        <v/>
      </c>
      <c r="H790" s="5" t="n"/>
      <c r="I790" s="10" t="n"/>
      <c r="J790" s="9" t="n"/>
      <c r="K790" s="5" t="n"/>
      <c r="L790" s="5" t="n"/>
      <c r="M790" s="5" t="n"/>
      <c r="N790" s="5" t="n"/>
      <c r="O790" s="8">
        <f>IF($B790="","",IF(AND($A790&lt;&gt;"",COUNTIF(INV_ID,$A790)&gt;1),"⚠ this Unit ID already exists",IF(AND($H790&lt;&gt;"",COUNTIF(INV_Serial,$H790)&gt;1),"⚠ this serial already exists",IF(COUNTIFS(INV_Product,$B790,INV_No,$C790)&gt;1,"⚠ piece number reused",""))))</f>
        <v/>
      </c>
      <c r="P790" s="5" t="n"/>
    </row>
    <row r="791">
      <c r="A791" s="8">
        <f>IF(OR($B791="",$C791=""),"",IFERROR(INDEX(PM_Short,MATCH($B791,PM_ID,0))&amp;"-"&amp;TEXT($C791,"00"),"?? no such product"))</f>
        <v/>
      </c>
      <c r="B791" s="5" t="n"/>
      <c r="C791" s="5" t="n"/>
      <c r="D791" s="8">
        <f>IF($B791="","",IFERROR(INDEX(PM_Category,MATCH($B791,PM_ID,0)),""))</f>
        <v/>
      </c>
      <c r="E791" s="8">
        <f>IF($B791="","",IFERROR(INDEX(PM_Subcategory,MATCH($B791,PM_ID,0)),""))</f>
        <v/>
      </c>
      <c r="F791" s="8">
        <f>IF($B791="","",IFERROR(INDEX(PM_Brand,MATCH($B791,PM_ID,0)),""))</f>
        <v/>
      </c>
      <c r="G791" s="8">
        <f>IF($B791="","",IFERROR(INDEX(PM_Model,MATCH($B791,PM_ID,0)),""))</f>
        <v/>
      </c>
      <c r="H791" s="5" t="n"/>
      <c r="I791" s="10" t="n"/>
      <c r="J791" s="9" t="n"/>
      <c r="K791" s="5" t="n"/>
      <c r="L791" s="5" t="n"/>
      <c r="M791" s="5" t="n"/>
      <c r="N791" s="5" t="n"/>
      <c r="O791" s="8">
        <f>IF($B791="","",IF(AND($A791&lt;&gt;"",COUNTIF(INV_ID,$A791)&gt;1),"⚠ this Unit ID already exists",IF(AND($H791&lt;&gt;"",COUNTIF(INV_Serial,$H791)&gt;1),"⚠ this serial already exists",IF(COUNTIFS(INV_Product,$B791,INV_No,$C791)&gt;1,"⚠ piece number reused",""))))</f>
        <v/>
      </c>
      <c r="P791" s="5" t="n"/>
    </row>
    <row r="792">
      <c r="A792" s="8">
        <f>IF(OR($B792="",$C792=""),"",IFERROR(INDEX(PM_Short,MATCH($B792,PM_ID,0))&amp;"-"&amp;TEXT($C792,"00"),"?? no such product"))</f>
        <v/>
      </c>
      <c r="B792" s="5" t="n"/>
      <c r="C792" s="5" t="n"/>
      <c r="D792" s="8">
        <f>IF($B792="","",IFERROR(INDEX(PM_Category,MATCH($B792,PM_ID,0)),""))</f>
        <v/>
      </c>
      <c r="E792" s="8">
        <f>IF($B792="","",IFERROR(INDEX(PM_Subcategory,MATCH($B792,PM_ID,0)),""))</f>
        <v/>
      </c>
      <c r="F792" s="8">
        <f>IF($B792="","",IFERROR(INDEX(PM_Brand,MATCH($B792,PM_ID,0)),""))</f>
        <v/>
      </c>
      <c r="G792" s="8">
        <f>IF($B792="","",IFERROR(INDEX(PM_Model,MATCH($B792,PM_ID,0)),""))</f>
        <v/>
      </c>
      <c r="H792" s="5" t="n"/>
      <c r="I792" s="10" t="n"/>
      <c r="J792" s="9" t="n"/>
      <c r="K792" s="5" t="n"/>
      <c r="L792" s="5" t="n"/>
      <c r="M792" s="5" t="n"/>
      <c r="N792" s="5" t="n"/>
      <c r="O792" s="8">
        <f>IF($B792="","",IF(AND($A792&lt;&gt;"",COUNTIF(INV_ID,$A792)&gt;1),"⚠ this Unit ID already exists",IF(AND($H792&lt;&gt;"",COUNTIF(INV_Serial,$H792)&gt;1),"⚠ this serial already exists",IF(COUNTIFS(INV_Product,$B792,INV_No,$C792)&gt;1,"⚠ piece number reused",""))))</f>
        <v/>
      </c>
      <c r="P792" s="5" t="n"/>
    </row>
    <row r="793">
      <c r="A793" s="8">
        <f>IF(OR($B793="",$C793=""),"",IFERROR(INDEX(PM_Short,MATCH($B793,PM_ID,0))&amp;"-"&amp;TEXT($C793,"00"),"?? no such product"))</f>
        <v/>
      </c>
      <c r="B793" s="5" t="n"/>
      <c r="C793" s="5" t="n"/>
      <c r="D793" s="8">
        <f>IF($B793="","",IFERROR(INDEX(PM_Category,MATCH($B793,PM_ID,0)),""))</f>
        <v/>
      </c>
      <c r="E793" s="8">
        <f>IF($B793="","",IFERROR(INDEX(PM_Subcategory,MATCH($B793,PM_ID,0)),""))</f>
        <v/>
      </c>
      <c r="F793" s="8">
        <f>IF($B793="","",IFERROR(INDEX(PM_Brand,MATCH($B793,PM_ID,0)),""))</f>
        <v/>
      </c>
      <c r="G793" s="8">
        <f>IF($B793="","",IFERROR(INDEX(PM_Model,MATCH($B793,PM_ID,0)),""))</f>
        <v/>
      </c>
      <c r="H793" s="5" t="n"/>
      <c r="I793" s="10" t="n"/>
      <c r="J793" s="9" t="n"/>
      <c r="K793" s="5" t="n"/>
      <c r="L793" s="5" t="n"/>
      <c r="M793" s="5" t="n"/>
      <c r="N793" s="5" t="n"/>
      <c r="O793" s="8">
        <f>IF($B793="","",IF(AND($A793&lt;&gt;"",COUNTIF(INV_ID,$A793)&gt;1),"⚠ this Unit ID already exists",IF(AND($H793&lt;&gt;"",COUNTIF(INV_Serial,$H793)&gt;1),"⚠ this serial already exists",IF(COUNTIFS(INV_Product,$B793,INV_No,$C793)&gt;1,"⚠ piece number reused",""))))</f>
        <v/>
      </c>
      <c r="P793" s="5" t="n"/>
    </row>
    <row r="794">
      <c r="A794" s="8">
        <f>IF(OR($B794="",$C794=""),"",IFERROR(INDEX(PM_Short,MATCH($B794,PM_ID,0))&amp;"-"&amp;TEXT($C794,"00"),"?? no such product"))</f>
        <v/>
      </c>
      <c r="B794" s="5" t="n"/>
      <c r="C794" s="5" t="n"/>
      <c r="D794" s="8">
        <f>IF($B794="","",IFERROR(INDEX(PM_Category,MATCH($B794,PM_ID,0)),""))</f>
        <v/>
      </c>
      <c r="E794" s="8">
        <f>IF($B794="","",IFERROR(INDEX(PM_Subcategory,MATCH($B794,PM_ID,0)),""))</f>
        <v/>
      </c>
      <c r="F794" s="8">
        <f>IF($B794="","",IFERROR(INDEX(PM_Brand,MATCH($B794,PM_ID,0)),""))</f>
        <v/>
      </c>
      <c r="G794" s="8">
        <f>IF($B794="","",IFERROR(INDEX(PM_Model,MATCH($B794,PM_ID,0)),""))</f>
        <v/>
      </c>
      <c r="H794" s="5" t="n"/>
      <c r="I794" s="10" t="n"/>
      <c r="J794" s="9" t="n"/>
      <c r="K794" s="5" t="n"/>
      <c r="L794" s="5" t="n"/>
      <c r="M794" s="5" t="n"/>
      <c r="N794" s="5" t="n"/>
      <c r="O794" s="8">
        <f>IF($B794="","",IF(AND($A794&lt;&gt;"",COUNTIF(INV_ID,$A794)&gt;1),"⚠ this Unit ID already exists",IF(AND($H794&lt;&gt;"",COUNTIF(INV_Serial,$H794)&gt;1),"⚠ this serial already exists",IF(COUNTIFS(INV_Product,$B794,INV_No,$C794)&gt;1,"⚠ piece number reused",""))))</f>
        <v/>
      </c>
      <c r="P794" s="5" t="n"/>
    </row>
    <row r="795">
      <c r="A795" s="8">
        <f>IF(OR($B795="",$C795=""),"",IFERROR(INDEX(PM_Short,MATCH($B795,PM_ID,0))&amp;"-"&amp;TEXT($C795,"00"),"?? no such product"))</f>
        <v/>
      </c>
      <c r="B795" s="5" t="n"/>
      <c r="C795" s="5" t="n"/>
      <c r="D795" s="8">
        <f>IF($B795="","",IFERROR(INDEX(PM_Category,MATCH($B795,PM_ID,0)),""))</f>
        <v/>
      </c>
      <c r="E795" s="8">
        <f>IF($B795="","",IFERROR(INDEX(PM_Subcategory,MATCH($B795,PM_ID,0)),""))</f>
        <v/>
      </c>
      <c r="F795" s="8">
        <f>IF($B795="","",IFERROR(INDEX(PM_Brand,MATCH($B795,PM_ID,0)),""))</f>
        <v/>
      </c>
      <c r="G795" s="8">
        <f>IF($B795="","",IFERROR(INDEX(PM_Model,MATCH($B795,PM_ID,0)),""))</f>
        <v/>
      </c>
      <c r="H795" s="5" t="n"/>
      <c r="I795" s="10" t="n"/>
      <c r="J795" s="9" t="n"/>
      <c r="K795" s="5" t="n"/>
      <c r="L795" s="5" t="n"/>
      <c r="M795" s="5" t="n"/>
      <c r="N795" s="5" t="n"/>
      <c r="O795" s="8">
        <f>IF($B795="","",IF(AND($A795&lt;&gt;"",COUNTIF(INV_ID,$A795)&gt;1),"⚠ this Unit ID already exists",IF(AND($H795&lt;&gt;"",COUNTIF(INV_Serial,$H795)&gt;1),"⚠ this serial already exists",IF(COUNTIFS(INV_Product,$B795,INV_No,$C795)&gt;1,"⚠ piece number reused",""))))</f>
        <v/>
      </c>
      <c r="P795" s="5" t="n"/>
    </row>
    <row r="796">
      <c r="A796" s="8">
        <f>IF(OR($B796="",$C796=""),"",IFERROR(INDEX(PM_Short,MATCH($B796,PM_ID,0))&amp;"-"&amp;TEXT($C796,"00"),"?? no such product"))</f>
        <v/>
      </c>
      <c r="B796" s="5" t="n"/>
      <c r="C796" s="5" t="n"/>
      <c r="D796" s="8">
        <f>IF($B796="","",IFERROR(INDEX(PM_Category,MATCH($B796,PM_ID,0)),""))</f>
        <v/>
      </c>
      <c r="E796" s="8">
        <f>IF($B796="","",IFERROR(INDEX(PM_Subcategory,MATCH($B796,PM_ID,0)),""))</f>
        <v/>
      </c>
      <c r="F796" s="8">
        <f>IF($B796="","",IFERROR(INDEX(PM_Brand,MATCH($B796,PM_ID,0)),""))</f>
        <v/>
      </c>
      <c r="G796" s="8">
        <f>IF($B796="","",IFERROR(INDEX(PM_Model,MATCH($B796,PM_ID,0)),""))</f>
        <v/>
      </c>
      <c r="H796" s="5" t="n"/>
      <c r="I796" s="10" t="n"/>
      <c r="J796" s="9" t="n"/>
      <c r="K796" s="5" t="n"/>
      <c r="L796" s="5" t="n"/>
      <c r="M796" s="5" t="n"/>
      <c r="N796" s="5" t="n"/>
      <c r="O796" s="8">
        <f>IF($B796="","",IF(AND($A796&lt;&gt;"",COUNTIF(INV_ID,$A796)&gt;1),"⚠ this Unit ID already exists",IF(AND($H796&lt;&gt;"",COUNTIF(INV_Serial,$H796)&gt;1),"⚠ this serial already exists",IF(COUNTIFS(INV_Product,$B796,INV_No,$C796)&gt;1,"⚠ piece number reused",""))))</f>
        <v/>
      </c>
      <c r="P796" s="5" t="n"/>
    </row>
    <row r="797">
      <c r="A797" s="8">
        <f>IF(OR($B797="",$C797=""),"",IFERROR(INDEX(PM_Short,MATCH($B797,PM_ID,0))&amp;"-"&amp;TEXT($C797,"00"),"?? no such product"))</f>
        <v/>
      </c>
      <c r="B797" s="5" t="n"/>
      <c r="C797" s="5" t="n"/>
      <c r="D797" s="8">
        <f>IF($B797="","",IFERROR(INDEX(PM_Category,MATCH($B797,PM_ID,0)),""))</f>
        <v/>
      </c>
      <c r="E797" s="8">
        <f>IF($B797="","",IFERROR(INDEX(PM_Subcategory,MATCH($B797,PM_ID,0)),""))</f>
        <v/>
      </c>
      <c r="F797" s="8">
        <f>IF($B797="","",IFERROR(INDEX(PM_Brand,MATCH($B797,PM_ID,0)),""))</f>
        <v/>
      </c>
      <c r="G797" s="8">
        <f>IF($B797="","",IFERROR(INDEX(PM_Model,MATCH($B797,PM_ID,0)),""))</f>
        <v/>
      </c>
      <c r="H797" s="5" t="n"/>
      <c r="I797" s="10" t="n"/>
      <c r="J797" s="9" t="n"/>
      <c r="K797" s="5" t="n"/>
      <c r="L797" s="5" t="n"/>
      <c r="M797" s="5" t="n"/>
      <c r="N797" s="5" t="n"/>
      <c r="O797" s="8">
        <f>IF($B797="","",IF(AND($A797&lt;&gt;"",COUNTIF(INV_ID,$A797)&gt;1),"⚠ this Unit ID already exists",IF(AND($H797&lt;&gt;"",COUNTIF(INV_Serial,$H797)&gt;1),"⚠ this serial already exists",IF(COUNTIFS(INV_Product,$B797,INV_No,$C797)&gt;1,"⚠ piece number reused",""))))</f>
        <v/>
      </c>
      <c r="P797" s="5" t="n"/>
    </row>
    <row r="798">
      <c r="A798" s="8">
        <f>IF(OR($B798="",$C798=""),"",IFERROR(INDEX(PM_Short,MATCH($B798,PM_ID,0))&amp;"-"&amp;TEXT($C798,"00"),"?? no such product"))</f>
        <v/>
      </c>
      <c r="B798" s="5" t="n"/>
      <c r="C798" s="5" t="n"/>
      <c r="D798" s="8">
        <f>IF($B798="","",IFERROR(INDEX(PM_Category,MATCH($B798,PM_ID,0)),""))</f>
        <v/>
      </c>
      <c r="E798" s="8">
        <f>IF($B798="","",IFERROR(INDEX(PM_Subcategory,MATCH($B798,PM_ID,0)),""))</f>
        <v/>
      </c>
      <c r="F798" s="8">
        <f>IF($B798="","",IFERROR(INDEX(PM_Brand,MATCH($B798,PM_ID,0)),""))</f>
        <v/>
      </c>
      <c r="G798" s="8">
        <f>IF($B798="","",IFERROR(INDEX(PM_Model,MATCH($B798,PM_ID,0)),""))</f>
        <v/>
      </c>
      <c r="H798" s="5" t="n"/>
      <c r="I798" s="10" t="n"/>
      <c r="J798" s="9" t="n"/>
      <c r="K798" s="5" t="n"/>
      <c r="L798" s="5" t="n"/>
      <c r="M798" s="5" t="n"/>
      <c r="N798" s="5" t="n"/>
      <c r="O798" s="8">
        <f>IF($B798="","",IF(AND($A798&lt;&gt;"",COUNTIF(INV_ID,$A798)&gt;1),"⚠ this Unit ID already exists",IF(AND($H798&lt;&gt;"",COUNTIF(INV_Serial,$H798)&gt;1),"⚠ this serial already exists",IF(COUNTIFS(INV_Product,$B798,INV_No,$C798)&gt;1,"⚠ piece number reused",""))))</f>
        <v/>
      </c>
      <c r="P798" s="5" t="n"/>
    </row>
    <row r="799">
      <c r="A799" s="8">
        <f>IF(OR($B799="",$C799=""),"",IFERROR(INDEX(PM_Short,MATCH($B799,PM_ID,0))&amp;"-"&amp;TEXT($C799,"00"),"?? no such product"))</f>
        <v/>
      </c>
      <c r="B799" s="5" t="n"/>
      <c r="C799" s="5" t="n"/>
      <c r="D799" s="8">
        <f>IF($B799="","",IFERROR(INDEX(PM_Category,MATCH($B799,PM_ID,0)),""))</f>
        <v/>
      </c>
      <c r="E799" s="8">
        <f>IF($B799="","",IFERROR(INDEX(PM_Subcategory,MATCH($B799,PM_ID,0)),""))</f>
        <v/>
      </c>
      <c r="F799" s="8">
        <f>IF($B799="","",IFERROR(INDEX(PM_Brand,MATCH($B799,PM_ID,0)),""))</f>
        <v/>
      </c>
      <c r="G799" s="8">
        <f>IF($B799="","",IFERROR(INDEX(PM_Model,MATCH($B799,PM_ID,0)),""))</f>
        <v/>
      </c>
      <c r="H799" s="5" t="n"/>
      <c r="I799" s="10" t="n"/>
      <c r="J799" s="9" t="n"/>
      <c r="K799" s="5" t="n"/>
      <c r="L799" s="5" t="n"/>
      <c r="M799" s="5" t="n"/>
      <c r="N799" s="5" t="n"/>
      <c r="O799" s="8">
        <f>IF($B799="","",IF(AND($A799&lt;&gt;"",COUNTIF(INV_ID,$A799)&gt;1),"⚠ this Unit ID already exists",IF(AND($H799&lt;&gt;"",COUNTIF(INV_Serial,$H799)&gt;1),"⚠ this serial already exists",IF(COUNTIFS(INV_Product,$B799,INV_No,$C799)&gt;1,"⚠ piece number reused",""))))</f>
        <v/>
      </c>
      <c r="P799" s="5" t="n"/>
    </row>
    <row r="800">
      <c r="A800" s="8">
        <f>IF(OR($B800="",$C800=""),"",IFERROR(INDEX(PM_Short,MATCH($B800,PM_ID,0))&amp;"-"&amp;TEXT($C800,"00"),"?? no such product"))</f>
        <v/>
      </c>
      <c r="B800" s="5" t="n"/>
      <c r="C800" s="5" t="n"/>
      <c r="D800" s="8">
        <f>IF($B800="","",IFERROR(INDEX(PM_Category,MATCH($B800,PM_ID,0)),""))</f>
        <v/>
      </c>
      <c r="E800" s="8">
        <f>IF($B800="","",IFERROR(INDEX(PM_Subcategory,MATCH($B800,PM_ID,0)),""))</f>
        <v/>
      </c>
      <c r="F800" s="8">
        <f>IF($B800="","",IFERROR(INDEX(PM_Brand,MATCH($B800,PM_ID,0)),""))</f>
        <v/>
      </c>
      <c r="G800" s="8">
        <f>IF($B800="","",IFERROR(INDEX(PM_Model,MATCH($B800,PM_ID,0)),""))</f>
        <v/>
      </c>
      <c r="H800" s="5" t="n"/>
      <c r="I800" s="10" t="n"/>
      <c r="J800" s="9" t="n"/>
      <c r="K800" s="5" t="n"/>
      <c r="L800" s="5" t="n"/>
      <c r="M800" s="5" t="n"/>
      <c r="N800" s="5" t="n"/>
      <c r="O800" s="8">
        <f>IF($B800="","",IF(AND($A800&lt;&gt;"",COUNTIF(INV_ID,$A800)&gt;1),"⚠ this Unit ID already exists",IF(AND($H800&lt;&gt;"",COUNTIF(INV_Serial,$H800)&gt;1),"⚠ this serial already exists",IF(COUNTIFS(INV_Product,$B800,INV_No,$C800)&gt;1,"⚠ piece number reused",""))))</f>
        <v/>
      </c>
      <c r="P800" s="5" t="n"/>
    </row>
    <row r="801">
      <c r="A801" s="8">
        <f>IF(OR($B801="",$C801=""),"",IFERROR(INDEX(PM_Short,MATCH($B801,PM_ID,0))&amp;"-"&amp;TEXT($C801,"00"),"?? no such product"))</f>
        <v/>
      </c>
      <c r="B801" s="5" t="n"/>
      <c r="C801" s="5" t="n"/>
      <c r="D801" s="8">
        <f>IF($B801="","",IFERROR(INDEX(PM_Category,MATCH($B801,PM_ID,0)),""))</f>
        <v/>
      </c>
      <c r="E801" s="8">
        <f>IF($B801="","",IFERROR(INDEX(PM_Subcategory,MATCH($B801,PM_ID,0)),""))</f>
        <v/>
      </c>
      <c r="F801" s="8">
        <f>IF($B801="","",IFERROR(INDEX(PM_Brand,MATCH($B801,PM_ID,0)),""))</f>
        <v/>
      </c>
      <c r="G801" s="8">
        <f>IF($B801="","",IFERROR(INDEX(PM_Model,MATCH($B801,PM_ID,0)),""))</f>
        <v/>
      </c>
      <c r="H801" s="5" t="n"/>
      <c r="I801" s="10" t="n"/>
      <c r="J801" s="9" t="n"/>
      <c r="K801" s="5" t="n"/>
      <c r="L801" s="5" t="n"/>
      <c r="M801" s="5" t="n"/>
      <c r="N801" s="5" t="n"/>
      <c r="O801" s="8">
        <f>IF($B801="","",IF(AND($A801&lt;&gt;"",COUNTIF(INV_ID,$A801)&gt;1),"⚠ this Unit ID already exists",IF(AND($H801&lt;&gt;"",COUNTIF(INV_Serial,$H801)&gt;1),"⚠ this serial already exists",IF(COUNTIFS(INV_Product,$B801,INV_No,$C801)&gt;1,"⚠ piece number reused",""))))</f>
        <v/>
      </c>
      <c r="P801" s="5" t="n"/>
    </row>
    <row r="802">
      <c r="A802" s="8">
        <f>IF(OR($B802="",$C802=""),"",IFERROR(INDEX(PM_Short,MATCH($B802,PM_ID,0))&amp;"-"&amp;TEXT($C802,"00"),"?? no such product"))</f>
        <v/>
      </c>
      <c r="B802" s="5" t="n"/>
      <c r="C802" s="5" t="n"/>
      <c r="D802" s="8">
        <f>IF($B802="","",IFERROR(INDEX(PM_Category,MATCH($B802,PM_ID,0)),""))</f>
        <v/>
      </c>
      <c r="E802" s="8">
        <f>IF($B802="","",IFERROR(INDEX(PM_Subcategory,MATCH($B802,PM_ID,0)),""))</f>
        <v/>
      </c>
      <c r="F802" s="8">
        <f>IF($B802="","",IFERROR(INDEX(PM_Brand,MATCH($B802,PM_ID,0)),""))</f>
        <v/>
      </c>
      <c r="G802" s="8">
        <f>IF($B802="","",IFERROR(INDEX(PM_Model,MATCH($B802,PM_ID,0)),""))</f>
        <v/>
      </c>
      <c r="H802" s="5" t="n"/>
      <c r="I802" s="10" t="n"/>
      <c r="J802" s="9" t="n"/>
      <c r="K802" s="5" t="n"/>
      <c r="L802" s="5" t="n"/>
      <c r="M802" s="5" t="n"/>
      <c r="N802" s="5" t="n"/>
      <c r="O802" s="8">
        <f>IF($B802="","",IF(AND($A802&lt;&gt;"",COUNTIF(INV_ID,$A802)&gt;1),"⚠ this Unit ID already exists",IF(AND($H802&lt;&gt;"",COUNTIF(INV_Serial,$H802)&gt;1),"⚠ this serial already exists",IF(COUNTIFS(INV_Product,$B802,INV_No,$C802)&gt;1,"⚠ piece number reused",""))))</f>
        <v/>
      </c>
      <c r="P802" s="5" t="n"/>
    </row>
    <row r="803">
      <c r="A803" s="8">
        <f>IF(OR($B803="",$C803=""),"",IFERROR(INDEX(PM_Short,MATCH($B803,PM_ID,0))&amp;"-"&amp;TEXT($C803,"00"),"?? no such product"))</f>
        <v/>
      </c>
      <c r="B803" s="5" t="n"/>
      <c r="C803" s="5" t="n"/>
      <c r="D803" s="8">
        <f>IF($B803="","",IFERROR(INDEX(PM_Category,MATCH($B803,PM_ID,0)),""))</f>
        <v/>
      </c>
      <c r="E803" s="8">
        <f>IF($B803="","",IFERROR(INDEX(PM_Subcategory,MATCH($B803,PM_ID,0)),""))</f>
        <v/>
      </c>
      <c r="F803" s="8">
        <f>IF($B803="","",IFERROR(INDEX(PM_Brand,MATCH($B803,PM_ID,0)),""))</f>
        <v/>
      </c>
      <c r="G803" s="8">
        <f>IF($B803="","",IFERROR(INDEX(PM_Model,MATCH($B803,PM_ID,0)),""))</f>
        <v/>
      </c>
      <c r="H803" s="5" t="n"/>
      <c r="I803" s="10" t="n"/>
      <c r="J803" s="9" t="n"/>
      <c r="K803" s="5" t="n"/>
      <c r="L803" s="5" t="n"/>
      <c r="M803" s="5" t="n"/>
      <c r="N803" s="5" t="n"/>
      <c r="O803" s="8">
        <f>IF($B803="","",IF(AND($A803&lt;&gt;"",COUNTIF(INV_ID,$A803)&gt;1),"⚠ this Unit ID already exists",IF(AND($H803&lt;&gt;"",COUNTIF(INV_Serial,$H803)&gt;1),"⚠ this serial already exists",IF(COUNTIFS(INV_Product,$B803,INV_No,$C803)&gt;1,"⚠ piece number reused",""))))</f>
        <v/>
      </c>
      <c r="P803" s="5" t="n"/>
    </row>
    <row r="804">
      <c r="A804" s="8">
        <f>IF(OR($B804="",$C804=""),"",IFERROR(INDEX(PM_Short,MATCH($B804,PM_ID,0))&amp;"-"&amp;TEXT($C804,"00"),"?? no such product"))</f>
        <v/>
      </c>
      <c r="B804" s="5" t="n"/>
      <c r="C804" s="5" t="n"/>
      <c r="D804" s="8">
        <f>IF($B804="","",IFERROR(INDEX(PM_Category,MATCH($B804,PM_ID,0)),""))</f>
        <v/>
      </c>
      <c r="E804" s="8">
        <f>IF($B804="","",IFERROR(INDEX(PM_Subcategory,MATCH($B804,PM_ID,0)),""))</f>
        <v/>
      </c>
      <c r="F804" s="8">
        <f>IF($B804="","",IFERROR(INDEX(PM_Brand,MATCH($B804,PM_ID,0)),""))</f>
        <v/>
      </c>
      <c r="G804" s="8">
        <f>IF($B804="","",IFERROR(INDEX(PM_Model,MATCH($B804,PM_ID,0)),""))</f>
        <v/>
      </c>
      <c r="H804" s="5" t="n"/>
      <c r="I804" s="10" t="n"/>
      <c r="J804" s="9" t="n"/>
      <c r="K804" s="5" t="n"/>
      <c r="L804" s="5" t="n"/>
      <c r="M804" s="5" t="n"/>
      <c r="N804" s="5" t="n"/>
      <c r="O804" s="8">
        <f>IF($B804="","",IF(AND($A804&lt;&gt;"",COUNTIF(INV_ID,$A804)&gt;1),"⚠ this Unit ID already exists",IF(AND($H804&lt;&gt;"",COUNTIF(INV_Serial,$H804)&gt;1),"⚠ this serial already exists",IF(COUNTIFS(INV_Product,$B804,INV_No,$C804)&gt;1,"⚠ piece number reused",""))))</f>
        <v/>
      </c>
      <c r="P804" s="5" t="n"/>
    </row>
    <row r="805">
      <c r="A805" s="8">
        <f>IF(OR($B805="",$C805=""),"",IFERROR(INDEX(PM_Short,MATCH($B805,PM_ID,0))&amp;"-"&amp;TEXT($C805,"00"),"?? no such product"))</f>
        <v/>
      </c>
      <c r="B805" s="5" t="n"/>
      <c r="C805" s="5" t="n"/>
      <c r="D805" s="8">
        <f>IF($B805="","",IFERROR(INDEX(PM_Category,MATCH($B805,PM_ID,0)),""))</f>
        <v/>
      </c>
      <c r="E805" s="8">
        <f>IF($B805="","",IFERROR(INDEX(PM_Subcategory,MATCH($B805,PM_ID,0)),""))</f>
        <v/>
      </c>
      <c r="F805" s="8">
        <f>IF($B805="","",IFERROR(INDEX(PM_Brand,MATCH($B805,PM_ID,0)),""))</f>
        <v/>
      </c>
      <c r="G805" s="8">
        <f>IF($B805="","",IFERROR(INDEX(PM_Model,MATCH($B805,PM_ID,0)),""))</f>
        <v/>
      </c>
      <c r="H805" s="5" t="n"/>
      <c r="I805" s="10" t="n"/>
      <c r="J805" s="9" t="n"/>
      <c r="K805" s="5" t="n"/>
      <c r="L805" s="5" t="n"/>
      <c r="M805" s="5" t="n"/>
      <c r="N805" s="5" t="n"/>
      <c r="O805" s="8">
        <f>IF($B805="","",IF(AND($A805&lt;&gt;"",COUNTIF(INV_ID,$A805)&gt;1),"⚠ this Unit ID already exists",IF(AND($H805&lt;&gt;"",COUNTIF(INV_Serial,$H805)&gt;1),"⚠ this serial already exists",IF(COUNTIFS(INV_Product,$B805,INV_No,$C805)&gt;1,"⚠ piece number reused",""))))</f>
        <v/>
      </c>
      <c r="P805" s="5" t="n"/>
    </row>
    <row r="806">
      <c r="A806" s="8">
        <f>IF(OR($B806="",$C806=""),"",IFERROR(INDEX(PM_Short,MATCH($B806,PM_ID,0))&amp;"-"&amp;TEXT($C806,"00"),"?? no such product"))</f>
        <v/>
      </c>
      <c r="B806" s="5" t="n"/>
      <c r="C806" s="5" t="n"/>
      <c r="D806" s="8">
        <f>IF($B806="","",IFERROR(INDEX(PM_Category,MATCH($B806,PM_ID,0)),""))</f>
        <v/>
      </c>
      <c r="E806" s="8">
        <f>IF($B806="","",IFERROR(INDEX(PM_Subcategory,MATCH($B806,PM_ID,0)),""))</f>
        <v/>
      </c>
      <c r="F806" s="8">
        <f>IF($B806="","",IFERROR(INDEX(PM_Brand,MATCH($B806,PM_ID,0)),""))</f>
        <v/>
      </c>
      <c r="G806" s="8">
        <f>IF($B806="","",IFERROR(INDEX(PM_Model,MATCH($B806,PM_ID,0)),""))</f>
        <v/>
      </c>
      <c r="H806" s="5" t="n"/>
      <c r="I806" s="10" t="n"/>
      <c r="J806" s="9" t="n"/>
      <c r="K806" s="5" t="n"/>
      <c r="L806" s="5" t="n"/>
      <c r="M806" s="5" t="n"/>
      <c r="N806" s="5" t="n"/>
      <c r="O806" s="8">
        <f>IF($B806="","",IF(AND($A806&lt;&gt;"",COUNTIF(INV_ID,$A806)&gt;1),"⚠ this Unit ID already exists",IF(AND($H806&lt;&gt;"",COUNTIF(INV_Serial,$H806)&gt;1),"⚠ this serial already exists",IF(COUNTIFS(INV_Product,$B806,INV_No,$C806)&gt;1,"⚠ piece number reused",""))))</f>
        <v/>
      </c>
      <c r="P806" s="5" t="n"/>
    </row>
    <row r="807">
      <c r="A807" s="8">
        <f>IF(OR($B807="",$C807=""),"",IFERROR(INDEX(PM_Short,MATCH($B807,PM_ID,0))&amp;"-"&amp;TEXT($C807,"00"),"?? no such product"))</f>
        <v/>
      </c>
      <c r="B807" s="5" t="n"/>
      <c r="C807" s="5" t="n"/>
      <c r="D807" s="8">
        <f>IF($B807="","",IFERROR(INDEX(PM_Category,MATCH($B807,PM_ID,0)),""))</f>
        <v/>
      </c>
      <c r="E807" s="8">
        <f>IF($B807="","",IFERROR(INDEX(PM_Subcategory,MATCH($B807,PM_ID,0)),""))</f>
        <v/>
      </c>
      <c r="F807" s="8">
        <f>IF($B807="","",IFERROR(INDEX(PM_Brand,MATCH($B807,PM_ID,0)),""))</f>
        <v/>
      </c>
      <c r="G807" s="8">
        <f>IF($B807="","",IFERROR(INDEX(PM_Model,MATCH($B807,PM_ID,0)),""))</f>
        <v/>
      </c>
      <c r="H807" s="5" t="n"/>
      <c r="I807" s="10" t="n"/>
      <c r="J807" s="9" t="n"/>
      <c r="K807" s="5" t="n"/>
      <c r="L807" s="5" t="n"/>
      <c r="M807" s="5" t="n"/>
      <c r="N807" s="5" t="n"/>
      <c r="O807" s="8">
        <f>IF($B807="","",IF(AND($A807&lt;&gt;"",COUNTIF(INV_ID,$A807)&gt;1),"⚠ this Unit ID already exists",IF(AND($H807&lt;&gt;"",COUNTIF(INV_Serial,$H807)&gt;1),"⚠ this serial already exists",IF(COUNTIFS(INV_Product,$B807,INV_No,$C807)&gt;1,"⚠ piece number reused",""))))</f>
        <v/>
      </c>
      <c r="P807" s="5" t="n"/>
    </row>
    <row r="808">
      <c r="A808" s="8">
        <f>IF(OR($B808="",$C808=""),"",IFERROR(INDEX(PM_Short,MATCH($B808,PM_ID,0))&amp;"-"&amp;TEXT($C808,"00"),"?? no such product"))</f>
        <v/>
      </c>
      <c r="B808" s="5" t="n"/>
      <c r="C808" s="5" t="n"/>
      <c r="D808" s="8">
        <f>IF($B808="","",IFERROR(INDEX(PM_Category,MATCH($B808,PM_ID,0)),""))</f>
        <v/>
      </c>
      <c r="E808" s="8">
        <f>IF($B808="","",IFERROR(INDEX(PM_Subcategory,MATCH($B808,PM_ID,0)),""))</f>
        <v/>
      </c>
      <c r="F808" s="8">
        <f>IF($B808="","",IFERROR(INDEX(PM_Brand,MATCH($B808,PM_ID,0)),""))</f>
        <v/>
      </c>
      <c r="G808" s="8">
        <f>IF($B808="","",IFERROR(INDEX(PM_Model,MATCH($B808,PM_ID,0)),""))</f>
        <v/>
      </c>
      <c r="H808" s="5" t="n"/>
      <c r="I808" s="10" t="n"/>
      <c r="J808" s="9" t="n"/>
      <c r="K808" s="5" t="n"/>
      <c r="L808" s="5" t="n"/>
      <c r="M808" s="5" t="n"/>
      <c r="N808" s="5" t="n"/>
      <c r="O808" s="8">
        <f>IF($B808="","",IF(AND($A808&lt;&gt;"",COUNTIF(INV_ID,$A808)&gt;1),"⚠ this Unit ID already exists",IF(AND($H808&lt;&gt;"",COUNTIF(INV_Serial,$H808)&gt;1),"⚠ this serial already exists",IF(COUNTIFS(INV_Product,$B808,INV_No,$C808)&gt;1,"⚠ piece number reused",""))))</f>
        <v/>
      </c>
      <c r="P808" s="5" t="n"/>
    </row>
    <row r="809">
      <c r="A809" s="8">
        <f>IF(OR($B809="",$C809=""),"",IFERROR(INDEX(PM_Short,MATCH($B809,PM_ID,0))&amp;"-"&amp;TEXT($C809,"00"),"?? no such product"))</f>
        <v/>
      </c>
      <c r="B809" s="5" t="n"/>
      <c r="C809" s="5" t="n"/>
      <c r="D809" s="8">
        <f>IF($B809="","",IFERROR(INDEX(PM_Category,MATCH($B809,PM_ID,0)),""))</f>
        <v/>
      </c>
      <c r="E809" s="8">
        <f>IF($B809="","",IFERROR(INDEX(PM_Subcategory,MATCH($B809,PM_ID,0)),""))</f>
        <v/>
      </c>
      <c r="F809" s="8">
        <f>IF($B809="","",IFERROR(INDEX(PM_Brand,MATCH($B809,PM_ID,0)),""))</f>
        <v/>
      </c>
      <c r="G809" s="8">
        <f>IF($B809="","",IFERROR(INDEX(PM_Model,MATCH($B809,PM_ID,0)),""))</f>
        <v/>
      </c>
      <c r="H809" s="5" t="n"/>
      <c r="I809" s="10" t="n"/>
      <c r="J809" s="9" t="n"/>
      <c r="K809" s="5" t="n"/>
      <c r="L809" s="5" t="n"/>
      <c r="M809" s="5" t="n"/>
      <c r="N809" s="5" t="n"/>
      <c r="O809" s="8">
        <f>IF($B809="","",IF(AND($A809&lt;&gt;"",COUNTIF(INV_ID,$A809)&gt;1),"⚠ this Unit ID already exists",IF(AND($H809&lt;&gt;"",COUNTIF(INV_Serial,$H809)&gt;1),"⚠ this serial already exists",IF(COUNTIFS(INV_Product,$B809,INV_No,$C809)&gt;1,"⚠ piece number reused",""))))</f>
        <v/>
      </c>
      <c r="P809" s="5" t="n"/>
    </row>
    <row r="810">
      <c r="A810" s="8">
        <f>IF(OR($B810="",$C810=""),"",IFERROR(INDEX(PM_Short,MATCH($B810,PM_ID,0))&amp;"-"&amp;TEXT($C810,"00"),"?? no such product"))</f>
        <v/>
      </c>
      <c r="B810" s="5" t="n"/>
      <c r="C810" s="5" t="n"/>
      <c r="D810" s="8">
        <f>IF($B810="","",IFERROR(INDEX(PM_Category,MATCH($B810,PM_ID,0)),""))</f>
        <v/>
      </c>
      <c r="E810" s="8">
        <f>IF($B810="","",IFERROR(INDEX(PM_Subcategory,MATCH($B810,PM_ID,0)),""))</f>
        <v/>
      </c>
      <c r="F810" s="8">
        <f>IF($B810="","",IFERROR(INDEX(PM_Brand,MATCH($B810,PM_ID,0)),""))</f>
        <v/>
      </c>
      <c r="G810" s="8">
        <f>IF($B810="","",IFERROR(INDEX(PM_Model,MATCH($B810,PM_ID,0)),""))</f>
        <v/>
      </c>
      <c r="H810" s="5" t="n"/>
      <c r="I810" s="10" t="n"/>
      <c r="J810" s="9" t="n"/>
      <c r="K810" s="5" t="n"/>
      <c r="L810" s="5" t="n"/>
      <c r="M810" s="5" t="n"/>
      <c r="N810" s="5" t="n"/>
      <c r="O810" s="8">
        <f>IF($B810="","",IF(AND($A810&lt;&gt;"",COUNTIF(INV_ID,$A810)&gt;1),"⚠ this Unit ID already exists",IF(AND($H810&lt;&gt;"",COUNTIF(INV_Serial,$H810)&gt;1),"⚠ this serial already exists",IF(COUNTIFS(INV_Product,$B810,INV_No,$C810)&gt;1,"⚠ piece number reused",""))))</f>
        <v/>
      </c>
      <c r="P810" s="5" t="n"/>
    </row>
    <row r="811">
      <c r="A811" s="8">
        <f>IF(OR($B811="",$C811=""),"",IFERROR(INDEX(PM_Short,MATCH($B811,PM_ID,0))&amp;"-"&amp;TEXT($C811,"00"),"?? no such product"))</f>
        <v/>
      </c>
      <c r="B811" s="5" t="n"/>
      <c r="C811" s="5" t="n"/>
      <c r="D811" s="8">
        <f>IF($B811="","",IFERROR(INDEX(PM_Category,MATCH($B811,PM_ID,0)),""))</f>
        <v/>
      </c>
      <c r="E811" s="8">
        <f>IF($B811="","",IFERROR(INDEX(PM_Subcategory,MATCH($B811,PM_ID,0)),""))</f>
        <v/>
      </c>
      <c r="F811" s="8">
        <f>IF($B811="","",IFERROR(INDEX(PM_Brand,MATCH($B811,PM_ID,0)),""))</f>
        <v/>
      </c>
      <c r="G811" s="8">
        <f>IF($B811="","",IFERROR(INDEX(PM_Model,MATCH($B811,PM_ID,0)),""))</f>
        <v/>
      </c>
      <c r="H811" s="5" t="n"/>
      <c r="I811" s="10" t="n"/>
      <c r="J811" s="9" t="n"/>
      <c r="K811" s="5" t="n"/>
      <c r="L811" s="5" t="n"/>
      <c r="M811" s="5" t="n"/>
      <c r="N811" s="5" t="n"/>
      <c r="O811" s="8">
        <f>IF($B811="","",IF(AND($A811&lt;&gt;"",COUNTIF(INV_ID,$A811)&gt;1),"⚠ this Unit ID already exists",IF(AND($H811&lt;&gt;"",COUNTIF(INV_Serial,$H811)&gt;1),"⚠ this serial already exists",IF(COUNTIFS(INV_Product,$B811,INV_No,$C811)&gt;1,"⚠ piece number reused",""))))</f>
        <v/>
      </c>
      <c r="P811" s="5" t="n"/>
    </row>
    <row r="812">
      <c r="A812" s="8">
        <f>IF(OR($B812="",$C812=""),"",IFERROR(INDEX(PM_Short,MATCH($B812,PM_ID,0))&amp;"-"&amp;TEXT($C812,"00"),"?? no such product"))</f>
        <v/>
      </c>
      <c r="B812" s="5" t="n"/>
      <c r="C812" s="5" t="n"/>
      <c r="D812" s="8">
        <f>IF($B812="","",IFERROR(INDEX(PM_Category,MATCH($B812,PM_ID,0)),""))</f>
        <v/>
      </c>
      <c r="E812" s="8">
        <f>IF($B812="","",IFERROR(INDEX(PM_Subcategory,MATCH($B812,PM_ID,0)),""))</f>
        <v/>
      </c>
      <c r="F812" s="8">
        <f>IF($B812="","",IFERROR(INDEX(PM_Brand,MATCH($B812,PM_ID,0)),""))</f>
        <v/>
      </c>
      <c r="G812" s="8">
        <f>IF($B812="","",IFERROR(INDEX(PM_Model,MATCH($B812,PM_ID,0)),""))</f>
        <v/>
      </c>
      <c r="H812" s="5" t="n"/>
      <c r="I812" s="10" t="n"/>
      <c r="J812" s="9" t="n"/>
      <c r="K812" s="5" t="n"/>
      <c r="L812" s="5" t="n"/>
      <c r="M812" s="5" t="n"/>
      <c r="N812" s="5" t="n"/>
      <c r="O812" s="8">
        <f>IF($B812="","",IF(AND($A812&lt;&gt;"",COUNTIF(INV_ID,$A812)&gt;1),"⚠ this Unit ID already exists",IF(AND($H812&lt;&gt;"",COUNTIF(INV_Serial,$H812)&gt;1),"⚠ this serial already exists",IF(COUNTIFS(INV_Product,$B812,INV_No,$C812)&gt;1,"⚠ piece number reused",""))))</f>
        <v/>
      </c>
      <c r="P812" s="5" t="n"/>
    </row>
    <row r="813">
      <c r="A813" s="8">
        <f>IF(OR($B813="",$C813=""),"",IFERROR(INDEX(PM_Short,MATCH($B813,PM_ID,0))&amp;"-"&amp;TEXT($C813,"00"),"?? no such product"))</f>
        <v/>
      </c>
      <c r="B813" s="5" t="n"/>
      <c r="C813" s="5" t="n"/>
      <c r="D813" s="8">
        <f>IF($B813="","",IFERROR(INDEX(PM_Category,MATCH($B813,PM_ID,0)),""))</f>
        <v/>
      </c>
      <c r="E813" s="8">
        <f>IF($B813="","",IFERROR(INDEX(PM_Subcategory,MATCH($B813,PM_ID,0)),""))</f>
        <v/>
      </c>
      <c r="F813" s="8">
        <f>IF($B813="","",IFERROR(INDEX(PM_Brand,MATCH($B813,PM_ID,0)),""))</f>
        <v/>
      </c>
      <c r="G813" s="8">
        <f>IF($B813="","",IFERROR(INDEX(PM_Model,MATCH($B813,PM_ID,0)),""))</f>
        <v/>
      </c>
      <c r="H813" s="5" t="n"/>
      <c r="I813" s="10" t="n"/>
      <c r="J813" s="9" t="n"/>
      <c r="K813" s="5" t="n"/>
      <c r="L813" s="5" t="n"/>
      <c r="M813" s="5" t="n"/>
      <c r="N813" s="5" t="n"/>
      <c r="O813" s="8">
        <f>IF($B813="","",IF(AND($A813&lt;&gt;"",COUNTIF(INV_ID,$A813)&gt;1),"⚠ this Unit ID already exists",IF(AND($H813&lt;&gt;"",COUNTIF(INV_Serial,$H813)&gt;1),"⚠ this serial already exists",IF(COUNTIFS(INV_Product,$B813,INV_No,$C813)&gt;1,"⚠ piece number reused",""))))</f>
        <v/>
      </c>
      <c r="P813" s="5" t="n"/>
    </row>
    <row r="814">
      <c r="A814" s="8">
        <f>IF(OR($B814="",$C814=""),"",IFERROR(INDEX(PM_Short,MATCH($B814,PM_ID,0))&amp;"-"&amp;TEXT($C814,"00"),"?? no such product"))</f>
        <v/>
      </c>
      <c r="B814" s="5" t="n"/>
      <c r="C814" s="5" t="n"/>
      <c r="D814" s="8">
        <f>IF($B814="","",IFERROR(INDEX(PM_Category,MATCH($B814,PM_ID,0)),""))</f>
        <v/>
      </c>
      <c r="E814" s="8">
        <f>IF($B814="","",IFERROR(INDEX(PM_Subcategory,MATCH($B814,PM_ID,0)),""))</f>
        <v/>
      </c>
      <c r="F814" s="8">
        <f>IF($B814="","",IFERROR(INDEX(PM_Brand,MATCH($B814,PM_ID,0)),""))</f>
        <v/>
      </c>
      <c r="G814" s="8">
        <f>IF($B814="","",IFERROR(INDEX(PM_Model,MATCH($B814,PM_ID,0)),""))</f>
        <v/>
      </c>
      <c r="H814" s="5" t="n"/>
      <c r="I814" s="10" t="n"/>
      <c r="J814" s="9" t="n"/>
      <c r="K814" s="5" t="n"/>
      <c r="L814" s="5" t="n"/>
      <c r="M814" s="5" t="n"/>
      <c r="N814" s="5" t="n"/>
      <c r="O814" s="8">
        <f>IF($B814="","",IF(AND($A814&lt;&gt;"",COUNTIF(INV_ID,$A814)&gt;1),"⚠ this Unit ID already exists",IF(AND($H814&lt;&gt;"",COUNTIF(INV_Serial,$H814)&gt;1),"⚠ this serial already exists",IF(COUNTIFS(INV_Product,$B814,INV_No,$C814)&gt;1,"⚠ piece number reused",""))))</f>
        <v/>
      </c>
      <c r="P814" s="5" t="n"/>
    </row>
    <row r="815">
      <c r="A815" s="8">
        <f>IF(OR($B815="",$C815=""),"",IFERROR(INDEX(PM_Short,MATCH($B815,PM_ID,0))&amp;"-"&amp;TEXT($C815,"00"),"?? no such product"))</f>
        <v/>
      </c>
      <c r="B815" s="5" t="n"/>
      <c r="C815" s="5" t="n"/>
      <c r="D815" s="8">
        <f>IF($B815="","",IFERROR(INDEX(PM_Category,MATCH($B815,PM_ID,0)),""))</f>
        <v/>
      </c>
      <c r="E815" s="8">
        <f>IF($B815="","",IFERROR(INDEX(PM_Subcategory,MATCH($B815,PM_ID,0)),""))</f>
        <v/>
      </c>
      <c r="F815" s="8">
        <f>IF($B815="","",IFERROR(INDEX(PM_Brand,MATCH($B815,PM_ID,0)),""))</f>
        <v/>
      </c>
      <c r="G815" s="8">
        <f>IF($B815="","",IFERROR(INDEX(PM_Model,MATCH($B815,PM_ID,0)),""))</f>
        <v/>
      </c>
      <c r="H815" s="5" t="n"/>
      <c r="I815" s="10" t="n"/>
      <c r="J815" s="9" t="n"/>
      <c r="K815" s="5" t="n"/>
      <c r="L815" s="5" t="n"/>
      <c r="M815" s="5" t="n"/>
      <c r="N815" s="5" t="n"/>
      <c r="O815" s="8">
        <f>IF($B815="","",IF(AND($A815&lt;&gt;"",COUNTIF(INV_ID,$A815)&gt;1),"⚠ this Unit ID already exists",IF(AND($H815&lt;&gt;"",COUNTIF(INV_Serial,$H815)&gt;1),"⚠ this serial already exists",IF(COUNTIFS(INV_Product,$B815,INV_No,$C815)&gt;1,"⚠ piece number reused",""))))</f>
        <v/>
      </c>
      <c r="P815" s="5" t="n"/>
    </row>
    <row r="816">
      <c r="A816" s="8">
        <f>IF(OR($B816="",$C816=""),"",IFERROR(INDEX(PM_Short,MATCH($B816,PM_ID,0))&amp;"-"&amp;TEXT($C816,"00"),"?? no such product"))</f>
        <v/>
      </c>
      <c r="B816" s="5" t="n"/>
      <c r="C816" s="5" t="n"/>
      <c r="D816" s="8">
        <f>IF($B816="","",IFERROR(INDEX(PM_Category,MATCH($B816,PM_ID,0)),""))</f>
        <v/>
      </c>
      <c r="E816" s="8">
        <f>IF($B816="","",IFERROR(INDEX(PM_Subcategory,MATCH($B816,PM_ID,0)),""))</f>
        <v/>
      </c>
      <c r="F816" s="8">
        <f>IF($B816="","",IFERROR(INDEX(PM_Brand,MATCH($B816,PM_ID,0)),""))</f>
        <v/>
      </c>
      <c r="G816" s="8">
        <f>IF($B816="","",IFERROR(INDEX(PM_Model,MATCH($B816,PM_ID,0)),""))</f>
        <v/>
      </c>
      <c r="H816" s="5" t="n"/>
      <c r="I816" s="10" t="n"/>
      <c r="J816" s="9" t="n"/>
      <c r="K816" s="5" t="n"/>
      <c r="L816" s="5" t="n"/>
      <c r="M816" s="5" t="n"/>
      <c r="N816" s="5" t="n"/>
      <c r="O816" s="8">
        <f>IF($B816="","",IF(AND($A816&lt;&gt;"",COUNTIF(INV_ID,$A816)&gt;1),"⚠ this Unit ID already exists",IF(AND($H816&lt;&gt;"",COUNTIF(INV_Serial,$H816)&gt;1),"⚠ this serial already exists",IF(COUNTIFS(INV_Product,$B816,INV_No,$C816)&gt;1,"⚠ piece number reused",""))))</f>
        <v/>
      </c>
      <c r="P816" s="5" t="n"/>
    </row>
    <row r="817">
      <c r="A817" s="8">
        <f>IF(OR($B817="",$C817=""),"",IFERROR(INDEX(PM_Short,MATCH($B817,PM_ID,0))&amp;"-"&amp;TEXT($C817,"00"),"?? no such product"))</f>
        <v/>
      </c>
      <c r="B817" s="5" t="n"/>
      <c r="C817" s="5" t="n"/>
      <c r="D817" s="8">
        <f>IF($B817="","",IFERROR(INDEX(PM_Category,MATCH($B817,PM_ID,0)),""))</f>
        <v/>
      </c>
      <c r="E817" s="8">
        <f>IF($B817="","",IFERROR(INDEX(PM_Subcategory,MATCH($B817,PM_ID,0)),""))</f>
        <v/>
      </c>
      <c r="F817" s="8">
        <f>IF($B817="","",IFERROR(INDEX(PM_Brand,MATCH($B817,PM_ID,0)),""))</f>
        <v/>
      </c>
      <c r="G817" s="8">
        <f>IF($B817="","",IFERROR(INDEX(PM_Model,MATCH($B817,PM_ID,0)),""))</f>
        <v/>
      </c>
      <c r="H817" s="5" t="n"/>
      <c r="I817" s="10" t="n"/>
      <c r="J817" s="9" t="n"/>
      <c r="K817" s="5" t="n"/>
      <c r="L817" s="5" t="n"/>
      <c r="M817" s="5" t="n"/>
      <c r="N817" s="5" t="n"/>
      <c r="O817" s="8">
        <f>IF($B817="","",IF(AND($A817&lt;&gt;"",COUNTIF(INV_ID,$A817)&gt;1),"⚠ this Unit ID already exists",IF(AND($H817&lt;&gt;"",COUNTIF(INV_Serial,$H817)&gt;1),"⚠ this serial already exists",IF(COUNTIFS(INV_Product,$B817,INV_No,$C817)&gt;1,"⚠ piece number reused",""))))</f>
        <v/>
      </c>
      <c r="P817" s="5" t="n"/>
    </row>
    <row r="818">
      <c r="A818" s="8">
        <f>IF(OR($B818="",$C818=""),"",IFERROR(INDEX(PM_Short,MATCH($B818,PM_ID,0))&amp;"-"&amp;TEXT($C818,"00"),"?? no such product"))</f>
        <v/>
      </c>
      <c r="B818" s="5" t="n"/>
      <c r="C818" s="5" t="n"/>
      <c r="D818" s="8">
        <f>IF($B818="","",IFERROR(INDEX(PM_Category,MATCH($B818,PM_ID,0)),""))</f>
        <v/>
      </c>
      <c r="E818" s="8">
        <f>IF($B818="","",IFERROR(INDEX(PM_Subcategory,MATCH($B818,PM_ID,0)),""))</f>
        <v/>
      </c>
      <c r="F818" s="8">
        <f>IF($B818="","",IFERROR(INDEX(PM_Brand,MATCH($B818,PM_ID,0)),""))</f>
        <v/>
      </c>
      <c r="G818" s="8">
        <f>IF($B818="","",IFERROR(INDEX(PM_Model,MATCH($B818,PM_ID,0)),""))</f>
        <v/>
      </c>
      <c r="H818" s="5" t="n"/>
      <c r="I818" s="10" t="n"/>
      <c r="J818" s="9" t="n"/>
      <c r="K818" s="5" t="n"/>
      <c r="L818" s="5" t="n"/>
      <c r="M818" s="5" t="n"/>
      <c r="N818" s="5" t="n"/>
      <c r="O818" s="8">
        <f>IF($B818="","",IF(AND($A818&lt;&gt;"",COUNTIF(INV_ID,$A818)&gt;1),"⚠ this Unit ID already exists",IF(AND($H818&lt;&gt;"",COUNTIF(INV_Serial,$H818)&gt;1),"⚠ this serial already exists",IF(COUNTIFS(INV_Product,$B818,INV_No,$C818)&gt;1,"⚠ piece number reused",""))))</f>
        <v/>
      </c>
      <c r="P818" s="5" t="n"/>
    </row>
    <row r="819">
      <c r="A819" s="8">
        <f>IF(OR($B819="",$C819=""),"",IFERROR(INDEX(PM_Short,MATCH($B819,PM_ID,0))&amp;"-"&amp;TEXT($C819,"00"),"?? no such product"))</f>
        <v/>
      </c>
      <c r="B819" s="5" t="n"/>
      <c r="C819" s="5" t="n"/>
      <c r="D819" s="8">
        <f>IF($B819="","",IFERROR(INDEX(PM_Category,MATCH($B819,PM_ID,0)),""))</f>
        <v/>
      </c>
      <c r="E819" s="8">
        <f>IF($B819="","",IFERROR(INDEX(PM_Subcategory,MATCH($B819,PM_ID,0)),""))</f>
        <v/>
      </c>
      <c r="F819" s="8">
        <f>IF($B819="","",IFERROR(INDEX(PM_Brand,MATCH($B819,PM_ID,0)),""))</f>
        <v/>
      </c>
      <c r="G819" s="8">
        <f>IF($B819="","",IFERROR(INDEX(PM_Model,MATCH($B819,PM_ID,0)),""))</f>
        <v/>
      </c>
      <c r="H819" s="5" t="n"/>
      <c r="I819" s="10" t="n"/>
      <c r="J819" s="9" t="n"/>
      <c r="K819" s="5" t="n"/>
      <c r="L819" s="5" t="n"/>
      <c r="M819" s="5" t="n"/>
      <c r="N819" s="5" t="n"/>
      <c r="O819" s="8">
        <f>IF($B819="","",IF(AND($A819&lt;&gt;"",COUNTIF(INV_ID,$A819)&gt;1),"⚠ this Unit ID already exists",IF(AND($H819&lt;&gt;"",COUNTIF(INV_Serial,$H819)&gt;1),"⚠ this serial already exists",IF(COUNTIFS(INV_Product,$B819,INV_No,$C819)&gt;1,"⚠ piece number reused",""))))</f>
        <v/>
      </c>
      <c r="P819" s="5" t="n"/>
    </row>
    <row r="820">
      <c r="A820" s="8">
        <f>IF(OR($B820="",$C820=""),"",IFERROR(INDEX(PM_Short,MATCH($B820,PM_ID,0))&amp;"-"&amp;TEXT($C820,"00"),"?? no such product"))</f>
        <v/>
      </c>
      <c r="B820" s="5" t="n"/>
      <c r="C820" s="5" t="n"/>
      <c r="D820" s="8">
        <f>IF($B820="","",IFERROR(INDEX(PM_Category,MATCH($B820,PM_ID,0)),""))</f>
        <v/>
      </c>
      <c r="E820" s="8">
        <f>IF($B820="","",IFERROR(INDEX(PM_Subcategory,MATCH($B820,PM_ID,0)),""))</f>
        <v/>
      </c>
      <c r="F820" s="8">
        <f>IF($B820="","",IFERROR(INDEX(PM_Brand,MATCH($B820,PM_ID,0)),""))</f>
        <v/>
      </c>
      <c r="G820" s="8">
        <f>IF($B820="","",IFERROR(INDEX(PM_Model,MATCH($B820,PM_ID,0)),""))</f>
        <v/>
      </c>
      <c r="H820" s="5" t="n"/>
      <c r="I820" s="10" t="n"/>
      <c r="J820" s="9" t="n"/>
      <c r="K820" s="5" t="n"/>
      <c r="L820" s="5" t="n"/>
      <c r="M820" s="5" t="n"/>
      <c r="N820" s="5" t="n"/>
      <c r="O820" s="8">
        <f>IF($B820="","",IF(AND($A820&lt;&gt;"",COUNTIF(INV_ID,$A820)&gt;1),"⚠ this Unit ID already exists",IF(AND($H820&lt;&gt;"",COUNTIF(INV_Serial,$H820)&gt;1),"⚠ this serial already exists",IF(COUNTIFS(INV_Product,$B820,INV_No,$C820)&gt;1,"⚠ piece number reused",""))))</f>
        <v/>
      </c>
      <c r="P820" s="5" t="n"/>
    </row>
    <row r="821">
      <c r="A821" s="8">
        <f>IF(OR($B821="",$C821=""),"",IFERROR(INDEX(PM_Short,MATCH($B821,PM_ID,0))&amp;"-"&amp;TEXT($C821,"00"),"?? no such product"))</f>
        <v/>
      </c>
      <c r="B821" s="5" t="n"/>
      <c r="C821" s="5" t="n"/>
      <c r="D821" s="8">
        <f>IF($B821="","",IFERROR(INDEX(PM_Category,MATCH($B821,PM_ID,0)),""))</f>
        <v/>
      </c>
      <c r="E821" s="8">
        <f>IF($B821="","",IFERROR(INDEX(PM_Subcategory,MATCH($B821,PM_ID,0)),""))</f>
        <v/>
      </c>
      <c r="F821" s="8">
        <f>IF($B821="","",IFERROR(INDEX(PM_Brand,MATCH($B821,PM_ID,0)),""))</f>
        <v/>
      </c>
      <c r="G821" s="8">
        <f>IF($B821="","",IFERROR(INDEX(PM_Model,MATCH($B821,PM_ID,0)),""))</f>
        <v/>
      </c>
      <c r="H821" s="5" t="n"/>
      <c r="I821" s="10" t="n"/>
      <c r="J821" s="9" t="n"/>
      <c r="K821" s="5" t="n"/>
      <c r="L821" s="5" t="n"/>
      <c r="M821" s="5" t="n"/>
      <c r="N821" s="5" t="n"/>
      <c r="O821" s="8">
        <f>IF($B821="","",IF(AND($A821&lt;&gt;"",COUNTIF(INV_ID,$A821)&gt;1),"⚠ this Unit ID already exists",IF(AND($H821&lt;&gt;"",COUNTIF(INV_Serial,$H821)&gt;1),"⚠ this serial already exists",IF(COUNTIFS(INV_Product,$B821,INV_No,$C821)&gt;1,"⚠ piece number reused",""))))</f>
        <v/>
      </c>
      <c r="P821" s="5" t="n"/>
    </row>
    <row r="822">
      <c r="A822" s="8">
        <f>IF(OR($B822="",$C822=""),"",IFERROR(INDEX(PM_Short,MATCH($B822,PM_ID,0))&amp;"-"&amp;TEXT($C822,"00"),"?? no such product"))</f>
        <v/>
      </c>
      <c r="B822" s="5" t="n"/>
      <c r="C822" s="5" t="n"/>
      <c r="D822" s="8">
        <f>IF($B822="","",IFERROR(INDEX(PM_Category,MATCH($B822,PM_ID,0)),""))</f>
        <v/>
      </c>
      <c r="E822" s="8">
        <f>IF($B822="","",IFERROR(INDEX(PM_Subcategory,MATCH($B822,PM_ID,0)),""))</f>
        <v/>
      </c>
      <c r="F822" s="8">
        <f>IF($B822="","",IFERROR(INDEX(PM_Brand,MATCH($B822,PM_ID,0)),""))</f>
        <v/>
      </c>
      <c r="G822" s="8">
        <f>IF($B822="","",IFERROR(INDEX(PM_Model,MATCH($B822,PM_ID,0)),""))</f>
        <v/>
      </c>
      <c r="H822" s="5" t="n"/>
      <c r="I822" s="10" t="n"/>
      <c r="J822" s="9" t="n"/>
      <c r="K822" s="5" t="n"/>
      <c r="L822" s="5" t="n"/>
      <c r="M822" s="5" t="n"/>
      <c r="N822" s="5" t="n"/>
      <c r="O822" s="8">
        <f>IF($B822="","",IF(AND($A822&lt;&gt;"",COUNTIF(INV_ID,$A822)&gt;1),"⚠ this Unit ID already exists",IF(AND($H822&lt;&gt;"",COUNTIF(INV_Serial,$H822)&gt;1),"⚠ this serial already exists",IF(COUNTIFS(INV_Product,$B822,INV_No,$C822)&gt;1,"⚠ piece number reused",""))))</f>
        <v/>
      </c>
      <c r="P822" s="5" t="n"/>
    </row>
    <row r="823">
      <c r="A823" s="8">
        <f>IF(OR($B823="",$C823=""),"",IFERROR(INDEX(PM_Short,MATCH($B823,PM_ID,0))&amp;"-"&amp;TEXT($C823,"00"),"?? no such product"))</f>
        <v/>
      </c>
      <c r="B823" s="5" t="n"/>
      <c r="C823" s="5" t="n"/>
      <c r="D823" s="8">
        <f>IF($B823="","",IFERROR(INDEX(PM_Category,MATCH($B823,PM_ID,0)),""))</f>
        <v/>
      </c>
      <c r="E823" s="8">
        <f>IF($B823="","",IFERROR(INDEX(PM_Subcategory,MATCH($B823,PM_ID,0)),""))</f>
        <v/>
      </c>
      <c r="F823" s="8">
        <f>IF($B823="","",IFERROR(INDEX(PM_Brand,MATCH($B823,PM_ID,0)),""))</f>
        <v/>
      </c>
      <c r="G823" s="8">
        <f>IF($B823="","",IFERROR(INDEX(PM_Model,MATCH($B823,PM_ID,0)),""))</f>
        <v/>
      </c>
      <c r="H823" s="5" t="n"/>
      <c r="I823" s="10" t="n"/>
      <c r="J823" s="9" t="n"/>
      <c r="K823" s="5" t="n"/>
      <c r="L823" s="5" t="n"/>
      <c r="M823" s="5" t="n"/>
      <c r="N823" s="5" t="n"/>
      <c r="O823" s="8">
        <f>IF($B823="","",IF(AND($A823&lt;&gt;"",COUNTIF(INV_ID,$A823)&gt;1),"⚠ this Unit ID already exists",IF(AND($H823&lt;&gt;"",COUNTIF(INV_Serial,$H823)&gt;1),"⚠ this serial already exists",IF(COUNTIFS(INV_Product,$B823,INV_No,$C823)&gt;1,"⚠ piece number reused",""))))</f>
        <v/>
      </c>
      <c r="P823" s="5" t="n"/>
    </row>
    <row r="824">
      <c r="A824" s="8">
        <f>IF(OR($B824="",$C824=""),"",IFERROR(INDEX(PM_Short,MATCH($B824,PM_ID,0))&amp;"-"&amp;TEXT($C824,"00"),"?? no such product"))</f>
        <v/>
      </c>
      <c r="B824" s="5" t="n"/>
      <c r="C824" s="5" t="n"/>
      <c r="D824" s="8">
        <f>IF($B824="","",IFERROR(INDEX(PM_Category,MATCH($B824,PM_ID,0)),""))</f>
        <v/>
      </c>
      <c r="E824" s="8">
        <f>IF($B824="","",IFERROR(INDEX(PM_Subcategory,MATCH($B824,PM_ID,0)),""))</f>
        <v/>
      </c>
      <c r="F824" s="8">
        <f>IF($B824="","",IFERROR(INDEX(PM_Brand,MATCH($B824,PM_ID,0)),""))</f>
        <v/>
      </c>
      <c r="G824" s="8">
        <f>IF($B824="","",IFERROR(INDEX(PM_Model,MATCH($B824,PM_ID,0)),""))</f>
        <v/>
      </c>
      <c r="H824" s="5" t="n"/>
      <c r="I824" s="10" t="n"/>
      <c r="J824" s="9" t="n"/>
      <c r="K824" s="5" t="n"/>
      <c r="L824" s="5" t="n"/>
      <c r="M824" s="5" t="n"/>
      <c r="N824" s="5" t="n"/>
      <c r="O824" s="8">
        <f>IF($B824="","",IF(AND($A824&lt;&gt;"",COUNTIF(INV_ID,$A824)&gt;1),"⚠ this Unit ID already exists",IF(AND($H824&lt;&gt;"",COUNTIF(INV_Serial,$H824)&gt;1),"⚠ this serial already exists",IF(COUNTIFS(INV_Product,$B824,INV_No,$C824)&gt;1,"⚠ piece number reused",""))))</f>
        <v/>
      </c>
      <c r="P824" s="5" t="n"/>
    </row>
    <row r="825">
      <c r="A825" s="8">
        <f>IF(OR($B825="",$C825=""),"",IFERROR(INDEX(PM_Short,MATCH($B825,PM_ID,0))&amp;"-"&amp;TEXT($C825,"00"),"?? no such product"))</f>
        <v/>
      </c>
      <c r="B825" s="5" t="n"/>
      <c r="C825" s="5" t="n"/>
      <c r="D825" s="8">
        <f>IF($B825="","",IFERROR(INDEX(PM_Category,MATCH($B825,PM_ID,0)),""))</f>
        <v/>
      </c>
      <c r="E825" s="8">
        <f>IF($B825="","",IFERROR(INDEX(PM_Subcategory,MATCH($B825,PM_ID,0)),""))</f>
        <v/>
      </c>
      <c r="F825" s="8">
        <f>IF($B825="","",IFERROR(INDEX(PM_Brand,MATCH($B825,PM_ID,0)),""))</f>
        <v/>
      </c>
      <c r="G825" s="8">
        <f>IF($B825="","",IFERROR(INDEX(PM_Model,MATCH($B825,PM_ID,0)),""))</f>
        <v/>
      </c>
      <c r="H825" s="5" t="n"/>
      <c r="I825" s="10" t="n"/>
      <c r="J825" s="9" t="n"/>
      <c r="K825" s="5" t="n"/>
      <c r="L825" s="5" t="n"/>
      <c r="M825" s="5" t="n"/>
      <c r="N825" s="5" t="n"/>
      <c r="O825" s="8">
        <f>IF($B825="","",IF(AND($A825&lt;&gt;"",COUNTIF(INV_ID,$A825)&gt;1),"⚠ this Unit ID already exists",IF(AND($H825&lt;&gt;"",COUNTIF(INV_Serial,$H825)&gt;1),"⚠ this serial already exists",IF(COUNTIFS(INV_Product,$B825,INV_No,$C825)&gt;1,"⚠ piece number reused",""))))</f>
        <v/>
      </c>
      <c r="P825" s="5" t="n"/>
    </row>
    <row r="826">
      <c r="A826" s="8">
        <f>IF(OR($B826="",$C826=""),"",IFERROR(INDEX(PM_Short,MATCH($B826,PM_ID,0))&amp;"-"&amp;TEXT($C826,"00"),"?? no such product"))</f>
        <v/>
      </c>
      <c r="B826" s="5" t="n"/>
      <c r="C826" s="5" t="n"/>
      <c r="D826" s="8">
        <f>IF($B826="","",IFERROR(INDEX(PM_Category,MATCH($B826,PM_ID,0)),""))</f>
        <v/>
      </c>
      <c r="E826" s="8">
        <f>IF($B826="","",IFERROR(INDEX(PM_Subcategory,MATCH($B826,PM_ID,0)),""))</f>
        <v/>
      </c>
      <c r="F826" s="8">
        <f>IF($B826="","",IFERROR(INDEX(PM_Brand,MATCH($B826,PM_ID,0)),""))</f>
        <v/>
      </c>
      <c r="G826" s="8">
        <f>IF($B826="","",IFERROR(INDEX(PM_Model,MATCH($B826,PM_ID,0)),""))</f>
        <v/>
      </c>
      <c r="H826" s="5" t="n"/>
      <c r="I826" s="10" t="n"/>
      <c r="J826" s="9" t="n"/>
      <c r="K826" s="5" t="n"/>
      <c r="L826" s="5" t="n"/>
      <c r="M826" s="5" t="n"/>
      <c r="N826" s="5" t="n"/>
      <c r="O826" s="8">
        <f>IF($B826="","",IF(AND($A826&lt;&gt;"",COUNTIF(INV_ID,$A826)&gt;1),"⚠ this Unit ID already exists",IF(AND($H826&lt;&gt;"",COUNTIF(INV_Serial,$H826)&gt;1),"⚠ this serial already exists",IF(COUNTIFS(INV_Product,$B826,INV_No,$C826)&gt;1,"⚠ piece number reused",""))))</f>
        <v/>
      </c>
      <c r="P826" s="5" t="n"/>
    </row>
    <row r="827">
      <c r="A827" s="8">
        <f>IF(OR($B827="",$C827=""),"",IFERROR(INDEX(PM_Short,MATCH($B827,PM_ID,0))&amp;"-"&amp;TEXT($C827,"00"),"?? no such product"))</f>
        <v/>
      </c>
      <c r="B827" s="5" t="n"/>
      <c r="C827" s="5" t="n"/>
      <c r="D827" s="8">
        <f>IF($B827="","",IFERROR(INDEX(PM_Category,MATCH($B827,PM_ID,0)),""))</f>
        <v/>
      </c>
      <c r="E827" s="8">
        <f>IF($B827="","",IFERROR(INDEX(PM_Subcategory,MATCH($B827,PM_ID,0)),""))</f>
        <v/>
      </c>
      <c r="F827" s="8">
        <f>IF($B827="","",IFERROR(INDEX(PM_Brand,MATCH($B827,PM_ID,0)),""))</f>
        <v/>
      </c>
      <c r="G827" s="8">
        <f>IF($B827="","",IFERROR(INDEX(PM_Model,MATCH($B827,PM_ID,0)),""))</f>
        <v/>
      </c>
      <c r="H827" s="5" t="n"/>
      <c r="I827" s="10" t="n"/>
      <c r="J827" s="9" t="n"/>
      <c r="K827" s="5" t="n"/>
      <c r="L827" s="5" t="n"/>
      <c r="M827" s="5" t="n"/>
      <c r="N827" s="5" t="n"/>
      <c r="O827" s="8">
        <f>IF($B827="","",IF(AND($A827&lt;&gt;"",COUNTIF(INV_ID,$A827)&gt;1),"⚠ this Unit ID already exists",IF(AND($H827&lt;&gt;"",COUNTIF(INV_Serial,$H827)&gt;1),"⚠ this serial already exists",IF(COUNTIFS(INV_Product,$B827,INV_No,$C827)&gt;1,"⚠ piece number reused",""))))</f>
        <v/>
      </c>
      <c r="P827" s="5" t="n"/>
    </row>
    <row r="828">
      <c r="A828" s="8">
        <f>IF(OR($B828="",$C828=""),"",IFERROR(INDEX(PM_Short,MATCH($B828,PM_ID,0))&amp;"-"&amp;TEXT($C828,"00"),"?? no such product"))</f>
        <v/>
      </c>
      <c r="B828" s="5" t="n"/>
      <c r="C828" s="5" t="n"/>
      <c r="D828" s="8">
        <f>IF($B828="","",IFERROR(INDEX(PM_Category,MATCH($B828,PM_ID,0)),""))</f>
        <v/>
      </c>
      <c r="E828" s="8">
        <f>IF($B828="","",IFERROR(INDEX(PM_Subcategory,MATCH($B828,PM_ID,0)),""))</f>
        <v/>
      </c>
      <c r="F828" s="8">
        <f>IF($B828="","",IFERROR(INDEX(PM_Brand,MATCH($B828,PM_ID,0)),""))</f>
        <v/>
      </c>
      <c r="G828" s="8">
        <f>IF($B828="","",IFERROR(INDEX(PM_Model,MATCH($B828,PM_ID,0)),""))</f>
        <v/>
      </c>
      <c r="H828" s="5" t="n"/>
      <c r="I828" s="10" t="n"/>
      <c r="J828" s="9" t="n"/>
      <c r="K828" s="5" t="n"/>
      <c r="L828" s="5" t="n"/>
      <c r="M828" s="5" t="n"/>
      <c r="N828" s="5" t="n"/>
      <c r="O828" s="8">
        <f>IF($B828="","",IF(AND($A828&lt;&gt;"",COUNTIF(INV_ID,$A828)&gt;1),"⚠ this Unit ID already exists",IF(AND($H828&lt;&gt;"",COUNTIF(INV_Serial,$H828)&gt;1),"⚠ this serial already exists",IF(COUNTIFS(INV_Product,$B828,INV_No,$C828)&gt;1,"⚠ piece number reused",""))))</f>
        <v/>
      </c>
      <c r="P828" s="5" t="n"/>
    </row>
    <row r="829">
      <c r="A829" s="8">
        <f>IF(OR($B829="",$C829=""),"",IFERROR(INDEX(PM_Short,MATCH($B829,PM_ID,0))&amp;"-"&amp;TEXT($C829,"00"),"?? no such product"))</f>
        <v/>
      </c>
      <c r="B829" s="5" t="n"/>
      <c r="C829" s="5" t="n"/>
      <c r="D829" s="8">
        <f>IF($B829="","",IFERROR(INDEX(PM_Category,MATCH($B829,PM_ID,0)),""))</f>
        <v/>
      </c>
      <c r="E829" s="8">
        <f>IF($B829="","",IFERROR(INDEX(PM_Subcategory,MATCH($B829,PM_ID,0)),""))</f>
        <v/>
      </c>
      <c r="F829" s="8">
        <f>IF($B829="","",IFERROR(INDEX(PM_Brand,MATCH($B829,PM_ID,0)),""))</f>
        <v/>
      </c>
      <c r="G829" s="8">
        <f>IF($B829="","",IFERROR(INDEX(PM_Model,MATCH($B829,PM_ID,0)),""))</f>
        <v/>
      </c>
      <c r="H829" s="5" t="n"/>
      <c r="I829" s="10" t="n"/>
      <c r="J829" s="9" t="n"/>
      <c r="K829" s="5" t="n"/>
      <c r="L829" s="5" t="n"/>
      <c r="M829" s="5" t="n"/>
      <c r="N829" s="5" t="n"/>
      <c r="O829" s="8">
        <f>IF($B829="","",IF(AND($A829&lt;&gt;"",COUNTIF(INV_ID,$A829)&gt;1),"⚠ this Unit ID already exists",IF(AND($H829&lt;&gt;"",COUNTIF(INV_Serial,$H829)&gt;1),"⚠ this serial already exists",IF(COUNTIFS(INV_Product,$B829,INV_No,$C829)&gt;1,"⚠ piece number reused",""))))</f>
        <v/>
      </c>
      <c r="P829" s="5" t="n"/>
    </row>
    <row r="830">
      <c r="A830" s="8">
        <f>IF(OR($B830="",$C830=""),"",IFERROR(INDEX(PM_Short,MATCH($B830,PM_ID,0))&amp;"-"&amp;TEXT($C830,"00"),"?? no such product"))</f>
        <v/>
      </c>
      <c r="B830" s="5" t="n"/>
      <c r="C830" s="5" t="n"/>
      <c r="D830" s="8">
        <f>IF($B830="","",IFERROR(INDEX(PM_Category,MATCH($B830,PM_ID,0)),""))</f>
        <v/>
      </c>
      <c r="E830" s="8">
        <f>IF($B830="","",IFERROR(INDEX(PM_Subcategory,MATCH($B830,PM_ID,0)),""))</f>
        <v/>
      </c>
      <c r="F830" s="8">
        <f>IF($B830="","",IFERROR(INDEX(PM_Brand,MATCH($B830,PM_ID,0)),""))</f>
        <v/>
      </c>
      <c r="G830" s="8">
        <f>IF($B830="","",IFERROR(INDEX(PM_Model,MATCH($B830,PM_ID,0)),""))</f>
        <v/>
      </c>
      <c r="H830" s="5" t="n"/>
      <c r="I830" s="10" t="n"/>
      <c r="J830" s="9" t="n"/>
      <c r="K830" s="5" t="n"/>
      <c r="L830" s="5" t="n"/>
      <c r="M830" s="5" t="n"/>
      <c r="N830" s="5" t="n"/>
      <c r="O830" s="8">
        <f>IF($B830="","",IF(AND($A830&lt;&gt;"",COUNTIF(INV_ID,$A830)&gt;1),"⚠ this Unit ID already exists",IF(AND($H830&lt;&gt;"",COUNTIF(INV_Serial,$H830)&gt;1),"⚠ this serial already exists",IF(COUNTIFS(INV_Product,$B830,INV_No,$C830)&gt;1,"⚠ piece number reused",""))))</f>
        <v/>
      </c>
      <c r="P830" s="5" t="n"/>
    </row>
    <row r="831">
      <c r="A831" s="8">
        <f>IF(OR($B831="",$C831=""),"",IFERROR(INDEX(PM_Short,MATCH($B831,PM_ID,0))&amp;"-"&amp;TEXT($C831,"00"),"?? no such product"))</f>
        <v/>
      </c>
      <c r="B831" s="5" t="n"/>
      <c r="C831" s="5" t="n"/>
      <c r="D831" s="8">
        <f>IF($B831="","",IFERROR(INDEX(PM_Category,MATCH($B831,PM_ID,0)),""))</f>
        <v/>
      </c>
      <c r="E831" s="8">
        <f>IF($B831="","",IFERROR(INDEX(PM_Subcategory,MATCH($B831,PM_ID,0)),""))</f>
        <v/>
      </c>
      <c r="F831" s="8">
        <f>IF($B831="","",IFERROR(INDEX(PM_Brand,MATCH($B831,PM_ID,0)),""))</f>
        <v/>
      </c>
      <c r="G831" s="8">
        <f>IF($B831="","",IFERROR(INDEX(PM_Model,MATCH($B831,PM_ID,0)),""))</f>
        <v/>
      </c>
      <c r="H831" s="5" t="n"/>
      <c r="I831" s="10" t="n"/>
      <c r="J831" s="9" t="n"/>
      <c r="K831" s="5" t="n"/>
      <c r="L831" s="5" t="n"/>
      <c r="M831" s="5" t="n"/>
      <c r="N831" s="5" t="n"/>
      <c r="O831" s="8">
        <f>IF($B831="","",IF(AND($A831&lt;&gt;"",COUNTIF(INV_ID,$A831)&gt;1),"⚠ this Unit ID already exists",IF(AND($H831&lt;&gt;"",COUNTIF(INV_Serial,$H831)&gt;1),"⚠ this serial already exists",IF(COUNTIFS(INV_Product,$B831,INV_No,$C831)&gt;1,"⚠ piece number reused",""))))</f>
        <v/>
      </c>
      <c r="P831" s="5" t="n"/>
    </row>
    <row r="832">
      <c r="A832" s="8">
        <f>IF(OR($B832="",$C832=""),"",IFERROR(INDEX(PM_Short,MATCH($B832,PM_ID,0))&amp;"-"&amp;TEXT($C832,"00"),"?? no such product"))</f>
        <v/>
      </c>
      <c r="B832" s="5" t="n"/>
      <c r="C832" s="5" t="n"/>
      <c r="D832" s="8">
        <f>IF($B832="","",IFERROR(INDEX(PM_Category,MATCH($B832,PM_ID,0)),""))</f>
        <v/>
      </c>
      <c r="E832" s="8">
        <f>IF($B832="","",IFERROR(INDEX(PM_Subcategory,MATCH($B832,PM_ID,0)),""))</f>
        <v/>
      </c>
      <c r="F832" s="8">
        <f>IF($B832="","",IFERROR(INDEX(PM_Brand,MATCH($B832,PM_ID,0)),""))</f>
        <v/>
      </c>
      <c r="G832" s="8">
        <f>IF($B832="","",IFERROR(INDEX(PM_Model,MATCH($B832,PM_ID,0)),""))</f>
        <v/>
      </c>
      <c r="H832" s="5" t="n"/>
      <c r="I832" s="10" t="n"/>
      <c r="J832" s="9" t="n"/>
      <c r="K832" s="5" t="n"/>
      <c r="L832" s="5" t="n"/>
      <c r="M832" s="5" t="n"/>
      <c r="N832" s="5" t="n"/>
      <c r="O832" s="8">
        <f>IF($B832="","",IF(AND($A832&lt;&gt;"",COUNTIF(INV_ID,$A832)&gt;1),"⚠ this Unit ID already exists",IF(AND($H832&lt;&gt;"",COUNTIF(INV_Serial,$H832)&gt;1),"⚠ this serial already exists",IF(COUNTIFS(INV_Product,$B832,INV_No,$C832)&gt;1,"⚠ piece number reused",""))))</f>
        <v/>
      </c>
      <c r="P832" s="5" t="n"/>
    </row>
    <row r="833">
      <c r="A833" s="8">
        <f>IF(OR($B833="",$C833=""),"",IFERROR(INDEX(PM_Short,MATCH($B833,PM_ID,0))&amp;"-"&amp;TEXT($C833,"00"),"?? no such product"))</f>
        <v/>
      </c>
      <c r="B833" s="5" t="n"/>
      <c r="C833" s="5" t="n"/>
      <c r="D833" s="8">
        <f>IF($B833="","",IFERROR(INDEX(PM_Category,MATCH($B833,PM_ID,0)),""))</f>
        <v/>
      </c>
      <c r="E833" s="8">
        <f>IF($B833="","",IFERROR(INDEX(PM_Subcategory,MATCH($B833,PM_ID,0)),""))</f>
        <v/>
      </c>
      <c r="F833" s="8">
        <f>IF($B833="","",IFERROR(INDEX(PM_Brand,MATCH($B833,PM_ID,0)),""))</f>
        <v/>
      </c>
      <c r="G833" s="8">
        <f>IF($B833="","",IFERROR(INDEX(PM_Model,MATCH($B833,PM_ID,0)),""))</f>
        <v/>
      </c>
      <c r="H833" s="5" t="n"/>
      <c r="I833" s="10" t="n"/>
      <c r="J833" s="9" t="n"/>
      <c r="K833" s="5" t="n"/>
      <c r="L833" s="5" t="n"/>
      <c r="M833" s="5" t="n"/>
      <c r="N833" s="5" t="n"/>
      <c r="O833" s="8">
        <f>IF($B833="","",IF(AND($A833&lt;&gt;"",COUNTIF(INV_ID,$A833)&gt;1),"⚠ this Unit ID already exists",IF(AND($H833&lt;&gt;"",COUNTIF(INV_Serial,$H833)&gt;1),"⚠ this serial already exists",IF(COUNTIFS(INV_Product,$B833,INV_No,$C833)&gt;1,"⚠ piece number reused",""))))</f>
        <v/>
      </c>
      <c r="P833" s="5" t="n"/>
    </row>
    <row r="834">
      <c r="A834" s="8">
        <f>IF(OR($B834="",$C834=""),"",IFERROR(INDEX(PM_Short,MATCH($B834,PM_ID,0))&amp;"-"&amp;TEXT($C834,"00"),"?? no such product"))</f>
        <v/>
      </c>
      <c r="B834" s="5" t="n"/>
      <c r="C834" s="5" t="n"/>
      <c r="D834" s="8">
        <f>IF($B834="","",IFERROR(INDEX(PM_Category,MATCH($B834,PM_ID,0)),""))</f>
        <v/>
      </c>
      <c r="E834" s="8">
        <f>IF($B834="","",IFERROR(INDEX(PM_Subcategory,MATCH($B834,PM_ID,0)),""))</f>
        <v/>
      </c>
      <c r="F834" s="8">
        <f>IF($B834="","",IFERROR(INDEX(PM_Brand,MATCH($B834,PM_ID,0)),""))</f>
        <v/>
      </c>
      <c r="G834" s="8">
        <f>IF($B834="","",IFERROR(INDEX(PM_Model,MATCH($B834,PM_ID,0)),""))</f>
        <v/>
      </c>
      <c r="H834" s="5" t="n"/>
      <c r="I834" s="10" t="n"/>
      <c r="J834" s="9" t="n"/>
      <c r="K834" s="5" t="n"/>
      <c r="L834" s="5" t="n"/>
      <c r="M834" s="5" t="n"/>
      <c r="N834" s="5" t="n"/>
      <c r="O834" s="8">
        <f>IF($B834="","",IF(AND($A834&lt;&gt;"",COUNTIF(INV_ID,$A834)&gt;1),"⚠ this Unit ID already exists",IF(AND($H834&lt;&gt;"",COUNTIF(INV_Serial,$H834)&gt;1),"⚠ this serial already exists",IF(COUNTIFS(INV_Product,$B834,INV_No,$C834)&gt;1,"⚠ piece number reused",""))))</f>
        <v/>
      </c>
      <c r="P834" s="5" t="n"/>
    </row>
    <row r="835">
      <c r="A835" s="8">
        <f>IF(OR($B835="",$C835=""),"",IFERROR(INDEX(PM_Short,MATCH($B835,PM_ID,0))&amp;"-"&amp;TEXT($C835,"00"),"?? no such product"))</f>
        <v/>
      </c>
      <c r="B835" s="5" t="n"/>
      <c r="C835" s="5" t="n"/>
      <c r="D835" s="8">
        <f>IF($B835="","",IFERROR(INDEX(PM_Category,MATCH($B835,PM_ID,0)),""))</f>
        <v/>
      </c>
      <c r="E835" s="8">
        <f>IF($B835="","",IFERROR(INDEX(PM_Subcategory,MATCH($B835,PM_ID,0)),""))</f>
        <v/>
      </c>
      <c r="F835" s="8">
        <f>IF($B835="","",IFERROR(INDEX(PM_Brand,MATCH($B835,PM_ID,0)),""))</f>
        <v/>
      </c>
      <c r="G835" s="8">
        <f>IF($B835="","",IFERROR(INDEX(PM_Model,MATCH($B835,PM_ID,0)),""))</f>
        <v/>
      </c>
      <c r="H835" s="5" t="n"/>
      <c r="I835" s="10" t="n"/>
      <c r="J835" s="9" t="n"/>
      <c r="K835" s="5" t="n"/>
      <c r="L835" s="5" t="n"/>
      <c r="M835" s="5" t="n"/>
      <c r="N835" s="5" t="n"/>
      <c r="O835" s="8">
        <f>IF($B835="","",IF(AND($A835&lt;&gt;"",COUNTIF(INV_ID,$A835)&gt;1),"⚠ this Unit ID already exists",IF(AND($H835&lt;&gt;"",COUNTIF(INV_Serial,$H835)&gt;1),"⚠ this serial already exists",IF(COUNTIFS(INV_Product,$B835,INV_No,$C835)&gt;1,"⚠ piece number reused",""))))</f>
        <v/>
      </c>
      <c r="P835" s="5" t="n"/>
    </row>
    <row r="836">
      <c r="A836" s="8">
        <f>IF(OR($B836="",$C836=""),"",IFERROR(INDEX(PM_Short,MATCH($B836,PM_ID,0))&amp;"-"&amp;TEXT($C836,"00"),"?? no such product"))</f>
        <v/>
      </c>
      <c r="B836" s="5" t="n"/>
      <c r="C836" s="5" t="n"/>
      <c r="D836" s="8">
        <f>IF($B836="","",IFERROR(INDEX(PM_Category,MATCH($B836,PM_ID,0)),""))</f>
        <v/>
      </c>
      <c r="E836" s="8">
        <f>IF($B836="","",IFERROR(INDEX(PM_Subcategory,MATCH($B836,PM_ID,0)),""))</f>
        <v/>
      </c>
      <c r="F836" s="8">
        <f>IF($B836="","",IFERROR(INDEX(PM_Brand,MATCH($B836,PM_ID,0)),""))</f>
        <v/>
      </c>
      <c r="G836" s="8">
        <f>IF($B836="","",IFERROR(INDEX(PM_Model,MATCH($B836,PM_ID,0)),""))</f>
        <v/>
      </c>
      <c r="H836" s="5" t="n"/>
      <c r="I836" s="10" t="n"/>
      <c r="J836" s="9" t="n"/>
      <c r="K836" s="5" t="n"/>
      <c r="L836" s="5" t="n"/>
      <c r="M836" s="5" t="n"/>
      <c r="N836" s="5" t="n"/>
      <c r="O836" s="8">
        <f>IF($B836="","",IF(AND($A836&lt;&gt;"",COUNTIF(INV_ID,$A836)&gt;1),"⚠ this Unit ID already exists",IF(AND($H836&lt;&gt;"",COUNTIF(INV_Serial,$H836)&gt;1),"⚠ this serial already exists",IF(COUNTIFS(INV_Product,$B836,INV_No,$C836)&gt;1,"⚠ piece number reused",""))))</f>
        <v/>
      </c>
      <c r="P836" s="5" t="n"/>
    </row>
    <row r="837">
      <c r="A837" s="8">
        <f>IF(OR($B837="",$C837=""),"",IFERROR(INDEX(PM_Short,MATCH($B837,PM_ID,0))&amp;"-"&amp;TEXT($C837,"00"),"?? no such product"))</f>
        <v/>
      </c>
      <c r="B837" s="5" t="n"/>
      <c r="C837" s="5" t="n"/>
      <c r="D837" s="8">
        <f>IF($B837="","",IFERROR(INDEX(PM_Category,MATCH($B837,PM_ID,0)),""))</f>
        <v/>
      </c>
      <c r="E837" s="8">
        <f>IF($B837="","",IFERROR(INDEX(PM_Subcategory,MATCH($B837,PM_ID,0)),""))</f>
        <v/>
      </c>
      <c r="F837" s="8">
        <f>IF($B837="","",IFERROR(INDEX(PM_Brand,MATCH($B837,PM_ID,0)),""))</f>
        <v/>
      </c>
      <c r="G837" s="8">
        <f>IF($B837="","",IFERROR(INDEX(PM_Model,MATCH($B837,PM_ID,0)),""))</f>
        <v/>
      </c>
      <c r="H837" s="5" t="n"/>
      <c r="I837" s="10" t="n"/>
      <c r="J837" s="9" t="n"/>
      <c r="K837" s="5" t="n"/>
      <c r="L837" s="5" t="n"/>
      <c r="M837" s="5" t="n"/>
      <c r="N837" s="5" t="n"/>
      <c r="O837" s="8">
        <f>IF($B837="","",IF(AND($A837&lt;&gt;"",COUNTIF(INV_ID,$A837)&gt;1),"⚠ this Unit ID already exists",IF(AND($H837&lt;&gt;"",COUNTIF(INV_Serial,$H837)&gt;1),"⚠ this serial already exists",IF(COUNTIFS(INV_Product,$B837,INV_No,$C837)&gt;1,"⚠ piece number reused",""))))</f>
        <v/>
      </c>
      <c r="P837" s="5" t="n"/>
    </row>
    <row r="838">
      <c r="A838" s="8">
        <f>IF(OR($B838="",$C838=""),"",IFERROR(INDEX(PM_Short,MATCH($B838,PM_ID,0))&amp;"-"&amp;TEXT($C838,"00"),"?? no such product"))</f>
        <v/>
      </c>
      <c r="B838" s="5" t="n"/>
      <c r="C838" s="5" t="n"/>
      <c r="D838" s="8">
        <f>IF($B838="","",IFERROR(INDEX(PM_Category,MATCH($B838,PM_ID,0)),""))</f>
        <v/>
      </c>
      <c r="E838" s="8">
        <f>IF($B838="","",IFERROR(INDEX(PM_Subcategory,MATCH($B838,PM_ID,0)),""))</f>
        <v/>
      </c>
      <c r="F838" s="8">
        <f>IF($B838="","",IFERROR(INDEX(PM_Brand,MATCH($B838,PM_ID,0)),""))</f>
        <v/>
      </c>
      <c r="G838" s="8">
        <f>IF($B838="","",IFERROR(INDEX(PM_Model,MATCH($B838,PM_ID,0)),""))</f>
        <v/>
      </c>
      <c r="H838" s="5" t="n"/>
      <c r="I838" s="10" t="n"/>
      <c r="J838" s="9" t="n"/>
      <c r="K838" s="5" t="n"/>
      <c r="L838" s="5" t="n"/>
      <c r="M838" s="5" t="n"/>
      <c r="N838" s="5" t="n"/>
      <c r="O838" s="8">
        <f>IF($B838="","",IF(AND($A838&lt;&gt;"",COUNTIF(INV_ID,$A838)&gt;1),"⚠ this Unit ID already exists",IF(AND($H838&lt;&gt;"",COUNTIF(INV_Serial,$H838)&gt;1),"⚠ this serial already exists",IF(COUNTIFS(INV_Product,$B838,INV_No,$C838)&gt;1,"⚠ piece number reused",""))))</f>
        <v/>
      </c>
      <c r="P838" s="5" t="n"/>
    </row>
    <row r="839">
      <c r="A839" s="8">
        <f>IF(OR($B839="",$C839=""),"",IFERROR(INDEX(PM_Short,MATCH($B839,PM_ID,0))&amp;"-"&amp;TEXT($C839,"00"),"?? no such product"))</f>
        <v/>
      </c>
      <c r="B839" s="5" t="n"/>
      <c r="C839" s="5" t="n"/>
      <c r="D839" s="8">
        <f>IF($B839="","",IFERROR(INDEX(PM_Category,MATCH($B839,PM_ID,0)),""))</f>
        <v/>
      </c>
      <c r="E839" s="8">
        <f>IF($B839="","",IFERROR(INDEX(PM_Subcategory,MATCH($B839,PM_ID,0)),""))</f>
        <v/>
      </c>
      <c r="F839" s="8">
        <f>IF($B839="","",IFERROR(INDEX(PM_Brand,MATCH($B839,PM_ID,0)),""))</f>
        <v/>
      </c>
      <c r="G839" s="8">
        <f>IF($B839="","",IFERROR(INDEX(PM_Model,MATCH($B839,PM_ID,0)),""))</f>
        <v/>
      </c>
      <c r="H839" s="5" t="n"/>
      <c r="I839" s="10" t="n"/>
      <c r="J839" s="9" t="n"/>
      <c r="K839" s="5" t="n"/>
      <c r="L839" s="5" t="n"/>
      <c r="M839" s="5" t="n"/>
      <c r="N839" s="5" t="n"/>
      <c r="O839" s="8">
        <f>IF($B839="","",IF(AND($A839&lt;&gt;"",COUNTIF(INV_ID,$A839)&gt;1),"⚠ this Unit ID already exists",IF(AND($H839&lt;&gt;"",COUNTIF(INV_Serial,$H839)&gt;1),"⚠ this serial already exists",IF(COUNTIFS(INV_Product,$B839,INV_No,$C839)&gt;1,"⚠ piece number reused",""))))</f>
        <v/>
      </c>
      <c r="P839" s="5" t="n"/>
    </row>
    <row r="840">
      <c r="A840" s="8">
        <f>IF(OR($B840="",$C840=""),"",IFERROR(INDEX(PM_Short,MATCH($B840,PM_ID,0))&amp;"-"&amp;TEXT($C840,"00"),"?? no such product"))</f>
        <v/>
      </c>
      <c r="B840" s="5" t="n"/>
      <c r="C840" s="5" t="n"/>
      <c r="D840" s="8">
        <f>IF($B840="","",IFERROR(INDEX(PM_Category,MATCH($B840,PM_ID,0)),""))</f>
        <v/>
      </c>
      <c r="E840" s="8">
        <f>IF($B840="","",IFERROR(INDEX(PM_Subcategory,MATCH($B840,PM_ID,0)),""))</f>
        <v/>
      </c>
      <c r="F840" s="8">
        <f>IF($B840="","",IFERROR(INDEX(PM_Brand,MATCH($B840,PM_ID,0)),""))</f>
        <v/>
      </c>
      <c r="G840" s="8">
        <f>IF($B840="","",IFERROR(INDEX(PM_Model,MATCH($B840,PM_ID,0)),""))</f>
        <v/>
      </c>
      <c r="H840" s="5" t="n"/>
      <c r="I840" s="10" t="n"/>
      <c r="J840" s="9" t="n"/>
      <c r="K840" s="5" t="n"/>
      <c r="L840" s="5" t="n"/>
      <c r="M840" s="5" t="n"/>
      <c r="N840" s="5" t="n"/>
      <c r="O840" s="8">
        <f>IF($B840="","",IF(AND($A840&lt;&gt;"",COUNTIF(INV_ID,$A840)&gt;1),"⚠ this Unit ID already exists",IF(AND($H840&lt;&gt;"",COUNTIF(INV_Serial,$H840)&gt;1),"⚠ this serial already exists",IF(COUNTIFS(INV_Product,$B840,INV_No,$C840)&gt;1,"⚠ piece number reused",""))))</f>
        <v/>
      </c>
      <c r="P840" s="5" t="n"/>
    </row>
    <row r="841">
      <c r="A841" s="8">
        <f>IF(OR($B841="",$C841=""),"",IFERROR(INDEX(PM_Short,MATCH($B841,PM_ID,0))&amp;"-"&amp;TEXT($C841,"00"),"?? no such product"))</f>
        <v/>
      </c>
      <c r="B841" s="5" t="n"/>
      <c r="C841" s="5" t="n"/>
      <c r="D841" s="8">
        <f>IF($B841="","",IFERROR(INDEX(PM_Category,MATCH($B841,PM_ID,0)),""))</f>
        <v/>
      </c>
      <c r="E841" s="8">
        <f>IF($B841="","",IFERROR(INDEX(PM_Subcategory,MATCH($B841,PM_ID,0)),""))</f>
        <v/>
      </c>
      <c r="F841" s="8">
        <f>IF($B841="","",IFERROR(INDEX(PM_Brand,MATCH($B841,PM_ID,0)),""))</f>
        <v/>
      </c>
      <c r="G841" s="8">
        <f>IF($B841="","",IFERROR(INDEX(PM_Model,MATCH($B841,PM_ID,0)),""))</f>
        <v/>
      </c>
      <c r="H841" s="5" t="n"/>
      <c r="I841" s="10" t="n"/>
      <c r="J841" s="9" t="n"/>
      <c r="K841" s="5" t="n"/>
      <c r="L841" s="5" t="n"/>
      <c r="M841" s="5" t="n"/>
      <c r="N841" s="5" t="n"/>
      <c r="O841" s="8">
        <f>IF($B841="","",IF(AND($A841&lt;&gt;"",COUNTIF(INV_ID,$A841)&gt;1),"⚠ this Unit ID already exists",IF(AND($H841&lt;&gt;"",COUNTIF(INV_Serial,$H841)&gt;1),"⚠ this serial already exists",IF(COUNTIFS(INV_Product,$B841,INV_No,$C841)&gt;1,"⚠ piece number reused",""))))</f>
        <v/>
      </c>
      <c r="P841" s="5" t="n"/>
    </row>
    <row r="842">
      <c r="A842" s="8">
        <f>IF(OR($B842="",$C842=""),"",IFERROR(INDEX(PM_Short,MATCH($B842,PM_ID,0))&amp;"-"&amp;TEXT($C842,"00"),"?? no such product"))</f>
        <v/>
      </c>
      <c r="B842" s="5" t="n"/>
      <c r="C842" s="5" t="n"/>
      <c r="D842" s="8">
        <f>IF($B842="","",IFERROR(INDEX(PM_Category,MATCH($B842,PM_ID,0)),""))</f>
        <v/>
      </c>
      <c r="E842" s="8">
        <f>IF($B842="","",IFERROR(INDEX(PM_Subcategory,MATCH($B842,PM_ID,0)),""))</f>
        <v/>
      </c>
      <c r="F842" s="8">
        <f>IF($B842="","",IFERROR(INDEX(PM_Brand,MATCH($B842,PM_ID,0)),""))</f>
        <v/>
      </c>
      <c r="G842" s="8">
        <f>IF($B842="","",IFERROR(INDEX(PM_Model,MATCH($B842,PM_ID,0)),""))</f>
        <v/>
      </c>
      <c r="H842" s="5" t="n"/>
      <c r="I842" s="10" t="n"/>
      <c r="J842" s="9" t="n"/>
      <c r="K842" s="5" t="n"/>
      <c r="L842" s="5" t="n"/>
      <c r="M842" s="5" t="n"/>
      <c r="N842" s="5" t="n"/>
      <c r="O842" s="8">
        <f>IF($B842="","",IF(AND($A842&lt;&gt;"",COUNTIF(INV_ID,$A842)&gt;1),"⚠ this Unit ID already exists",IF(AND($H842&lt;&gt;"",COUNTIF(INV_Serial,$H842)&gt;1),"⚠ this serial already exists",IF(COUNTIFS(INV_Product,$B842,INV_No,$C842)&gt;1,"⚠ piece number reused",""))))</f>
        <v/>
      </c>
      <c r="P842" s="5" t="n"/>
    </row>
    <row r="843">
      <c r="A843" s="8">
        <f>IF(OR($B843="",$C843=""),"",IFERROR(INDEX(PM_Short,MATCH($B843,PM_ID,0))&amp;"-"&amp;TEXT($C843,"00"),"?? no such product"))</f>
        <v/>
      </c>
      <c r="B843" s="5" t="n"/>
      <c r="C843" s="5" t="n"/>
      <c r="D843" s="8">
        <f>IF($B843="","",IFERROR(INDEX(PM_Category,MATCH($B843,PM_ID,0)),""))</f>
        <v/>
      </c>
      <c r="E843" s="8">
        <f>IF($B843="","",IFERROR(INDEX(PM_Subcategory,MATCH($B843,PM_ID,0)),""))</f>
        <v/>
      </c>
      <c r="F843" s="8">
        <f>IF($B843="","",IFERROR(INDEX(PM_Brand,MATCH($B843,PM_ID,0)),""))</f>
        <v/>
      </c>
      <c r="G843" s="8">
        <f>IF($B843="","",IFERROR(INDEX(PM_Model,MATCH($B843,PM_ID,0)),""))</f>
        <v/>
      </c>
      <c r="H843" s="5" t="n"/>
      <c r="I843" s="10" t="n"/>
      <c r="J843" s="9" t="n"/>
      <c r="K843" s="5" t="n"/>
      <c r="L843" s="5" t="n"/>
      <c r="M843" s="5" t="n"/>
      <c r="N843" s="5" t="n"/>
      <c r="O843" s="8">
        <f>IF($B843="","",IF(AND($A843&lt;&gt;"",COUNTIF(INV_ID,$A843)&gt;1),"⚠ this Unit ID already exists",IF(AND($H843&lt;&gt;"",COUNTIF(INV_Serial,$H843)&gt;1),"⚠ this serial already exists",IF(COUNTIFS(INV_Product,$B843,INV_No,$C843)&gt;1,"⚠ piece number reused",""))))</f>
        <v/>
      </c>
      <c r="P843" s="5" t="n"/>
    </row>
    <row r="844">
      <c r="A844" s="8">
        <f>IF(OR($B844="",$C844=""),"",IFERROR(INDEX(PM_Short,MATCH($B844,PM_ID,0))&amp;"-"&amp;TEXT($C844,"00"),"?? no such product"))</f>
        <v/>
      </c>
      <c r="B844" s="5" t="n"/>
      <c r="C844" s="5" t="n"/>
      <c r="D844" s="8">
        <f>IF($B844="","",IFERROR(INDEX(PM_Category,MATCH($B844,PM_ID,0)),""))</f>
        <v/>
      </c>
      <c r="E844" s="8">
        <f>IF($B844="","",IFERROR(INDEX(PM_Subcategory,MATCH($B844,PM_ID,0)),""))</f>
        <v/>
      </c>
      <c r="F844" s="8">
        <f>IF($B844="","",IFERROR(INDEX(PM_Brand,MATCH($B844,PM_ID,0)),""))</f>
        <v/>
      </c>
      <c r="G844" s="8">
        <f>IF($B844="","",IFERROR(INDEX(PM_Model,MATCH($B844,PM_ID,0)),""))</f>
        <v/>
      </c>
      <c r="H844" s="5" t="n"/>
      <c r="I844" s="10" t="n"/>
      <c r="J844" s="9" t="n"/>
      <c r="K844" s="5" t="n"/>
      <c r="L844" s="5" t="n"/>
      <c r="M844" s="5" t="n"/>
      <c r="N844" s="5" t="n"/>
      <c r="O844" s="8">
        <f>IF($B844="","",IF(AND($A844&lt;&gt;"",COUNTIF(INV_ID,$A844)&gt;1),"⚠ this Unit ID already exists",IF(AND($H844&lt;&gt;"",COUNTIF(INV_Serial,$H844)&gt;1),"⚠ this serial already exists",IF(COUNTIFS(INV_Product,$B844,INV_No,$C844)&gt;1,"⚠ piece number reused",""))))</f>
        <v/>
      </c>
      <c r="P844" s="5" t="n"/>
    </row>
    <row r="845">
      <c r="A845" s="8">
        <f>IF(OR($B845="",$C845=""),"",IFERROR(INDEX(PM_Short,MATCH($B845,PM_ID,0))&amp;"-"&amp;TEXT($C845,"00"),"?? no such product"))</f>
        <v/>
      </c>
      <c r="B845" s="5" t="n"/>
      <c r="C845" s="5" t="n"/>
      <c r="D845" s="8">
        <f>IF($B845="","",IFERROR(INDEX(PM_Category,MATCH($B845,PM_ID,0)),""))</f>
        <v/>
      </c>
      <c r="E845" s="8">
        <f>IF($B845="","",IFERROR(INDEX(PM_Subcategory,MATCH($B845,PM_ID,0)),""))</f>
        <v/>
      </c>
      <c r="F845" s="8">
        <f>IF($B845="","",IFERROR(INDEX(PM_Brand,MATCH($B845,PM_ID,0)),""))</f>
        <v/>
      </c>
      <c r="G845" s="8">
        <f>IF($B845="","",IFERROR(INDEX(PM_Model,MATCH($B845,PM_ID,0)),""))</f>
        <v/>
      </c>
      <c r="H845" s="5" t="n"/>
      <c r="I845" s="10" t="n"/>
      <c r="J845" s="9" t="n"/>
      <c r="K845" s="5" t="n"/>
      <c r="L845" s="5" t="n"/>
      <c r="M845" s="5" t="n"/>
      <c r="N845" s="5" t="n"/>
      <c r="O845" s="8">
        <f>IF($B845="","",IF(AND($A845&lt;&gt;"",COUNTIF(INV_ID,$A845)&gt;1),"⚠ this Unit ID already exists",IF(AND($H845&lt;&gt;"",COUNTIF(INV_Serial,$H845)&gt;1),"⚠ this serial already exists",IF(COUNTIFS(INV_Product,$B845,INV_No,$C845)&gt;1,"⚠ piece number reused",""))))</f>
        <v/>
      </c>
      <c r="P845" s="5" t="n"/>
    </row>
    <row r="846">
      <c r="A846" s="8">
        <f>IF(OR($B846="",$C846=""),"",IFERROR(INDEX(PM_Short,MATCH($B846,PM_ID,0))&amp;"-"&amp;TEXT($C846,"00"),"?? no such product"))</f>
        <v/>
      </c>
      <c r="B846" s="5" t="n"/>
      <c r="C846" s="5" t="n"/>
      <c r="D846" s="8">
        <f>IF($B846="","",IFERROR(INDEX(PM_Category,MATCH($B846,PM_ID,0)),""))</f>
        <v/>
      </c>
      <c r="E846" s="8">
        <f>IF($B846="","",IFERROR(INDEX(PM_Subcategory,MATCH($B846,PM_ID,0)),""))</f>
        <v/>
      </c>
      <c r="F846" s="8">
        <f>IF($B846="","",IFERROR(INDEX(PM_Brand,MATCH($B846,PM_ID,0)),""))</f>
        <v/>
      </c>
      <c r="G846" s="8">
        <f>IF($B846="","",IFERROR(INDEX(PM_Model,MATCH($B846,PM_ID,0)),""))</f>
        <v/>
      </c>
      <c r="H846" s="5" t="n"/>
      <c r="I846" s="10" t="n"/>
      <c r="J846" s="9" t="n"/>
      <c r="K846" s="5" t="n"/>
      <c r="L846" s="5" t="n"/>
      <c r="M846" s="5" t="n"/>
      <c r="N846" s="5" t="n"/>
      <c r="O846" s="8">
        <f>IF($B846="","",IF(AND($A846&lt;&gt;"",COUNTIF(INV_ID,$A846)&gt;1),"⚠ this Unit ID already exists",IF(AND($H846&lt;&gt;"",COUNTIF(INV_Serial,$H846)&gt;1),"⚠ this serial already exists",IF(COUNTIFS(INV_Product,$B846,INV_No,$C846)&gt;1,"⚠ piece number reused",""))))</f>
        <v/>
      </c>
      <c r="P846" s="5" t="n"/>
    </row>
    <row r="847">
      <c r="A847" s="8">
        <f>IF(OR($B847="",$C847=""),"",IFERROR(INDEX(PM_Short,MATCH($B847,PM_ID,0))&amp;"-"&amp;TEXT($C847,"00"),"?? no such product"))</f>
        <v/>
      </c>
      <c r="B847" s="5" t="n"/>
      <c r="C847" s="5" t="n"/>
      <c r="D847" s="8">
        <f>IF($B847="","",IFERROR(INDEX(PM_Category,MATCH($B847,PM_ID,0)),""))</f>
        <v/>
      </c>
      <c r="E847" s="8">
        <f>IF($B847="","",IFERROR(INDEX(PM_Subcategory,MATCH($B847,PM_ID,0)),""))</f>
        <v/>
      </c>
      <c r="F847" s="8">
        <f>IF($B847="","",IFERROR(INDEX(PM_Brand,MATCH($B847,PM_ID,0)),""))</f>
        <v/>
      </c>
      <c r="G847" s="8">
        <f>IF($B847="","",IFERROR(INDEX(PM_Model,MATCH($B847,PM_ID,0)),""))</f>
        <v/>
      </c>
      <c r="H847" s="5" t="n"/>
      <c r="I847" s="10" t="n"/>
      <c r="J847" s="9" t="n"/>
      <c r="K847" s="5" t="n"/>
      <c r="L847" s="5" t="n"/>
      <c r="M847" s="5" t="n"/>
      <c r="N847" s="5" t="n"/>
      <c r="O847" s="8">
        <f>IF($B847="","",IF(AND($A847&lt;&gt;"",COUNTIF(INV_ID,$A847)&gt;1),"⚠ this Unit ID already exists",IF(AND($H847&lt;&gt;"",COUNTIF(INV_Serial,$H847)&gt;1),"⚠ this serial already exists",IF(COUNTIFS(INV_Product,$B847,INV_No,$C847)&gt;1,"⚠ piece number reused",""))))</f>
        <v/>
      </c>
      <c r="P847" s="5" t="n"/>
    </row>
    <row r="848">
      <c r="A848" s="8">
        <f>IF(OR($B848="",$C848=""),"",IFERROR(INDEX(PM_Short,MATCH($B848,PM_ID,0))&amp;"-"&amp;TEXT($C848,"00"),"?? no such product"))</f>
        <v/>
      </c>
      <c r="B848" s="5" t="n"/>
      <c r="C848" s="5" t="n"/>
      <c r="D848" s="8">
        <f>IF($B848="","",IFERROR(INDEX(PM_Category,MATCH($B848,PM_ID,0)),""))</f>
        <v/>
      </c>
      <c r="E848" s="8">
        <f>IF($B848="","",IFERROR(INDEX(PM_Subcategory,MATCH($B848,PM_ID,0)),""))</f>
        <v/>
      </c>
      <c r="F848" s="8">
        <f>IF($B848="","",IFERROR(INDEX(PM_Brand,MATCH($B848,PM_ID,0)),""))</f>
        <v/>
      </c>
      <c r="G848" s="8">
        <f>IF($B848="","",IFERROR(INDEX(PM_Model,MATCH($B848,PM_ID,0)),""))</f>
        <v/>
      </c>
      <c r="H848" s="5" t="n"/>
      <c r="I848" s="10" t="n"/>
      <c r="J848" s="9" t="n"/>
      <c r="K848" s="5" t="n"/>
      <c r="L848" s="5" t="n"/>
      <c r="M848" s="5" t="n"/>
      <c r="N848" s="5" t="n"/>
      <c r="O848" s="8">
        <f>IF($B848="","",IF(AND($A848&lt;&gt;"",COUNTIF(INV_ID,$A848)&gt;1),"⚠ this Unit ID already exists",IF(AND($H848&lt;&gt;"",COUNTIF(INV_Serial,$H848)&gt;1),"⚠ this serial already exists",IF(COUNTIFS(INV_Product,$B848,INV_No,$C848)&gt;1,"⚠ piece number reused",""))))</f>
        <v/>
      </c>
      <c r="P848" s="5" t="n"/>
    </row>
    <row r="849">
      <c r="A849" s="8">
        <f>IF(OR($B849="",$C849=""),"",IFERROR(INDEX(PM_Short,MATCH($B849,PM_ID,0))&amp;"-"&amp;TEXT($C849,"00"),"?? no such product"))</f>
        <v/>
      </c>
      <c r="B849" s="5" t="n"/>
      <c r="C849" s="5" t="n"/>
      <c r="D849" s="8">
        <f>IF($B849="","",IFERROR(INDEX(PM_Category,MATCH($B849,PM_ID,0)),""))</f>
        <v/>
      </c>
      <c r="E849" s="8">
        <f>IF($B849="","",IFERROR(INDEX(PM_Subcategory,MATCH($B849,PM_ID,0)),""))</f>
        <v/>
      </c>
      <c r="F849" s="8">
        <f>IF($B849="","",IFERROR(INDEX(PM_Brand,MATCH($B849,PM_ID,0)),""))</f>
        <v/>
      </c>
      <c r="G849" s="8">
        <f>IF($B849="","",IFERROR(INDEX(PM_Model,MATCH($B849,PM_ID,0)),""))</f>
        <v/>
      </c>
      <c r="H849" s="5" t="n"/>
      <c r="I849" s="10" t="n"/>
      <c r="J849" s="9" t="n"/>
      <c r="K849" s="5" t="n"/>
      <c r="L849" s="5" t="n"/>
      <c r="M849" s="5" t="n"/>
      <c r="N849" s="5" t="n"/>
      <c r="O849" s="8">
        <f>IF($B849="","",IF(AND($A849&lt;&gt;"",COUNTIF(INV_ID,$A849)&gt;1),"⚠ this Unit ID already exists",IF(AND($H849&lt;&gt;"",COUNTIF(INV_Serial,$H849)&gt;1),"⚠ this serial already exists",IF(COUNTIFS(INV_Product,$B849,INV_No,$C849)&gt;1,"⚠ piece number reused",""))))</f>
        <v/>
      </c>
      <c r="P849" s="5" t="n"/>
    </row>
    <row r="850">
      <c r="A850" s="8">
        <f>IF(OR($B850="",$C850=""),"",IFERROR(INDEX(PM_Short,MATCH($B850,PM_ID,0))&amp;"-"&amp;TEXT($C850,"00"),"?? no such product"))</f>
        <v/>
      </c>
      <c r="B850" s="5" t="n"/>
      <c r="C850" s="5" t="n"/>
      <c r="D850" s="8">
        <f>IF($B850="","",IFERROR(INDEX(PM_Category,MATCH($B850,PM_ID,0)),""))</f>
        <v/>
      </c>
      <c r="E850" s="8">
        <f>IF($B850="","",IFERROR(INDEX(PM_Subcategory,MATCH($B850,PM_ID,0)),""))</f>
        <v/>
      </c>
      <c r="F850" s="8">
        <f>IF($B850="","",IFERROR(INDEX(PM_Brand,MATCH($B850,PM_ID,0)),""))</f>
        <v/>
      </c>
      <c r="G850" s="8">
        <f>IF($B850="","",IFERROR(INDEX(PM_Model,MATCH($B850,PM_ID,0)),""))</f>
        <v/>
      </c>
      <c r="H850" s="5" t="n"/>
      <c r="I850" s="10" t="n"/>
      <c r="J850" s="9" t="n"/>
      <c r="K850" s="5" t="n"/>
      <c r="L850" s="5" t="n"/>
      <c r="M850" s="5" t="n"/>
      <c r="N850" s="5" t="n"/>
      <c r="O850" s="8">
        <f>IF($B850="","",IF(AND($A850&lt;&gt;"",COUNTIF(INV_ID,$A850)&gt;1),"⚠ this Unit ID already exists",IF(AND($H850&lt;&gt;"",COUNTIF(INV_Serial,$H850)&gt;1),"⚠ this serial already exists",IF(COUNTIFS(INV_Product,$B850,INV_No,$C850)&gt;1,"⚠ piece number reused",""))))</f>
        <v/>
      </c>
      <c r="P850" s="5" t="n"/>
    </row>
    <row r="851">
      <c r="A851" s="8">
        <f>IF(OR($B851="",$C851=""),"",IFERROR(INDEX(PM_Short,MATCH($B851,PM_ID,0))&amp;"-"&amp;TEXT($C851,"00"),"?? no such product"))</f>
        <v/>
      </c>
      <c r="B851" s="5" t="n"/>
      <c r="C851" s="5" t="n"/>
      <c r="D851" s="8">
        <f>IF($B851="","",IFERROR(INDEX(PM_Category,MATCH($B851,PM_ID,0)),""))</f>
        <v/>
      </c>
      <c r="E851" s="8">
        <f>IF($B851="","",IFERROR(INDEX(PM_Subcategory,MATCH($B851,PM_ID,0)),""))</f>
        <v/>
      </c>
      <c r="F851" s="8">
        <f>IF($B851="","",IFERROR(INDEX(PM_Brand,MATCH($B851,PM_ID,0)),""))</f>
        <v/>
      </c>
      <c r="G851" s="8">
        <f>IF($B851="","",IFERROR(INDEX(PM_Model,MATCH($B851,PM_ID,0)),""))</f>
        <v/>
      </c>
      <c r="H851" s="5" t="n"/>
      <c r="I851" s="10" t="n"/>
      <c r="J851" s="9" t="n"/>
      <c r="K851" s="5" t="n"/>
      <c r="L851" s="5" t="n"/>
      <c r="M851" s="5" t="n"/>
      <c r="N851" s="5" t="n"/>
      <c r="O851" s="8">
        <f>IF($B851="","",IF(AND($A851&lt;&gt;"",COUNTIF(INV_ID,$A851)&gt;1),"⚠ this Unit ID already exists",IF(AND($H851&lt;&gt;"",COUNTIF(INV_Serial,$H851)&gt;1),"⚠ this serial already exists",IF(COUNTIFS(INV_Product,$B851,INV_No,$C851)&gt;1,"⚠ piece number reused",""))))</f>
        <v/>
      </c>
      <c r="P851" s="5" t="n"/>
    </row>
    <row r="852">
      <c r="A852" s="8">
        <f>IF(OR($B852="",$C852=""),"",IFERROR(INDEX(PM_Short,MATCH($B852,PM_ID,0))&amp;"-"&amp;TEXT($C852,"00"),"?? no such product"))</f>
        <v/>
      </c>
      <c r="B852" s="5" t="n"/>
      <c r="C852" s="5" t="n"/>
      <c r="D852" s="8">
        <f>IF($B852="","",IFERROR(INDEX(PM_Category,MATCH($B852,PM_ID,0)),""))</f>
        <v/>
      </c>
      <c r="E852" s="8">
        <f>IF($B852="","",IFERROR(INDEX(PM_Subcategory,MATCH($B852,PM_ID,0)),""))</f>
        <v/>
      </c>
      <c r="F852" s="8">
        <f>IF($B852="","",IFERROR(INDEX(PM_Brand,MATCH($B852,PM_ID,0)),""))</f>
        <v/>
      </c>
      <c r="G852" s="8">
        <f>IF($B852="","",IFERROR(INDEX(PM_Model,MATCH($B852,PM_ID,0)),""))</f>
        <v/>
      </c>
      <c r="H852" s="5" t="n"/>
      <c r="I852" s="10" t="n"/>
      <c r="J852" s="9" t="n"/>
      <c r="K852" s="5" t="n"/>
      <c r="L852" s="5" t="n"/>
      <c r="M852" s="5" t="n"/>
      <c r="N852" s="5" t="n"/>
      <c r="O852" s="8">
        <f>IF($B852="","",IF(AND($A852&lt;&gt;"",COUNTIF(INV_ID,$A852)&gt;1),"⚠ this Unit ID already exists",IF(AND($H852&lt;&gt;"",COUNTIF(INV_Serial,$H852)&gt;1),"⚠ this serial already exists",IF(COUNTIFS(INV_Product,$B852,INV_No,$C852)&gt;1,"⚠ piece number reused",""))))</f>
        <v/>
      </c>
      <c r="P852" s="5" t="n"/>
    </row>
    <row r="853">
      <c r="A853" s="8">
        <f>IF(OR($B853="",$C853=""),"",IFERROR(INDEX(PM_Short,MATCH($B853,PM_ID,0))&amp;"-"&amp;TEXT($C853,"00"),"?? no such product"))</f>
        <v/>
      </c>
      <c r="B853" s="5" t="n"/>
      <c r="C853" s="5" t="n"/>
      <c r="D853" s="8">
        <f>IF($B853="","",IFERROR(INDEX(PM_Category,MATCH($B853,PM_ID,0)),""))</f>
        <v/>
      </c>
      <c r="E853" s="8">
        <f>IF($B853="","",IFERROR(INDEX(PM_Subcategory,MATCH($B853,PM_ID,0)),""))</f>
        <v/>
      </c>
      <c r="F853" s="8">
        <f>IF($B853="","",IFERROR(INDEX(PM_Brand,MATCH($B853,PM_ID,0)),""))</f>
        <v/>
      </c>
      <c r="G853" s="8">
        <f>IF($B853="","",IFERROR(INDEX(PM_Model,MATCH($B853,PM_ID,0)),""))</f>
        <v/>
      </c>
      <c r="H853" s="5" t="n"/>
      <c r="I853" s="10" t="n"/>
      <c r="J853" s="9" t="n"/>
      <c r="K853" s="5" t="n"/>
      <c r="L853" s="5" t="n"/>
      <c r="M853" s="5" t="n"/>
      <c r="N853" s="5" t="n"/>
      <c r="O853" s="8">
        <f>IF($B853="","",IF(AND($A853&lt;&gt;"",COUNTIF(INV_ID,$A853)&gt;1),"⚠ this Unit ID already exists",IF(AND($H853&lt;&gt;"",COUNTIF(INV_Serial,$H853)&gt;1),"⚠ this serial already exists",IF(COUNTIFS(INV_Product,$B853,INV_No,$C853)&gt;1,"⚠ piece number reused",""))))</f>
        <v/>
      </c>
      <c r="P853" s="5" t="n"/>
    </row>
    <row r="854">
      <c r="A854" s="8">
        <f>IF(OR($B854="",$C854=""),"",IFERROR(INDEX(PM_Short,MATCH($B854,PM_ID,0))&amp;"-"&amp;TEXT($C854,"00"),"?? no such product"))</f>
        <v/>
      </c>
      <c r="B854" s="5" t="n"/>
      <c r="C854" s="5" t="n"/>
      <c r="D854" s="8">
        <f>IF($B854="","",IFERROR(INDEX(PM_Category,MATCH($B854,PM_ID,0)),""))</f>
        <v/>
      </c>
      <c r="E854" s="8">
        <f>IF($B854="","",IFERROR(INDEX(PM_Subcategory,MATCH($B854,PM_ID,0)),""))</f>
        <v/>
      </c>
      <c r="F854" s="8">
        <f>IF($B854="","",IFERROR(INDEX(PM_Brand,MATCH($B854,PM_ID,0)),""))</f>
        <v/>
      </c>
      <c r="G854" s="8">
        <f>IF($B854="","",IFERROR(INDEX(PM_Model,MATCH($B854,PM_ID,0)),""))</f>
        <v/>
      </c>
      <c r="H854" s="5" t="n"/>
      <c r="I854" s="10" t="n"/>
      <c r="J854" s="9" t="n"/>
      <c r="K854" s="5" t="n"/>
      <c r="L854" s="5" t="n"/>
      <c r="M854" s="5" t="n"/>
      <c r="N854" s="5" t="n"/>
      <c r="O854" s="8">
        <f>IF($B854="","",IF(AND($A854&lt;&gt;"",COUNTIF(INV_ID,$A854)&gt;1),"⚠ this Unit ID already exists",IF(AND($H854&lt;&gt;"",COUNTIF(INV_Serial,$H854)&gt;1),"⚠ this serial already exists",IF(COUNTIFS(INV_Product,$B854,INV_No,$C854)&gt;1,"⚠ piece number reused",""))))</f>
        <v/>
      </c>
      <c r="P854" s="5" t="n"/>
    </row>
    <row r="855">
      <c r="A855" s="8">
        <f>IF(OR($B855="",$C855=""),"",IFERROR(INDEX(PM_Short,MATCH($B855,PM_ID,0))&amp;"-"&amp;TEXT($C855,"00"),"?? no such product"))</f>
        <v/>
      </c>
      <c r="B855" s="5" t="n"/>
      <c r="C855" s="5" t="n"/>
      <c r="D855" s="8">
        <f>IF($B855="","",IFERROR(INDEX(PM_Category,MATCH($B855,PM_ID,0)),""))</f>
        <v/>
      </c>
      <c r="E855" s="8">
        <f>IF($B855="","",IFERROR(INDEX(PM_Subcategory,MATCH($B855,PM_ID,0)),""))</f>
        <v/>
      </c>
      <c r="F855" s="8">
        <f>IF($B855="","",IFERROR(INDEX(PM_Brand,MATCH($B855,PM_ID,0)),""))</f>
        <v/>
      </c>
      <c r="G855" s="8">
        <f>IF($B855="","",IFERROR(INDEX(PM_Model,MATCH($B855,PM_ID,0)),""))</f>
        <v/>
      </c>
      <c r="H855" s="5" t="n"/>
      <c r="I855" s="10" t="n"/>
      <c r="J855" s="9" t="n"/>
      <c r="K855" s="5" t="n"/>
      <c r="L855" s="5" t="n"/>
      <c r="M855" s="5" t="n"/>
      <c r="N855" s="5" t="n"/>
      <c r="O855" s="8">
        <f>IF($B855="","",IF(AND($A855&lt;&gt;"",COUNTIF(INV_ID,$A855)&gt;1),"⚠ this Unit ID already exists",IF(AND($H855&lt;&gt;"",COUNTIF(INV_Serial,$H855)&gt;1),"⚠ this serial already exists",IF(COUNTIFS(INV_Product,$B855,INV_No,$C855)&gt;1,"⚠ piece number reused",""))))</f>
        <v/>
      </c>
      <c r="P855" s="5" t="n"/>
    </row>
    <row r="856">
      <c r="A856" s="8">
        <f>IF(OR($B856="",$C856=""),"",IFERROR(INDEX(PM_Short,MATCH($B856,PM_ID,0))&amp;"-"&amp;TEXT($C856,"00"),"?? no such product"))</f>
        <v/>
      </c>
      <c r="B856" s="5" t="n"/>
      <c r="C856" s="5" t="n"/>
      <c r="D856" s="8">
        <f>IF($B856="","",IFERROR(INDEX(PM_Category,MATCH($B856,PM_ID,0)),""))</f>
        <v/>
      </c>
      <c r="E856" s="8">
        <f>IF($B856="","",IFERROR(INDEX(PM_Subcategory,MATCH($B856,PM_ID,0)),""))</f>
        <v/>
      </c>
      <c r="F856" s="8">
        <f>IF($B856="","",IFERROR(INDEX(PM_Brand,MATCH($B856,PM_ID,0)),""))</f>
        <v/>
      </c>
      <c r="G856" s="8">
        <f>IF($B856="","",IFERROR(INDEX(PM_Model,MATCH($B856,PM_ID,0)),""))</f>
        <v/>
      </c>
      <c r="H856" s="5" t="n"/>
      <c r="I856" s="10" t="n"/>
      <c r="J856" s="9" t="n"/>
      <c r="K856" s="5" t="n"/>
      <c r="L856" s="5" t="n"/>
      <c r="M856" s="5" t="n"/>
      <c r="N856" s="5" t="n"/>
      <c r="O856" s="8">
        <f>IF($B856="","",IF(AND($A856&lt;&gt;"",COUNTIF(INV_ID,$A856)&gt;1),"⚠ this Unit ID already exists",IF(AND($H856&lt;&gt;"",COUNTIF(INV_Serial,$H856)&gt;1),"⚠ this serial already exists",IF(COUNTIFS(INV_Product,$B856,INV_No,$C856)&gt;1,"⚠ piece number reused",""))))</f>
        <v/>
      </c>
      <c r="P856" s="5" t="n"/>
    </row>
    <row r="857">
      <c r="A857" s="8">
        <f>IF(OR($B857="",$C857=""),"",IFERROR(INDEX(PM_Short,MATCH($B857,PM_ID,0))&amp;"-"&amp;TEXT($C857,"00"),"?? no such product"))</f>
        <v/>
      </c>
      <c r="B857" s="5" t="n"/>
      <c r="C857" s="5" t="n"/>
      <c r="D857" s="8">
        <f>IF($B857="","",IFERROR(INDEX(PM_Category,MATCH($B857,PM_ID,0)),""))</f>
        <v/>
      </c>
      <c r="E857" s="8">
        <f>IF($B857="","",IFERROR(INDEX(PM_Subcategory,MATCH($B857,PM_ID,0)),""))</f>
        <v/>
      </c>
      <c r="F857" s="8">
        <f>IF($B857="","",IFERROR(INDEX(PM_Brand,MATCH($B857,PM_ID,0)),""))</f>
        <v/>
      </c>
      <c r="G857" s="8">
        <f>IF($B857="","",IFERROR(INDEX(PM_Model,MATCH($B857,PM_ID,0)),""))</f>
        <v/>
      </c>
      <c r="H857" s="5" t="n"/>
      <c r="I857" s="10" t="n"/>
      <c r="J857" s="9" t="n"/>
      <c r="K857" s="5" t="n"/>
      <c r="L857" s="5" t="n"/>
      <c r="M857" s="5" t="n"/>
      <c r="N857" s="5" t="n"/>
      <c r="O857" s="8">
        <f>IF($B857="","",IF(AND($A857&lt;&gt;"",COUNTIF(INV_ID,$A857)&gt;1),"⚠ this Unit ID already exists",IF(AND($H857&lt;&gt;"",COUNTIF(INV_Serial,$H857)&gt;1),"⚠ this serial already exists",IF(COUNTIFS(INV_Product,$B857,INV_No,$C857)&gt;1,"⚠ piece number reused",""))))</f>
        <v/>
      </c>
      <c r="P857" s="5" t="n"/>
    </row>
    <row r="858">
      <c r="A858" s="8">
        <f>IF(OR($B858="",$C858=""),"",IFERROR(INDEX(PM_Short,MATCH($B858,PM_ID,0))&amp;"-"&amp;TEXT($C858,"00"),"?? no such product"))</f>
        <v/>
      </c>
      <c r="B858" s="5" t="n"/>
      <c r="C858" s="5" t="n"/>
      <c r="D858" s="8">
        <f>IF($B858="","",IFERROR(INDEX(PM_Category,MATCH($B858,PM_ID,0)),""))</f>
        <v/>
      </c>
      <c r="E858" s="8">
        <f>IF($B858="","",IFERROR(INDEX(PM_Subcategory,MATCH($B858,PM_ID,0)),""))</f>
        <v/>
      </c>
      <c r="F858" s="8">
        <f>IF($B858="","",IFERROR(INDEX(PM_Brand,MATCH($B858,PM_ID,0)),""))</f>
        <v/>
      </c>
      <c r="G858" s="8">
        <f>IF($B858="","",IFERROR(INDEX(PM_Model,MATCH($B858,PM_ID,0)),""))</f>
        <v/>
      </c>
      <c r="H858" s="5" t="n"/>
      <c r="I858" s="10" t="n"/>
      <c r="J858" s="9" t="n"/>
      <c r="K858" s="5" t="n"/>
      <c r="L858" s="5" t="n"/>
      <c r="M858" s="5" t="n"/>
      <c r="N858" s="5" t="n"/>
      <c r="O858" s="8">
        <f>IF($B858="","",IF(AND($A858&lt;&gt;"",COUNTIF(INV_ID,$A858)&gt;1),"⚠ this Unit ID already exists",IF(AND($H858&lt;&gt;"",COUNTIF(INV_Serial,$H858)&gt;1),"⚠ this serial already exists",IF(COUNTIFS(INV_Product,$B858,INV_No,$C858)&gt;1,"⚠ piece number reused",""))))</f>
        <v/>
      </c>
      <c r="P858" s="5" t="n"/>
    </row>
    <row r="859">
      <c r="A859" s="8">
        <f>IF(OR($B859="",$C859=""),"",IFERROR(INDEX(PM_Short,MATCH($B859,PM_ID,0))&amp;"-"&amp;TEXT($C859,"00"),"?? no such product"))</f>
        <v/>
      </c>
      <c r="B859" s="5" t="n"/>
      <c r="C859" s="5" t="n"/>
      <c r="D859" s="8">
        <f>IF($B859="","",IFERROR(INDEX(PM_Category,MATCH($B859,PM_ID,0)),""))</f>
        <v/>
      </c>
      <c r="E859" s="8">
        <f>IF($B859="","",IFERROR(INDEX(PM_Subcategory,MATCH($B859,PM_ID,0)),""))</f>
        <v/>
      </c>
      <c r="F859" s="8">
        <f>IF($B859="","",IFERROR(INDEX(PM_Brand,MATCH($B859,PM_ID,0)),""))</f>
        <v/>
      </c>
      <c r="G859" s="8">
        <f>IF($B859="","",IFERROR(INDEX(PM_Model,MATCH($B859,PM_ID,0)),""))</f>
        <v/>
      </c>
      <c r="H859" s="5" t="n"/>
      <c r="I859" s="10" t="n"/>
      <c r="J859" s="9" t="n"/>
      <c r="K859" s="5" t="n"/>
      <c r="L859" s="5" t="n"/>
      <c r="M859" s="5" t="n"/>
      <c r="N859" s="5" t="n"/>
      <c r="O859" s="8">
        <f>IF($B859="","",IF(AND($A859&lt;&gt;"",COUNTIF(INV_ID,$A859)&gt;1),"⚠ this Unit ID already exists",IF(AND($H859&lt;&gt;"",COUNTIF(INV_Serial,$H859)&gt;1),"⚠ this serial already exists",IF(COUNTIFS(INV_Product,$B859,INV_No,$C859)&gt;1,"⚠ piece number reused",""))))</f>
        <v/>
      </c>
      <c r="P859" s="5" t="n"/>
    </row>
    <row r="860">
      <c r="A860" s="8">
        <f>IF(OR($B860="",$C860=""),"",IFERROR(INDEX(PM_Short,MATCH($B860,PM_ID,0))&amp;"-"&amp;TEXT($C860,"00"),"?? no such product"))</f>
        <v/>
      </c>
      <c r="B860" s="5" t="n"/>
      <c r="C860" s="5" t="n"/>
      <c r="D860" s="8">
        <f>IF($B860="","",IFERROR(INDEX(PM_Category,MATCH($B860,PM_ID,0)),""))</f>
        <v/>
      </c>
      <c r="E860" s="8">
        <f>IF($B860="","",IFERROR(INDEX(PM_Subcategory,MATCH($B860,PM_ID,0)),""))</f>
        <v/>
      </c>
      <c r="F860" s="8">
        <f>IF($B860="","",IFERROR(INDEX(PM_Brand,MATCH($B860,PM_ID,0)),""))</f>
        <v/>
      </c>
      <c r="G860" s="8">
        <f>IF($B860="","",IFERROR(INDEX(PM_Model,MATCH($B860,PM_ID,0)),""))</f>
        <v/>
      </c>
      <c r="H860" s="5" t="n"/>
      <c r="I860" s="10" t="n"/>
      <c r="J860" s="9" t="n"/>
      <c r="K860" s="5" t="n"/>
      <c r="L860" s="5" t="n"/>
      <c r="M860" s="5" t="n"/>
      <c r="N860" s="5" t="n"/>
      <c r="O860" s="8">
        <f>IF($B860="","",IF(AND($A860&lt;&gt;"",COUNTIF(INV_ID,$A860)&gt;1),"⚠ this Unit ID already exists",IF(AND($H860&lt;&gt;"",COUNTIF(INV_Serial,$H860)&gt;1),"⚠ this serial already exists",IF(COUNTIFS(INV_Product,$B860,INV_No,$C860)&gt;1,"⚠ piece number reused",""))))</f>
        <v/>
      </c>
      <c r="P860" s="5" t="n"/>
    </row>
    <row r="861">
      <c r="A861" s="8">
        <f>IF(OR($B861="",$C861=""),"",IFERROR(INDEX(PM_Short,MATCH($B861,PM_ID,0))&amp;"-"&amp;TEXT($C861,"00"),"?? no such product"))</f>
        <v/>
      </c>
      <c r="B861" s="5" t="n"/>
      <c r="C861" s="5" t="n"/>
      <c r="D861" s="8">
        <f>IF($B861="","",IFERROR(INDEX(PM_Category,MATCH($B861,PM_ID,0)),""))</f>
        <v/>
      </c>
      <c r="E861" s="8">
        <f>IF($B861="","",IFERROR(INDEX(PM_Subcategory,MATCH($B861,PM_ID,0)),""))</f>
        <v/>
      </c>
      <c r="F861" s="8">
        <f>IF($B861="","",IFERROR(INDEX(PM_Brand,MATCH($B861,PM_ID,0)),""))</f>
        <v/>
      </c>
      <c r="G861" s="8">
        <f>IF($B861="","",IFERROR(INDEX(PM_Model,MATCH($B861,PM_ID,0)),""))</f>
        <v/>
      </c>
      <c r="H861" s="5" t="n"/>
      <c r="I861" s="10" t="n"/>
      <c r="J861" s="9" t="n"/>
      <c r="K861" s="5" t="n"/>
      <c r="L861" s="5" t="n"/>
      <c r="M861" s="5" t="n"/>
      <c r="N861" s="5" t="n"/>
      <c r="O861" s="8">
        <f>IF($B861="","",IF(AND($A861&lt;&gt;"",COUNTIF(INV_ID,$A861)&gt;1),"⚠ this Unit ID already exists",IF(AND($H861&lt;&gt;"",COUNTIF(INV_Serial,$H861)&gt;1),"⚠ this serial already exists",IF(COUNTIFS(INV_Product,$B861,INV_No,$C861)&gt;1,"⚠ piece number reused",""))))</f>
        <v/>
      </c>
      <c r="P861" s="5" t="n"/>
    </row>
    <row r="862">
      <c r="A862" s="8">
        <f>IF(OR($B862="",$C862=""),"",IFERROR(INDEX(PM_Short,MATCH($B862,PM_ID,0))&amp;"-"&amp;TEXT($C862,"00"),"?? no such product"))</f>
        <v/>
      </c>
      <c r="B862" s="5" t="n"/>
      <c r="C862" s="5" t="n"/>
      <c r="D862" s="8">
        <f>IF($B862="","",IFERROR(INDEX(PM_Category,MATCH($B862,PM_ID,0)),""))</f>
        <v/>
      </c>
      <c r="E862" s="8">
        <f>IF($B862="","",IFERROR(INDEX(PM_Subcategory,MATCH($B862,PM_ID,0)),""))</f>
        <v/>
      </c>
      <c r="F862" s="8">
        <f>IF($B862="","",IFERROR(INDEX(PM_Brand,MATCH($B862,PM_ID,0)),""))</f>
        <v/>
      </c>
      <c r="G862" s="8">
        <f>IF($B862="","",IFERROR(INDEX(PM_Model,MATCH($B862,PM_ID,0)),""))</f>
        <v/>
      </c>
      <c r="H862" s="5" t="n"/>
      <c r="I862" s="10" t="n"/>
      <c r="J862" s="9" t="n"/>
      <c r="K862" s="5" t="n"/>
      <c r="L862" s="5" t="n"/>
      <c r="M862" s="5" t="n"/>
      <c r="N862" s="5" t="n"/>
      <c r="O862" s="8">
        <f>IF($B862="","",IF(AND($A862&lt;&gt;"",COUNTIF(INV_ID,$A862)&gt;1),"⚠ this Unit ID already exists",IF(AND($H862&lt;&gt;"",COUNTIF(INV_Serial,$H862)&gt;1),"⚠ this serial already exists",IF(COUNTIFS(INV_Product,$B862,INV_No,$C862)&gt;1,"⚠ piece number reused",""))))</f>
        <v/>
      </c>
      <c r="P862" s="5" t="n"/>
    </row>
    <row r="863">
      <c r="A863" s="8">
        <f>IF(OR($B863="",$C863=""),"",IFERROR(INDEX(PM_Short,MATCH($B863,PM_ID,0))&amp;"-"&amp;TEXT($C863,"00"),"?? no such product"))</f>
        <v/>
      </c>
      <c r="B863" s="5" t="n"/>
      <c r="C863" s="5" t="n"/>
      <c r="D863" s="8">
        <f>IF($B863="","",IFERROR(INDEX(PM_Category,MATCH($B863,PM_ID,0)),""))</f>
        <v/>
      </c>
      <c r="E863" s="8">
        <f>IF($B863="","",IFERROR(INDEX(PM_Subcategory,MATCH($B863,PM_ID,0)),""))</f>
        <v/>
      </c>
      <c r="F863" s="8">
        <f>IF($B863="","",IFERROR(INDEX(PM_Brand,MATCH($B863,PM_ID,0)),""))</f>
        <v/>
      </c>
      <c r="G863" s="8">
        <f>IF($B863="","",IFERROR(INDEX(PM_Model,MATCH($B863,PM_ID,0)),""))</f>
        <v/>
      </c>
      <c r="H863" s="5" t="n"/>
      <c r="I863" s="10" t="n"/>
      <c r="J863" s="9" t="n"/>
      <c r="K863" s="5" t="n"/>
      <c r="L863" s="5" t="n"/>
      <c r="M863" s="5" t="n"/>
      <c r="N863" s="5" t="n"/>
      <c r="O863" s="8">
        <f>IF($B863="","",IF(AND($A863&lt;&gt;"",COUNTIF(INV_ID,$A863)&gt;1),"⚠ this Unit ID already exists",IF(AND($H863&lt;&gt;"",COUNTIF(INV_Serial,$H863)&gt;1),"⚠ this serial already exists",IF(COUNTIFS(INV_Product,$B863,INV_No,$C863)&gt;1,"⚠ piece number reused",""))))</f>
        <v/>
      </c>
      <c r="P863" s="5" t="n"/>
    </row>
    <row r="864">
      <c r="A864" s="8">
        <f>IF(OR($B864="",$C864=""),"",IFERROR(INDEX(PM_Short,MATCH($B864,PM_ID,0))&amp;"-"&amp;TEXT($C864,"00"),"?? no such product"))</f>
        <v/>
      </c>
      <c r="B864" s="5" t="n"/>
      <c r="C864" s="5" t="n"/>
      <c r="D864" s="8">
        <f>IF($B864="","",IFERROR(INDEX(PM_Category,MATCH($B864,PM_ID,0)),""))</f>
        <v/>
      </c>
      <c r="E864" s="8">
        <f>IF($B864="","",IFERROR(INDEX(PM_Subcategory,MATCH($B864,PM_ID,0)),""))</f>
        <v/>
      </c>
      <c r="F864" s="8">
        <f>IF($B864="","",IFERROR(INDEX(PM_Brand,MATCH($B864,PM_ID,0)),""))</f>
        <v/>
      </c>
      <c r="G864" s="8">
        <f>IF($B864="","",IFERROR(INDEX(PM_Model,MATCH($B864,PM_ID,0)),""))</f>
        <v/>
      </c>
      <c r="H864" s="5" t="n"/>
      <c r="I864" s="10" t="n"/>
      <c r="J864" s="9" t="n"/>
      <c r="K864" s="5" t="n"/>
      <c r="L864" s="5" t="n"/>
      <c r="M864" s="5" t="n"/>
      <c r="N864" s="5" t="n"/>
      <c r="O864" s="8">
        <f>IF($B864="","",IF(AND($A864&lt;&gt;"",COUNTIF(INV_ID,$A864)&gt;1),"⚠ this Unit ID already exists",IF(AND($H864&lt;&gt;"",COUNTIF(INV_Serial,$H864)&gt;1),"⚠ this serial already exists",IF(COUNTIFS(INV_Product,$B864,INV_No,$C864)&gt;1,"⚠ piece number reused",""))))</f>
        <v/>
      </c>
      <c r="P864" s="5" t="n"/>
    </row>
    <row r="865">
      <c r="A865" s="8">
        <f>IF(OR($B865="",$C865=""),"",IFERROR(INDEX(PM_Short,MATCH($B865,PM_ID,0))&amp;"-"&amp;TEXT($C865,"00"),"?? no such product"))</f>
        <v/>
      </c>
      <c r="B865" s="5" t="n"/>
      <c r="C865" s="5" t="n"/>
      <c r="D865" s="8">
        <f>IF($B865="","",IFERROR(INDEX(PM_Category,MATCH($B865,PM_ID,0)),""))</f>
        <v/>
      </c>
      <c r="E865" s="8">
        <f>IF($B865="","",IFERROR(INDEX(PM_Subcategory,MATCH($B865,PM_ID,0)),""))</f>
        <v/>
      </c>
      <c r="F865" s="8">
        <f>IF($B865="","",IFERROR(INDEX(PM_Brand,MATCH($B865,PM_ID,0)),""))</f>
        <v/>
      </c>
      <c r="G865" s="8">
        <f>IF($B865="","",IFERROR(INDEX(PM_Model,MATCH($B865,PM_ID,0)),""))</f>
        <v/>
      </c>
      <c r="H865" s="5" t="n"/>
      <c r="I865" s="10" t="n"/>
      <c r="J865" s="9" t="n"/>
      <c r="K865" s="5" t="n"/>
      <c r="L865" s="5" t="n"/>
      <c r="M865" s="5" t="n"/>
      <c r="N865" s="5" t="n"/>
      <c r="O865" s="8">
        <f>IF($B865="","",IF(AND($A865&lt;&gt;"",COUNTIF(INV_ID,$A865)&gt;1),"⚠ this Unit ID already exists",IF(AND($H865&lt;&gt;"",COUNTIF(INV_Serial,$H865)&gt;1),"⚠ this serial already exists",IF(COUNTIFS(INV_Product,$B865,INV_No,$C865)&gt;1,"⚠ piece number reused",""))))</f>
        <v/>
      </c>
      <c r="P865" s="5" t="n"/>
    </row>
    <row r="866">
      <c r="A866" s="8">
        <f>IF(OR($B866="",$C866=""),"",IFERROR(INDEX(PM_Short,MATCH($B866,PM_ID,0))&amp;"-"&amp;TEXT($C866,"00"),"?? no such product"))</f>
        <v/>
      </c>
      <c r="B866" s="5" t="n"/>
      <c r="C866" s="5" t="n"/>
      <c r="D866" s="8">
        <f>IF($B866="","",IFERROR(INDEX(PM_Category,MATCH($B866,PM_ID,0)),""))</f>
        <v/>
      </c>
      <c r="E866" s="8">
        <f>IF($B866="","",IFERROR(INDEX(PM_Subcategory,MATCH($B866,PM_ID,0)),""))</f>
        <v/>
      </c>
      <c r="F866" s="8">
        <f>IF($B866="","",IFERROR(INDEX(PM_Brand,MATCH($B866,PM_ID,0)),""))</f>
        <v/>
      </c>
      <c r="G866" s="8">
        <f>IF($B866="","",IFERROR(INDEX(PM_Model,MATCH($B866,PM_ID,0)),""))</f>
        <v/>
      </c>
      <c r="H866" s="5" t="n"/>
      <c r="I866" s="10" t="n"/>
      <c r="J866" s="9" t="n"/>
      <c r="K866" s="5" t="n"/>
      <c r="L866" s="5" t="n"/>
      <c r="M866" s="5" t="n"/>
      <c r="N866" s="5" t="n"/>
      <c r="O866" s="8">
        <f>IF($B866="","",IF(AND($A866&lt;&gt;"",COUNTIF(INV_ID,$A866)&gt;1),"⚠ this Unit ID already exists",IF(AND($H866&lt;&gt;"",COUNTIF(INV_Serial,$H866)&gt;1),"⚠ this serial already exists",IF(COUNTIFS(INV_Product,$B866,INV_No,$C866)&gt;1,"⚠ piece number reused",""))))</f>
        <v/>
      </c>
      <c r="P866" s="5" t="n"/>
    </row>
    <row r="867">
      <c r="A867" s="8">
        <f>IF(OR($B867="",$C867=""),"",IFERROR(INDEX(PM_Short,MATCH($B867,PM_ID,0))&amp;"-"&amp;TEXT($C867,"00"),"?? no such product"))</f>
        <v/>
      </c>
      <c r="B867" s="5" t="n"/>
      <c r="C867" s="5" t="n"/>
      <c r="D867" s="8">
        <f>IF($B867="","",IFERROR(INDEX(PM_Category,MATCH($B867,PM_ID,0)),""))</f>
        <v/>
      </c>
      <c r="E867" s="8">
        <f>IF($B867="","",IFERROR(INDEX(PM_Subcategory,MATCH($B867,PM_ID,0)),""))</f>
        <v/>
      </c>
      <c r="F867" s="8">
        <f>IF($B867="","",IFERROR(INDEX(PM_Brand,MATCH($B867,PM_ID,0)),""))</f>
        <v/>
      </c>
      <c r="G867" s="8">
        <f>IF($B867="","",IFERROR(INDEX(PM_Model,MATCH($B867,PM_ID,0)),""))</f>
        <v/>
      </c>
      <c r="H867" s="5" t="n"/>
      <c r="I867" s="10" t="n"/>
      <c r="J867" s="9" t="n"/>
      <c r="K867" s="5" t="n"/>
      <c r="L867" s="5" t="n"/>
      <c r="M867" s="5" t="n"/>
      <c r="N867" s="5" t="n"/>
      <c r="O867" s="8">
        <f>IF($B867="","",IF(AND($A867&lt;&gt;"",COUNTIF(INV_ID,$A867)&gt;1),"⚠ this Unit ID already exists",IF(AND($H867&lt;&gt;"",COUNTIF(INV_Serial,$H867)&gt;1),"⚠ this serial already exists",IF(COUNTIFS(INV_Product,$B867,INV_No,$C867)&gt;1,"⚠ piece number reused",""))))</f>
        <v/>
      </c>
      <c r="P867" s="5" t="n"/>
    </row>
    <row r="868">
      <c r="A868" s="8">
        <f>IF(OR($B868="",$C868=""),"",IFERROR(INDEX(PM_Short,MATCH($B868,PM_ID,0))&amp;"-"&amp;TEXT($C868,"00"),"?? no such product"))</f>
        <v/>
      </c>
      <c r="B868" s="5" t="n"/>
      <c r="C868" s="5" t="n"/>
      <c r="D868" s="8">
        <f>IF($B868="","",IFERROR(INDEX(PM_Category,MATCH($B868,PM_ID,0)),""))</f>
        <v/>
      </c>
      <c r="E868" s="8">
        <f>IF($B868="","",IFERROR(INDEX(PM_Subcategory,MATCH($B868,PM_ID,0)),""))</f>
        <v/>
      </c>
      <c r="F868" s="8">
        <f>IF($B868="","",IFERROR(INDEX(PM_Brand,MATCH($B868,PM_ID,0)),""))</f>
        <v/>
      </c>
      <c r="G868" s="8">
        <f>IF($B868="","",IFERROR(INDEX(PM_Model,MATCH($B868,PM_ID,0)),""))</f>
        <v/>
      </c>
      <c r="H868" s="5" t="n"/>
      <c r="I868" s="10" t="n"/>
      <c r="J868" s="9" t="n"/>
      <c r="K868" s="5" t="n"/>
      <c r="L868" s="5" t="n"/>
      <c r="M868" s="5" t="n"/>
      <c r="N868" s="5" t="n"/>
      <c r="O868" s="8">
        <f>IF($B868="","",IF(AND($A868&lt;&gt;"",COUNTIF(INV_ID,$A868)&gt;1),"⚠ this Unit ID already exists",IF(AND($H868&lt;&gt;"",COUNTIF(INV_Serial,$H868)&gt;1),"⚠ this serial already exists",IF(COUNTIFS(INV_Product,$B868,INV_No,$C868)&gt;1,"⚠ piece number reused",""))))</f>
        <v/>
      </c>
      <c r="P868" s="5" t="n"/>
    </row>
    <row r="869">
      <c r="A869" s="8">
        <f>IF(OR($B869="",$C869=""),"",IFERROR(INDEX(PM_Short,MATCH($B869,PM_ID,0))&amp;"-"&amp;TEXT($C869,"00"),"?? no such product"))</f>
        <v/>
      </c>
      <c r="B869" s="5" t="n"/>
      <c r="C869" s="5" t="n"/>
      <c r="D869" s="8">
        <f>IF($B869="","",IFERROR(INDEX(PM_Category,MATCH($B869,PM_ID,0)),""))</f>
        <v/>
      </c>
      <c r="E869" s="8">
        <f>IF($B869="","",IFERROR(INDEX(PM_Subcategory,MATCH($B869,PM_ID,0)),""))</f>
        <v/>
      </c>
      <c r="F869" s="8">
        <f>IF($B869="","",IFERROR(INDEX(PM_Brand,MATCH($B869,PM_ID,0)),""))</f>
        <v/>
      </c>
      <c r="G869" s="8">
        <f>IF($B869="","",IFERROR(INDEX(PM_Model,MATCH($B869,PM_ID,0)),""))</f>
        <v/>
      </c>
      <c r="H869" s="5" t="n"/>
      <c r="I869" s="10" t="n"/>
      <c r="J869" s="9" t="n"/>
      <c r="K869" s="5" t="n"/>
      <c r="L869" s="5" t="n"/>
      <c r="M869" s="5" t="n"/>
      <c r="N869" s="5" t="n"/>
      <c r="O869" s="8">
        <f>IF($B869="","",IF(AND($A869&lt;&gt;"",COUNTIF(INV_ID,$A869)&gt;1),"⚠ this Unit ID already exists",IF(AND($H869&lt;&gt;"",COUNTIF(INV_Serial,$H869)&gt;1),"⚠ this serial already exists",IF(COUNTIFS(INV_Product,$B869,INV_No,$C869)&gt;1,"⚠ piece number reused",""))))</f>
        <v/>
      </c>
      <c r="P869" s="5" t="n"/>
    </row>
    <row r="870">
      <c r="A870" s="8">
        <f>IF(OR($B870="",$C870=""),"",IFERROR(INDEX(PM_Short,MATCH($B870,PM_ID,0))&amp;"-"&amp;TEXT($C870,"00"),"?? no such product"))</f>
        <v/>
      </c>
      <c r="B870" s="5" t="n"/>
      <c r="C870" s="5" t="n"/>
      <c r="D870" s="8">
        <f>IF($B870="","",IFERROR(INDEX(PM_Category,MATCH($B870,PM_ID,0)),""))</f>
        <v/>
      </c>
      <c r="E870" s="8">
        <f>IF($B870="","",IFERROR(INDEX(PM_Subcategory,MATCH($B870,PM_ID,0)),""))</f>
        <v/>
      </c>
      <c r="F870" s="8">
        <f>IF($B870="","",IFERROR(INDEX(PM_Brand,MATCH($B870,PM_ID,0)),""))</f>
        <v/>
      </c>
      <c r="G870" s="8">
        <f>IF($B870="","",IFERROR(INDEX(PM_Model,MATCH($B870,PM_ID,0)),""))</f>
        <v/>
      </c>
      <c r="H870" s="5" t="n"/>
      <c r="I870" s="10" t="n"/>
      <c r="J870" s="9" t="n"/>
      <c r="K870" s="5" t="n"/>
      <c r="L870" s="5" t="n"/>
      <c r="M870" s="5" t="n"/>
      <c r="N870" s="5" t="n"/>
      <c r="O870" s="8">
        <f>IF($B870="","",IF(AND($A870&lt;&gt;"",COUNTIF(INV_ID,$A870)&gt;1),"⚠ this Unit ID already exists",IF(AND($H870&lt;&gt;"",COUNTIF(INV_Serial,$H870)&gt;1),"⚠ this serial already exists",IF(COUNTIFS(INV_Product,$B870,INV_No,$C870)&gt;1,"⚠ piece number reused",""))))</f>
        <v/>
      </c>
      <c r="P870" s="5" t="n"/>
    </row>
    <row r="871">
      <c r="A871" s="8">
        <f>IF(OR($B871="",$C871=""),"",IFERROR(INDEX(PM_Short,MATCH($B871,PM_ID,0))&amp;"-"&amp;TEXT($C871,"00"),"?? no such product"))</f>
        <v/>
      </c>
      <c r="B871" s="5" t="n"/>
      <c r="C871" s="5" t="n"/>
      <c r="D871" s="8">
        <f>IF($B871="","",IFERROR(INDEX(PM_Category,MATCH($B871,PM_ID,0)),""))</f>
        <v/>
      </c>
      <c r="E871" s="8">
        <f>IF($B871="","",IFERROR(INDEX(PM_Subcategory,MATCH($B871,PM_ID,0)),""))</f>
        <v/>
      </c>
      <c r="F871" s="8">
        <f>IF($B871="","",IFERROR(INDEX(PM_Brand,MATCH($B871,PM_ID,0)),""))</f>
        <v/>
      </c>
      <c r="G871" s="8">
        <f>IF($B871="","",IFERROR(INDEX(PM_Model,MATCH($B871,PM_ID,0)),""))</f>
        <v/>
      </c>
      <c r="H871" s="5" t="n"/>
      <c r="I871" s="10" t="n"/>
      <c r="J871" s="9" t="n"/>
      <c r="K871" s="5" t="n"/>
      <c r="L871" s="5" t="n"/>
      <c r="M871" s="5" t="n"/>
      <c r="N871" s="5" t="n"/>
      <c r="O871" s="8">
        <f>IF($B871="","",IF(AND($A871&lt;&gt;"",COUNTIF(INV_ID,$A871)&gt;1),"⚠ this Unit ID already exists",IF(AND($H871&lt;&gt;"",COUNTIF(INV_Serial,$H871)&gt;1),"⚠ this serial already exists",IF(COUNTIFS(INV_Product,$B871,INV_No,$C871)&gt;1,"⚠ piece number reused",""))))</f>
        <v/>
      </c>
      <c r="P871" s="5" t="n"/>
    </row>
    <row r="872">
      <c r="A872" s="8">
        <f>IF(OR($B872="",$C872=""),"",IFERROR(INDEX(PM_Short,MATCH($B872,PM_ID,0))&amp;"-"&amp;TEXT($C872,"00"),"?? no such product"))</f>
        <v/>
      </c>
      <c r="B872" s="5" t="n"/>
      <c r="C872" s="5" t="n"/>
      <c r="D872" s="8">
        <f>IF($B872="","",IFERROR(INDEX(PM_Category,MATCH($B872,PM_ID,0)),""))</f>
        <v/>
      </c>
      <c r="E872" s="8">
        <f>IF($B872="","",IFERROR(INDEX(PM_Subcategory,MATCH($B872,PM_ID,0)),""))</f>
        <v/>
      </c>
      <c r="F872" s="8">
        <f>IF($B872="","",IFERROR(INDEX(PM_Brand,MATCH($B872,PM_ID,0)),""))</f>
        <v/>
      </c>
      <c r="G872" s="8">
        <f>IF($B872="","",IFERROR(INDEX(PM_Model,MATCH($B872,PM_ID,0)),""))</f>
        <v/>
      </c>
      <c r="H872" s="5" t="n"/>
      <c r="I872" s="10" t="n"/>
      <c r="J872" s="9" t="n"/>
      <c r="K872" s="5" t="n"/>
      <c r="L872" s="5" t="n"/>
      <c r="M872" s="5" t="n"/>
      <c r="N872" s="5" t="n"/>
      <c r="O872" s="8">
        <f>IF($B872="","",IF(AND($A872&lt;&gt;"",COUNTIF(INV_ID,$A872)&gt;1),"⚠ this Unit ID already exists",IF(AND($H872&lt;&gt;"",COUNTIF(INV_Serial,$H872)&gt;1),"⚠ this serial already exists",IF(COUNTIFS(INV_Product,$B872,INV_No,$C872)&gt;1,"⚠ piece number reused",""))))</f>
        <v/>
      </c>
      <c r="P872" s="5" t="n"/>
    </row>
    <row r="873">
      <c r="A873" s="8">
        <f>IF(OR($B873="",$C873=""),"",IFERROR(INDEX(PM_Short,MATCH($B873,PM_ID,0))&amp;"-"&amp;TEXT($C873,"00"),"?? no such product"))</f>
        <v/>
      </c>
      <c r="B873" s="5" t="n"/>
      <c r="C873" s="5" t="n"/>
      <c r="D873" s="8">
        <f>IF($B873="","",IFERROR(INDEX(PM_Category,MATCH($B873,PM_ID,0)),""))</f>
        <v/>
      </c>
      <c r="E873" s="8">
        <f>IF($B873="","",IFERROR(INDEX(PM_Subcategory,MATCH($B873,PM_ID,0)),""))</f>
        <v/>
      </c>
      <c r="F873" s="8">
        <f>IF($B873="","",IFERROR(INDEX(PM_Brand,MATCH($B873,PM_ID,0)),""))</f>
        <v/>
      </c>
      <c r="G873" s="8">
        <f>IF($B873="","",IFERROR(INDEX(PM_Model,MATCH($B873,PM_ID,0)),""))</f>
        <v/>
      </c>
      <c r="H873" s="5" t="n"/>
      <c r="I873" s="10" t="n"/>
      <c r="J873" s="9" t="n"/>
      <c r="K873" s="5" t="n"/>
      <c r="L873" s="5" t="n"/>
      <c r="M873" s="5" t="n"/>
      <c r="N873" s="5" t="n"/>
      <c r="O873" s="8">
        <f>IF($B873="","",IF(AND($A873&lt;&gt;"",COUNTIF(INV_ID,$A873)&gt;1),"⚠ this Unit ID already exists",IF(AND($H873&lt;&gt;"",COUNTIF(INV_Serial,$H873)&gt;1),"⚠ this serial already exists",IF(COUNTIFS(INV_Product,$B873,INV_No,$C873)&gt;1,"⚠ piece number reused",""))))</f>
        <v/>
      </c>
      <c r="P873" s="5" t="n"/>
    </row>
    <row r="874">
      <c r="A874" s="8">
        <f>IF(OR($B874="",$C874=""),"",IFERROR(INDEX(PM_Short,MATCH($B874,PM_ID,0))&amp;"-"&amp;TEXT($C874,"00"),"?? no such product"))</f>
        <v/>
      </c>
      <c r="B874" s="5" t="n"/>
      <c r="C874" s="5" t="n"/>
      <c r="D874" s="8">
        <f>IF($B874="","",IFERROR(INDEX(PM_Category,MATCH($B874,PM_ID,0)),""))</f>
        <v/>
      </c>
      <c r="E874" s="8">
        <f>IF($B874="","",IFERROR(INDEX(PM_Subcategory,MATCH($B874,PM_ID,0)),""))</f>
        <v/>
      </c>
      <c r="F874" s="8">
        <f>IF($B874="","",IFERROR(INDEX(PM_Brand,MATCH($B874,PM_ID,0)),""))</f>
        <v/>
      </c>
      <c r="G874" s="8">
        <f>IF($B874="","",IFERROR(INDEX(PM_Model,MATCH($B874,PM_ID,0)),""))</f>
        <v/>
      </c>
      <c r="H874" s="5" t="n"/>
      <c r="I874" s="10" t="n"/>
      <c r="J874" s="9" t="n"/>
      <c r="K874" s="5" t="n"/>
      <c r="L874" s="5" t="n"/>
      <c r="M874" s="5" t="n"/>
      <c r="N874" s="5" t="n"/>
      <c r="O874" s="8">
        <f>IF($B874="","",IF(AND($A874&lt;&gt;"",COUNTIF(INV_ID,$A874)&gt;1),"⚠ this Unit ID already exists",IF(AND($H874&lt;&gt;"",COUNTIF(INV_Serial,$H874)&gt;1),"⚠ this serial already exists",IF(COUNTIFS(INV_Product,$B874,INV_No,$C874)&gt;1,"⚠ piece number reused",""))))</f>
        <v/>
      </c>
      <c r="P874" s="5" t="n"/>
    </row>
    <row r="875">
      <c r="A875" s="8">
        <f>IF(OR($B875="",$C875=""),"",IFERROR(INDEX(PM_Short,MATCH($B875,PM_ID,0))&amp;"-"&amp;TEXT($C875,"00"),"?? no such product"))</f>
        <v/>
      </c>
      <c r="B875" s="5" t="n"/>
      <c r="C875" s="5" t="n"/>
      <c r="D875" s="8">
        <f>IF($B875="","",IFERROR(INDEX(PM_Category,MATCH($B875,PM_ID,0)),""))</f>
        <v/>
      </c>
      <c r="E875" s="8">
        <f>IF($B875="","",IFERROR(INDEX(PM_Subcategory,MATCH($B875,PM_ID,0)),""))</f>
        <v/>
      </c>
      <c r="F875" s="8">
        <f>IF($B875="","",IFERROR(INDEX(PM_Brand,MATCH($B875,PM_ID,0)),""))</f>
        <v/>
      </c>
      <c r="G875" s="8">
        <f>IF($B875="","",IFERROR(INDEX(PM_Model,MATCH($B875,PM_ID,0)),""))</f>
        <v/>
      </c>
      <c r="H875" s="5" t="n"/>
      <c r="I875" s="10" t="n"/>
      <c r="J875" s="9" t="n"/>
      <c r="K875" s="5" t="n"/>
      <c r="L875" s="5" t="n"/>
      <c r="M875" s="5" t="n"/>
      <c r="N875" s="5" t="n"/>
      <c r="O875" s="8">
        <f>IF($B875="","",IF(AND($A875&lt;&gt;"",COUNTIF(INV_ID,$A875)&gt;1),"⚠ this Unit ID already exists",IF(AND($H875&lt;&gt;"",COUNTIF(INV_Serial,$H875)&gt;1),"⚠ this serial already exists",IF(COUNTIFS(INV_Product,$B875,INV_No,$C875)&gt;1,"⚠ piece number reused",""))))</f>
        <v/>
      </c>
      <c r="P875" s="5" t="n"/>
    </row>
    <row r="876">
      <c r="A876" s="8">
        <f>IF(OR($B876="",$C876=""),"",IFERROR(INDEX(PM_Short,MATCH($B876,PM_ID,0))&amp;"-"&amp;TEXT($C876,"00"),"?? no such product"))</f>
        <v/>
      </c>
      <c r="B876" s="5" t="n"/>
      <c r="C876" s="5" t="n"/>
      <c r="D876" s="8">
        <f>IF($B876="","",IFERROR(INDEX(PM_Category,MATCH($B876,PM_ID,0)),""))</f>
        <v/>
      </c>
      <c r="E876" s="8">
        <f>IF($B876="","",IFERROR(INDEX(PM_Subcategory,MATCH($B876,PM_ID,0)),""))</f>
        <v/>
      </c>
      <c r="F876" s="8">
        <f>IF($B876="","",IFERROR(INDEX(PM_Brand,MATCH($B876,PM_ID,0)),""))</f>
        <v/>
      </c>
      <c r="G876" s="8">
        <f>IF($B876="","",IFERROR(INDEX(PM_Model,MATCH($B876,PM_ID,0)),""))</f>
        <v/>
      </c>
      <c r="H876" s="5" t="n"/>
      <c r="I876" s="10" t="n"/>
      <c r="J876" s="9" t="n"/>
      <c r="K876" s="5" t="n"/>
      <c r="L876" s="5" t="n"/>
      <c r="M876" s="5" t="n"/>
      <c r="N876" s="5" t="n"/>
      <c r="O876" s="8">
        <f>IF($B876="","",IF(AND($A876&lt;&gt;"",COUNTIF(INV_ID,$A876)&gt;1),"⚠ this Unit ID already exists",IF(AND($H876&lt;&gt;"",COUNTIF(INV_Serial,$H876)&gt;1),"⚠ this serial already exists",IF(COUNTIFS(INV_Product,$B876,INV_No,$C876)&gt;1,"⚠ piece number reused",""))))</f>
        <v/>
      </c>
      <c r="P876" s="5" t="n"/>
    </row>
    <row r="877">
      <c r="A877" s="8">
        <f>IF(OR($B877="",$C877=""),"",IFERROR(INDEX(PM_Short,MATCH($B877,PM_ID,0))&amp;"-"&amp;TEXT($C877,"00"),"?? no such product"))</f>
        <v/>
      </c>
      <c r="B877" s="5" t="n"/>
      <c r="C877" s="5" t="n"/>
      <c r="D877" s="8">
        <f>IF($B877="","",IFERROR(INDEX(PM_Category,MATCH($B877,PM_ID,0)),""))</f>
        <v/>
      </c>
      <c r="E877" s="8">
        <f>IF($B877="","",IFERROR(INDEX(PM_Subcategory,MATCH($B877,PM_ID,0)),""))</f>
        <v/>
      </c>
      <c r="F877" s="8">
        <f>IF($B877="","",IFERROR(INDEX(PM_Brand,MATCH($B877,PM_ID,0)),""))</f>
        <v/>
      </c>
      <c r="G877" s="8">
        <f>IF($B877="","",IFERROR(INDEX(PM_Model,MATCH($B877,PM_ID,0)),""))</f>
        <v/>
      </c>
      <c r="H877" s="5" t="n"/>
      <c r="I877" s="10" t="n"/>
      <c r="J877" s="9" t="n"/>
      <c r="K877" s="5" t="n"/>
      <c r="L877" s="5" t="n"/>
      <c r="M877" s="5" t="n"/>
      <c r="N877" s="5" t="n"/>
      <c r="O877" s="8">
        <f>IF($B877="","",IF(AND($A877&lt;&gt;"",COUNTIF(INV_ID,$A877)&gt;1),"⚠ this Unit ID already exists",IF(AND($H877&lt;&gt;"",COUNTIF(INV_Serial,$H877)&gt;1),"⚠ this serial already exists",IF(COUNTIFS(INV_Product,$B877,INV_No,$C877)&gt;1,"⚠ piece number reused",""))))</f>
        <v/>
      </c>
      <c r="P877" s="5" t="n"/>
    </row>
    <row r="878">
      <c r="A878" s="8">
        <f>IF(OR($B878="",$C878=""),"",IFERROR(INDEX(PM_Short,MATCH($B878,PM_ID,0))&amp;"-"&amp;TEXT($C878,"00"),"?? no such product"))</f>
        <v/>
      </c>
      <c r="B878" s="5" t="n"/>
      <c r="C878" s="5" t="n"/>
      <c r="D878" s="8">
        <f>IF($B878="","",IFERROR(INDEX(PM_Category,MATCH($B878,PM_ID,0)),""))</f>
        <v/>
      </c>
      <c r="E878" s="8">
        <f>IF($B878="","",IFERROR(INDEX(PM_Subcategory,MATCH($B878,PM_ID,0)),""))</f>
        <v/>
      </c>
      <c r="F878" s="8">
        <f>IF($B878="","",IFERROR(INDEX(PM_Brand,MATCH($B878,PM_ID,0)),""))</f>
        <v/>
      </c>
      <c r="G878" s="8">
        <f>IF($B878="","",IFERROR(INDEX(PM_Model,MATCH($B878,PM_ID,0)),""))</f>
        <v/>
      </c>
      <c r="H878" s="5" t="n"/>
      <c r="I878" s="10" t="n"/>
      <c r="J878" s="9" t="n"/>
      <c r="K878" s="5" t="n"/>
      <c r="L878" s="5" t="n"/>
      <c r="M878" s="5" t="n"/>
      <c r="N878" s="5" t="n"/>
      <c r="O878" s="8">
        <f>IF($B878="","",IF(AND($A878&lt;&gt;"",COUNTIF(INV_ID,$A878)&gt;1),"⚠ this Unit ID already exists",IF(AND($H878&lt;&gt;"",COUNTIF(INV_Serial,$H878)&gt;1),"⚠ this serial already exists",IF(COUNTIFS(INV_Product,$B878,INV_No,$C878)&gt;1,"⚠ piece number reused",""))))</f>
        <v/>
      </c>
      <c r="P878" s="5" t="n"/>
    </row>
    <row r="879">
      <c r="A879" s="8">
        <f>IF(OR($B879="",$C879=""),"",IFERROR(INDEX(PM_Short,MATCH($B879,PM_ID,0))&amp;"-"&amp;TEXT($C879,"00"),"?? no such product"))</f>
        <v/>
      </c>
      <c r="B879" s="5" t="n"/>
      <c r="C879" s="5" t="n"/>
      <c r="D879" s="8">
        <f>IF($B879="","",IFERROR(INDEX(PM_Category,MATCH($B879,PM_ID,0)),""))</f>
        <v/>
      </c>
      <c r="E879" s="8">
        <f>IF($B879="","",IFERROR(INDEX(PM_Subcategory,MATCH($B879,PM_ID,0)),""))</f>
        <v/>
      </c>
      <c r="F879" s="8">
        <f>IF($B879="","",IFERROR(INDEX(PM_Brand,MATCH($B879,PM_ID,0)),""))</f>
        <v/>
      </c>
      <c r="G879" s="8">
        <f>IF($B879="","",IFERROR(INDEX(PM_Model,MATCH($B879,PM_ID,0)),""))</f>
        <v/>
      </c>
      <c r="H879" s="5" t="n"/>
      <c r="I879" s="10" t="n"/>
      <c r="J879" s="9" t="n"/>
      <c r="K879" s="5" t="n"/>
      <c r="L879" s="5" t="n"/>
      <c r="M879" s="5" t="n"/>
      <c r="N879" s="5" t="n"/>
      <c r="O879" s="8">
        <f>IF($B879="","",IF(AND($A879&lt;&gt;"",COUNTIF(INV_ID,$A879)&gt;1),"⚠ this Unit ID already exists",IF(AND($H879&lt;&gt;"",COUNTIF(INV_Serial,$H879)&gt;1),"⚠ this serial already exists",IF(COUNTIFS(INV_Product,$B879,INV_No,$C879)&gt;1,"⚠ piece number reused",""))))</f>
        <v/>
      </c>
      <c r="P879" s="5" t="n"/>
    </row>
    <row r="880">
      <c r="A880" s="8">
        <f>IF(OR($B880="",$C880=""),"",IFERROR(INDEX(PM_Short,MATCH($B880,PM_ID,0))&amp;"-"&amp;TEXT($C880,"00"),"?? no such product"))</f>
        <v/>
      </c>
      <c r="B880" s="5" t="n"/>
      <c r="C880" s="5" t="n"/>
      <c r="D880" s="8">
        <f>IF($B880="","",IFERROR(INDEX(PM_Category,MATCH($B880,PM_ID,0)),""))</f>
        <v/>
      </c>
      <c r="E880" s="8">
        <f>IF($B880="","",IFERROR(INDEX(PM_Subcategory,MATCH($B880,PM_ID,0)),""))</f>
        <v/>
      </c>
      <c r="F880" s="8">
        <f>IF($B880="","",IFERROR(INDEX(PM_Brand,MATCH($B880,PM_ID,0)),""))</f>
        <v/>
      </c>
      <c r="G880" s="8">
        <f>IF($B880="","",IFERROR(INDEX(PM_Model,MATCH($B880,PM_ID,0)),""))</f>
        <v/>
      </c>
      <c r="H880" s="5" t="n"/>
      <c r="I880" s="10" t="n"/>
      <c r="J880" s="9" t="n"/>
      <c r="K880" s="5" t="n"/>
      <c r="L880" s="5" t="n"/>
      <c r="M880" s="5" t="n"/>
      <c r="N880" s="5" t="n"/>
      <c r="O880" s="8">
        <f>IF($B880="","",IF(AND($A880&lt;&gt;"",COUNTIF(INV_ID,$A880)&gt;1),"⚠ this Unit ID already exists",IF(AND($H880&lt;&gt;"",COUNTIF(INV_Serial,$H880)&gt;1),"⚠ this serial already exists",IF(COUNTIFS(INV_Product,$B880,INV_No,$C880)&gt;1,"⚠ piece number reused",""))))</f>
        <v/>
      </c>
      <c r="P880" s="5" t="n"/>
    </row>
    <row r="881">
      <c r="A881" s="8">
        <f>IF(OR($B881="",$C881=""),"",IFERROR(INDEX(PM_Short,MATCH($B881,PM_ID,0))&amp;"-"&amp;TEXT($C881,"00"),"?? no such product"))</f>
        <v/>
      </c>
      <c r="B881" s="5" t="n"/>
      <c r="C881" s="5" t="n"/>
      <c r="D881" s="8">
        <f>IF($B881="","",IFERROR(INDEX(PM_Category,MATCH($B881,PM_ID,0)),""))</f>
        <v/>
      </c>
      <c r="E881" s="8">
        <f>IF($B881="","",IFERROR(INDEX(PM_Subcategory,MATCH($B881,PM_ID,0)),""))</f>
        <v/>
      </c>
      <c r="F881" s="8">
        <f>IF($B881="","",IFERROR(INDEX(PM_Brand,MATCH($B881,PM_ID,0)),""))</f>
        <v/>
      </c>
      <c r="G881" s="8">
        <f>IF($B881="","",IFERROR(INDEX(PM_Model,MATCH($B881,PM_ID,0)),""))</f>
        <v/>
      </c>
      <c r="H881" s="5" t="n"/>
      <c r="I881" s="10" t="n"/>
      <c r="J881" s="9" t="n"/>
      <c r="K881" s="5" t="n"/>
      <c r="L881" s="5" t="n"/>
      <c r="M881" s="5" t="n"/>
      <c r="N881" s="5" t="n"/>
      <c r="O881" s="8">
        <f>IF($B881="","",IF(AND($A881&lt;&gt;"",COUNTIF(INV_ID,$A881)&gt;1),"⚠ this Unit ID already exists",IF(AND($H881&lt;&gt;"",COUNTIF(INV_Serial,$H881)&gt;1),"⚠ this serial already exists",IF(COUNTIFS(INV_Product,$B881,INV_No,$C881)&gt;1,"⚠ piece number reused",""))))</f>
        <v/>
      </c>
      <c r="P881" s="5" t="n"/>
    </row>
    <row r="882">
      <c r="A882" s="8">
        <f>IF(OR($B882="",$C882=""),"",IFERROR(INDEX(PM_Short,MATCH($B882,PM_ID,0))&amp;"-"&amp;TEXT($C882,"00"),"?? no such product"))</f>
        <v/>
      </c>
      <c r="B882" s="5" t="n"/>
      <c r="C882" s="5" t="n"/>
      <c r="D882" s="8">
        <f>IF($B882="","",IFERROR(INDEX(PM_Category,MATCH($B882,PM_ID,0)),""))</f>
        <v/>
      </c>
      <c r="E882" s="8">
        <f>IF($B882="","",IFERROR(INDEX(PM_Subcategory,MATCH($B882,PM_ID,0)),""))</f>
        <v/>
      </c>
      <c r="F882" s="8">
        <f>IF($B882="","",IFERROR(INDEX(PM_Brand,MATCH($B882,PM_ID,0)),""))</f>
        <v/>
      </c>
      <c r="G882" s="8">
        <f>IF($B882="","",IFERROR(INDEX(PM_Model,MATCH($B882,PM_ID,0)),""))</f>
        <v/>
      </c>
      <c r="H882" s="5" t="n"/>
      <c r="I882" s="10" t="n"/>
      <c r="J882" s="9" t="n"/>
      <c r="K882" s="5" t="n"/>
      <c r="L882" s="5" t="n"/>
      <c r="M882" s="5" t="n"/>
      <c r="N882" s="5" t="n"/>
      <c r="O882" s="8">
        <f>IF($B882="","",IF(AND($A882&lt;&gt;"",COUNTIF(INV_ID,$A882)&gt;1),"⚠ this Unit ID already exists",IF(AND($H882&lt;&gt;"",COUNTIF(INV_Serial,$H882)&gt;1),"⚠ this serial already exists",IF(COUNTIFS(INV_Product,$B882,INV_No,$C882)&gt;1,"⚠ piece number reused",""))))</f>
        <v/>
      </c>
      <c r="P882" s="5" t="n"/>
    </row>
    <row r="883">
      <c r="A883" s="8">
        <f>IF(OR($B883="",$C883=""),"",IFERROR(INDEX(PM_Short,MATCH($B883,PM_ID,0))&amp;"-"&amp;TEXT($C883,"00"),"?? no such product"))</f>
        <v/>
      </c>
      <c r="B883" s="5" t="n"/>
      <c r="C883" s="5" t="n"/>
      <c r="D883" s="8">
        <f>IF($B883="","",IFERROR(INDEX(PM_Category,MATCH($B883,PM_ID,0)),""))</f>
        <v/>
      </c>
      <c r="E883" s="8">
        <f>IF($B883="","",IFERROR(INDEX(PM_Subcategory,MATCH($B883,PM_ID,0)),""))</f>
        <v/>
      </c>
      <c r="F883" s="8">
        <f>IF($B883="","",IFERROR(INDEX(PM_Brand,MATCH($B883,PM_ID,0)),""))</f>
        <v/>
      </c>
      <c r="G883" s="8">
        <f>IF($B883="","",IFERROR(INDEX(PM_Model,MATCH($B883,PM_ID,0)),""))</f>
        <v/>
      </c>
      <c r="H883" s="5" t="n"/>
      <c r="I883" s="10" t="n"/>
      <c r="J883" s="9" t="n"/>
      <c r="K883" s="5" t="n"/>
      <c r="L883" s="5" t="n"/>
      <c r="M883" s="5" t="n"/>
      <c r="N883" s="5" t="n"/>
      <c r="O883" s="8">
        <f>IF($B883="","",IF(AND($A883&lt;&gt;"",COUNTIF(INV_ID,$A883)&gt;1),"⚠ this Unit ID already exists",IF(AND($H883&lt;&gt;"",COUNTIF(INV_Serial,$H883)&gt;1),"⚠ this serial already exists",IF(COUNTIFS(INV_Product,$B883,INV_No,$C883)&gt;1,"⚠ piece number reused",""))))</f>
        <v/>
      </c>
      <c r="P883" s="5" t="n"/>
    </row>
    <row r="884">
      <c r="A884" s="8">
        <f>IF(OR($B884="",$C884=""),"",IFERROR(INDEX(PM_Short,MATCH($B884,PM_ID,0))&amp;"-"&amp;TEXT($C884,"00"),"?? no such product"))</f>
        <v/>
      </c>
      <c r="B884" s="5" t="n"/>
      <c r="C884" s="5" t="n"/>
      <c r="D884" s="8">
        <f>IF($B884="","",IFERROR(INDEX(PM_Category,MATCH($B884,PM_ID,0)),""))</f>
        <v/>
      </c>
      <c r="E884" s="8">
        <f>IF($B884="","",IFERROR(INDEX(PM_Subcategory,MATCH($B884,PM_ID,0)),""))</f>
        <v/>
      </c>
      <c r="F884" s="8">
        <f>IF($B884="","",IFERROR(INDEX(PM_Brand,MATCH($B884,PM_ID,0)),""))</f>
        <v/>
      </c>
      <c r="G884" s="8">
        <f>IF($B884="","",IFERROR(INDEX(PM_Model,MATCH($B884,PM_ID,0)),""))</f>
        <v/>
      </c>
      <c r="H884" s="5" t="n"/>
      <c r="I884" s="10" t="n"/>
      <c r="J884" s="9" t="n"/>
      <c r="K884" s="5" t="n"/>
      <c r="L884" s="5" t="n"/>
      <c r="M884" s="5" t="n"/>
      <c r="N884" s="5" t="n"/>
      <c r="O884" s="8">
        <f>IF($B884="","",IF(AND($A884&lt;&gt;"",COUNTIF(INV_ID,$A884)&gt;1),"⚠ this Unit ID already exists",IF(AND($H884&lt;&gt;"",COUNTIF(INV_Serial,$H884)&gt;1),"⚠ this serial already exists",IF(COUNTIFS(INV_Product,$B884,INV_No,$C884)&gt;1,"⚠ piece number reused",""))))</f>
        <v/>
      </c>
      <c r="P884" s="5" t="n"/>
    </row>
    <row r="885">
      <c r="A885" s="8">
        <f>IF(OR($B885="",$C885=""),"",IFERROR(INDEX(PM_Short,MATCH($B885,PM_ID,0))&amp;"-"&amp;TEXT($C885,"00"),"?? no such product"))</f>
        <v/>
      </c>
      <c r="B885" s="5" t="n"/>
      <c r="C885" s="5" t="n"/>
      <c r="D885" s="8">
        <f>IF($B885="","",IFERROR(INDEX(PM_Category,MATCH($B885,PM_ID,0)),""))</f>
        <v/>
      </c>
      <c r="E885" s="8">
        <f>IF($B885="","",IFERROR(INDEX(PM_Subcategory,MATCH($B885,PM_ID,0)),""))</f>
        <v/>
      </c>
      <c r="F885" s="8">
        <f>IF($B885="","",IFERROR(INDEX(PM_Brand,MATCH($B885,PM_ID,0)),""))</f>
        <v/>
      </c>
      <c r="G885" s="8">
        <f>IF($B885="","",IFERROR(INDEX(PM_Model,MATCH($B885,PM_ID,0)),""))</f>
        <v/>
      </c>
      <c r="H885" s="5" t="n"/>
      <c r="I885" s="10" t="n"/>
      <c r="J885" s="9" t="n"/>
      <c r="K885" s="5" t="n"/>
      <c r="L885" s="5" t="n"/>
      <c r="M885" s="5" t="n"/>
      <c r="N885" s="5" t="n"/>
      <c r="O885" s="8">
        <f>IF($B885="","",IF(AND($A885&lt;&gt;"",COUNTIF(INV_ID,$A885)&gt;1),"⚠ this Unit ID already exists",IF(AND($H885&lt;&gt;"",COUNTIF(INV_Serial,$H885)&gt;1),"⚠ this serial already exists",IF(COUNTIFS(INV_Product,$B885,INV_No,$C885)&gt;1,"⚠ piece number reused",""))))</f>
        <v/>
      </c>
      <c r="P885" s="5" t="n"/>
    </row>
    <row r="886">
      <c r="A886" s="8">
        <f>IF(OR($B886="",$C886=""),"",IFERROR(INDEX(PM_Short,MATCH($B886,PM_ID,0))&amp;"-"&amp;TEXT($C886,"00"),"?? no such product"))</f>
        <v/>
      </c>
      <c r="B886" s="5" t="n"/>
      <c r="C886" s="5" t="n"/>
      <c r="D886" s="8">
        <f>IF($B886="","",IFERROR(INDEX(PM_Category,MATCH($B886,PM_ID,0)),""))</f>
        <v/>
      </c>
      <c r="E886" s="8">
        <f>IF($B886="","",IFERROR(INDEX(PM_Subcategory,MATCH($B886,PM_ID,0)),""))</f>
        <v/>
      </c>
      <c r="F886" s="8">
        <f>IF($B886="","",IFERROR(INDEX(PM_Brand,MATCH($B886,PM_ID,0)),""))</f>
        <v/>
      </c>
      <c r="G886" s="8">
        <f>IF($B886="","",IFERROR(INDEX(PM_Model,MATCH($B886,PM_ID,0)),""))</f>
        <v/>
      </c>
      <c r="H886" s="5" t="n"/>
      <c r="I886" s="10" t="n"/>
      <c r="J886" s="9" t="n"/>
      <c r="K886" s="5" t="n"/>
      <c r="L886" s="5" t="n"/>
      <c r="M886" s="5" t="n"/>
      <c r="N886" s="5" t="n"/>
      <c r="O886" s="8">
        <f>IF($B886="","",IF(AND($A886&lt;&gt;"",COUNTIF(INV_ID,$A886)&gt;1),"⚠ this Unit ID already exists",IF(AND($H886&lt;&gt;"",COUNTIF(INV_Serial,$H886)&gt;1),"⚠ this serial already exists",IF(COUNTIFS(INV_Product,$B886,INV_No,$C886)&gt;1,"⚠ piece number reused",""))))</f>
        <v/>
      </c>
      <c r="P886" s="5" t="n"/>
    </row>
    <row r="887">
      <c r="A887" s="8">
        <f>IF(OR($B887="",$C887=""),"",IFERROR(INDEX(PM_Short,MATCH($B887,PM_ID,0))&amp;"-"&amp;TEXT($C887,"00"),"?? no such product"))</f>
        <v/>
      </c>
      <c r="B887" s="5" t="n"/>
      <c r="C887" s="5" t="n"/>
      <c r="D887" s="8">
        <f>IF($B887="","",IFERROR(INDEX(PM_Category,MATCH($B887,PM_ID,0)),""))</f>
        <v/>
      </c>
      <c r="E887" s="8">
        <f>IF($B887="","",IFERROR(INDEX(PM_Subcategory,MATCH($B887,PM_ID,0)),""))</f>
        <v/>
      </c>
      <c r="F887" s="8">
        <f>IF($B887="","",IFERROR(INDEX(PM_Brand,MATCH($B887,PM_ID,0)),""))</f>
        <v/>
      </c>
      <c r="G887" s="8">
        <f>IF($B887="","",IFERROR(INDEX(PM_Model,MATCH($B887,PM_ID,0)),""))</f>
        <v/>
      </c>
      <c r="H887" s="5" t="n"/>
      <c r="I887" s="10" t="n"/>
      <c r="J887" s="9" t="n"/>
      <c r="K887" s="5" t="n"/>
      <c r="L887" s="5" t="n"/>
      <c r="M887" s="5" t="n"/>
      <c r="N887" s="5" t="n"/>
      <c r="O887" s="8">
        <f>IF($B887="","",IF(AND($A887&lt;&gt;"",COUNTIF(INV_ID,$A887)&gt;1),"⚠ this Unit ID already exists",IF(AND($H887&lt;&gt;"",COUNTIF(INV_Serial,$H887)&gt;1),"⚠ this serial already exists",IF(COUNTIFS(INV_Product,$B887,INV_No,$C887)&gt;1,"⚠ piece number reused",""))))</f>
        <v/>
      </c>
      <c r="P887" s="5" t="n"/>
    </row>
    <row r="888">
      <c r="A888" s="8">
        <f>IF(OR($B888="",$C888=""),"",IFERROR(INDEX(PM_Short,MATCH($B888,PM_ID,0))&amp;"-"&amp;TEXT($C888,"00"),"?? no such product"))</f>
        <v/>
      </c>
      <c r="B888" s="5" t="n"/>
      <c r="C888" s="5" t="n"/>
      <c r="D888" s="8">
        <f>IF($B888="","",IFERROR(INDEX(PM_Category,MATCH($B888,PM_ID,0)),""))</f>
        <v/>
      </c>
      <c r="E888" s="8">
        <f>IF($B888="","",IFERROR(INDEX(PM_Subcategory,MATCH($B888,PM_ID,0)),""))</f>
        <v/>
      </c>
      <c r="F888" s="8">
        <f>IF($B888="","",IFERROR(INDEX(PM_Brand,MATCH($B888,PM_ID,0)),""))</f>
        <v/>
      </c>
      <c r="G888" s="8">
        <f>IF($B888="","",IFERROR(INDEX(PM_Model,MATCH($B888,PM_ID,0)),""))</f>
        <v/>
      </c>
      <c r="H888" s="5" t="n"/>
      <c r="I888" s="10" t="n"/>
      <c r="J888" s="9" t="n"/>
      <c r="K888" s="5" t="n"/>
      <c r="L888" s="5" t="n"/>
      <c r="M888" s="5" t="n"/>
      <c r="N888" s="5" t="n"/>
      <c r="O888" s="8">
        <f>IF($B888="","",IF(AND($A888&lt;&gt;"",COUNTIF(INV_ID,$A888)&gt;1),"⚠ this Unit ID already exists",IF(AND($H888&lt;&gt;"",COUNTIF(INV_Serial,$H888)&gt;1),"⚠ this serial already exists",IF(COUNTIFS(INV_Product,$B888,INV_No,$C888)&gt;1,"⚠ piece number reused",""))))</f>
        <v/>
      </c>
      <c r="P888" s="5" t="n"/>
    </row>
    <row r="889">
      <c r="A889" s="8">
        <f>IF(OR($B889="",$C889=""),"",IFERROR(INDEX(PM_Short,MATCH($B889,PM_ID,0))&amp;"-"&amp;TEXT($C889,"00"),"?? no such product"))</f>
        <v/>
      </c>
      <c r="B889" s="5" t="n"/>
      <c r="C889" s="5" t="n"/>
      <c r="D889" s="8">
        <f>IF($B889="","",IFERROR(INDEX(PM_Category,MATCH($B889,PM_ID,0)),""))</f>
        <v/>
      </c>
      <c r="E889" s="8">
        <f>IF($B889="","",IFERROR(INDEX(PM_Subcategory,MATCH($B889,PM_ID,0)),""))</f>
        <v/>
      </c>
      <c r="F889" s="8">
        <f>IF($B889="","",IFERROR(INDEX(PM_Brand,MATCH($B889,PM_ID,0)),""))</f>
        <v/>
      </c>
      <c r="G889" s="8">
        <f>IF($B889="","",IFERROR(INDEX(PM_Model,MATCH($B889,PM_ID,0)),""))</f>
        <v/>
      </c>
      <c r="H889" s="5" t="n"/>
      <c r="I889" s="10" t="n"/>
      <c r="J889" s="9" t="n"/>
      <c r="K889" s="5" t="n"/>
      <c r="L889" s="5" t="n"/>
      <c r="M889" s="5" t="n"/>
      <c r="N889" s="5" t="n"/>
      <c r="O889" s="8">
        <f>IF($B889="","",IF(AND($A889&lt;&gt;"",COUNTIF(INV_ID,$A889)&gt;1),"⚠ this Unit ID already exists",IF(AND($H889&lt;&gt;"",COUNTIF(INV_Serial,$H889)&gt;1),"⚠ this serial already exists",IF(COUNTIFS(INV_Product,$B889,INV_No,$C889)&gt;1,"⚠ piece number reused",""))))</f>
        <v/>
      </c>
      <c r="P889" s="5" t="n"/>
    </row>
    <row r="890">
      <c r="A890" s="8">
        <f>IF(OR($B890="",$C890=""),"",IFERROR(INDEX(PM_Short,MATCH($B890,PM_ID,0))&amp;"-"&amp;TEXT($C890,"00"),"?? no such product"))</f>
        <v/>
      </c>
      <c r="B890" s="5" t="n"/>
      <c r="C890" s="5" t="n"/>
      <c r="D890" s="8">
        <f>IF($B890="","",IFERROR(INDEX(PM_Category,MATCH($B890,PM_ID,0)),""))</f>
        <v/>
      </c>
      <c r="E890" s="8">
        <f>IF($B890="","",IFERROR(INDEX(PM_Subcategory,MATCH($B890,PM_ID,0)),""))</f>
        <v/>
      </c>
      <c r="F890" s="8">
        <f>IF($B890="","",IFERROR(INDEX(PM_Brand,MATCH($B890,PM_ID,0)),""))</f>
        <v/>
      </c>
      <c r="G890" s="8">
        <f>IF($B890="","",IFERROR(INDEX(PM_Model,MATCH($B890,PM_ID,0)),""))</f>
        <v/>
      </c>
      <c r="H890" s="5" t="n"/>
      <c r="I890" s="10" t="n"/>
      <c r="J890" s="9" t="n"/>
      <c r="K890" s="5" t="n"/>
      <c r="L890" s="5" t="n"/>
      <c r="M890" s="5" t="n"/>
      <c r="N890" s="5" t="n"/>
      <c r="O890" s="8">
        <f>IF($B890="","",IF(AND($A890&lt;&gt;"",COUNTIF(INV_ID,$A890)&gt;1),"⚠ this Unit ID already exists",IF(AND($H890&lt;&gt;"",COUNTIF(INV_Serial,$H890)&gt;1),"⚠ this serial already exists",IF(COUNTIFS(INV_Product,$B890,INV_No,$C890)&gt;1,"⚠ piece number reused",""))))</f>
        <v/>
      </c>
      <c r="P890" s="5" t="n"/>
    </row>
    <row r="891">
      <c r="A891" s="8">
        <f>IF(OR($B891="",$C891=""),"",IFERROR(INDEX(PM_Short,MATCH($B891,PM_ID,0))&amp;"-"&amp;TEXT($C891,"00"),"?? no such product"))</f>
        <v/>
      </c>
      <c r="B891" s="5" t="n"/>
      <c r="C891" s="5" t="n"/>
      <c r="D891" s="8">
        <f>IF($B891="","",IFERROR(INDEX(PM_Category,MATCH($B891,PM_ID,0)),""))</f>
        <v/>
      </c>
      <c r="E891" s="8">
        <f>IF($B891="","",IFERROR(INDEX(PM_Subcategory,MATCH($B891,PM_ID,0)),""))</f>
        <v/>
      </c>
      <c r="F891" s="8">
        <f>IF($B891="","",IFERROR(INDEX(PM_Brand,MATCH($B891,PM_ID,0)),""))</f>
        <v/>
      </c>
      <c r="G891" s="8">
        <f>IF($B891="","",IFERROR(INDEX(PM_Model,MATCH($B891,PM_ID,0)),""))</f>
        <v/>
      </c>
      <c r="H891" s="5" t="n"/>
      <c r="I891" s="10" t="n"/>
      <c r="J891" s="9" t="n"/>
      <c r="K891" s="5" t="n"/>
      <c r="L891" s="5" t="n"/>
      <c r="M891" s="5" t="n"/>
      <c r="N891" s="5" t="n"/>
      <c r="O891" s="8">
        <f>IF($B891="","",IF(AND($A891&lt;&gt;"",COUNTIF(INV_ID,$A891)&gt;1),"⚠ this Unit ID already exists",IF(AND($H891&lt;&gt;"",COUNTIF(INV_Serial,$H891)&gt;1),"⚠ this serial already exists",IF(COUNTIFS(INV_Product,$B891,INV_No,$C891)&gt;1,"⚠ piece number reused",""))))</f>
        <v/>
      </c>
      <c r="P891" s="5" t="n"/>
    </row>
    <row r="892">
      <c r="A892" s="8">
        <f>IF(OR($B892="",$C892=""),"",IFERROR(INDEX(PM_Short,MATCH($B892,PM_ID,0))&amp;"-"&amp;TEXT($C892,"00"),"?? no such product"))</f>
        <v/>
      </c>
      <c r="B892" s="5" t="n"/>
      <c r="C892" s="5" t="n"/>
      <c r="D892" s="8">
        <f>IF($B892="","",IFERROR(INDEX(PM_Category,MATCH($B892,PM_ID,0)),""))</f>
        <v/>
      </c>
      <c r="E892" s="8">
        <f>IF($B892="","",IFERROR(INDEX(PM_Subcategory,MATCH($B892,PM_ID,0)),""))</f>
        <v/>
      </c>
      <c r="F892" s="8">
        <f>IF($B892="","",IFERROR(INDEX(PM_Brand,MATCH($B892,PM_ID,0)),""))</f>
        <v/>
      </c>
      <c r="G892" s="8">
        <f>IF($B892="","",IFERROR(INDEX(PM_Model,MATCH($B892,PM_ID,0)),""))</f>
        <v/>
      </c>
      <c r="H892" s="5" t="n"/>
      <c r="I892" s="10" t="n"/>
      <c r="J892" s="9" t="n"/>
      <c r="K892" s="5" t="n"/>
      <c r="L892" s="5" t="n"/>
      <c r="M892" s="5" t="n"/>
      <c r="N892" s="5" t="n"/>
      <c r="O892" s="8">
        <f>IF($B892="","",IF(AND($A892&lt;&gt;"",COUNTIF(INV_ID,$A892)&gt;1),"⚠ this Unit ID already exists",IF(AND($H892&lt;&gt;"",COUNTIF(INV_Serial,$H892)&gt;1),"⚠ this serial already exists",IF(COUNTIFS(INV_Product,$B892,INV_No,$C892)&gt;1,"⚠ piece number reused",""))))</f>
        <v/>
      </c>
      <c r="P892" s="5" t="n"/>
    </row>
    <row r="893">
      <c r="A893" s="8">
        <f>IF(OR($B893="",$C893=""),"",IFERROR(INDEX(PM_Short,MATCH($B893,PM_ID,0))&amp;"-"&amp;TEXT($C893,"00"),"?? no such product"))</f>
        <v/>
      </c>
      <c r="B893" s="5" t="n"/>
      <c r="C893" s="5" t="n"/>
      <c r="D893" s="8">
        <f>IF($B893="","",IFERROR(INDEX(PM_Category,MATCH($B893,PM_ID,0)),""))</f>
        <v/>
      </c>
      <c r="E893" s="8">
        <f>IF($B893="","",IFERROR(INDEX(PM_Subcategory,MATCH($B893,PM_ID,0)),""))</f>
        <v/>
      </c>
      <c r="F893" s="8">
        <f>IF($B893="","",IFERROR(INDEX(PM_Brand,MATCH($B893,PM_ID,0)),""))</f>
        <v/>
      </c>
      <c r="G893" s="8">
        <f>IF($B893="","",IFERROR(INDEX(PM_Model,MATCH($B893,PM_ID,0)),""))</f>
        <v/>
      </c>
      <c r="H893" s="5" t="n"/>
      <c r="I893" s="10" t="n"/>
      <c r="J893" s="9" t="n"/>
      <c r="K893" s="5" t="n"/>
      <c r="L893" s="5" t="n"/>
      <c r="M893" s="5" t="n"/>
      <c r="N893" s="5" t="n"/>
      <c r="O893" s="8">
        <f>IF($B893="","",IF(AND($A893&lt;&gt;"",COUNTIF(INV_ID,$A893)&gt;1),"⚠ this Unit ID already exists",IF(AND($H893&lt;&gt;"",COUNTIF(INV_Serial,$H893)&gt;1),"⚠ this serial already exists",IF(COUNTIFS(INV_Product,$B893,INV_No,$C893)&gt;1,"⚠ piece number reused",""))))</f>
        <v/>
      </c>
      <c r="P893" s="5" t="n"/>
    </row>
    <row r="894">
      <c r="A894" s="8">
        <f>IF(OR($B894="",$C894=""),"",IFERROR(INDEX(PM_Short,MATCH($B894,PM_ID,0))&amp;"-"&amp;TEXT($C894,"00"),"?? no such product"))</f>
        <v/>
      </c>
      <c r="B894" s="5" t="n"/>
      <c r="C894" s="5" t="n"/>
      <c r="D894" s="8">
        <f>IF($B894="","",IFERROR(INDEX(PM_Category,MATCH($B894,PM_ID,0)),""))</f>
        <v/>
      </c>
      <c r="E894" s="8">
        <f>IF($B894="","",IFERROR(INDEX(PM_Subcategory,MATCH($B894,PM_ID,0)),""))</f>
        <v/>
      </c>
      <c r="F894" s="8">
        <f>IF($B894="","",IFERROR(INDEX(PM_Brand,MATCH($B894,PM_ID,0)),""))</f>
        <v/>
      </c>
      <c r="G894" s="8">
        <f>IF($B894="","",IFERROR(INDEX(PM_Model,MATCH($B894,PM_ID,0)),""))</f>
        <v/>
      </c>
      <c r="H894" s="5" t="n"/>
      <c r="I894" s="10" t="n"/>
      <c r="J894" s="9" t="n"/>
      <c r="K894" s="5" t="n"/>
      <c r="L894" s="5" t="n"/>
      <c r="M894" s="5" t="n"/>
      <c r="N894" s="5" t="n"/>
      <c r="O894" s="8">
        <f>IF($B894="","",IF(AND($A894&lt;&gt;"",COUNTIF(INV_ID,$A894)&gt;1),"⚠ this Unit ID already exists",IF(AND($H894&lt;&gt;"",COUNTIF(INV_Serial,$H894)&gt;1),"⚠ this serial already exists",IF(COUNTIFS(INV_Product,$B894,INV_No,$C894)&gt;1,"⚠ piece number reused",""))))</f>
        <v/>
      </c>
      <c r="P894" s="5" t="n"/>
    </row>
    <row r="895">
      <c r="A895" s="8">
        <f>IF(OR($B895="",$C895=""),"",IFERROR(INDEX(PM_Short,MATCH($B895,PM_ID,0))&amp;"-"&amp;TEXT($C895,"00"),"?? no such product"))</f>
        <v/>
      </c>
      <c r="B895" s="5" t="n"/>
      <c r="C895" s="5" t="n"/>
      <c r="D895" s="8">
        <f>IF($B895="","",IFERROR(INDEX(PM_Category,MATCH($B895,PM_ID,0)),""))</f>
        <v/>
      </c>
      <c r="E895" s="8">
        <f>IF($B895="","",IFERROR(INDEX(PM_Subcategory,MATCH($B895,PM_ID,0)),""))</f>
        <v/>
      </c>
      <c r="F895" s="8">
        <f>IF($B895="","",IFERROR(INDEX(PM_Brand,MATCH($B895,PM_ID,0)),""))</f>
        <v/>
      </c>
      <c r="G895" s="8">
        <f>IF($B895="","",IFERROR(INDEX(PM_Model,MATCH($B895,PM_ID,0)),""))</f>
        <v/>
      </c>
      <c r="H895" s="5" t="n"/>
      <c r="I895" s="10" t="n"/>
      <c r="J895" s="9" t="n"/>
      <c r="K895" s="5" t="n"/>
      <c r="L895" s="5" t="n"/>
      <c r="M895" s="5" t="n"/>
      <c r="N895" s="5" t="n"/>
      <c r="O895" s="8">
        <f>IF($B895="","",IF(AND($A895&lt;&gt;"",COUNTIF(INV_ID,$A895)&gt;1),"⚠ this Unit ID already exists",IF(AND($H895&lt;&gt;"",COUNTIF(INV_Serial,$H895)&gt;1),"⚠ this serial already exists",IF(COUNTIFS(INV_Product,$B895,INV_No,$C895)&gt;1,"⚠ piece number reused",""))))</f>
        <v/>
      </c>
      <c r="P895" s="5" t="n"/>
    </row>
    <row r="896">
      <c r="A896" s="8">
        <f>IF(OR($B896="",$C896=""),"",IFERROR(INDEX(PM_Short,MATCH($B896,PM_ID,0))&amp;"-"&amp;TEXT($C896,"00"),"?? no such product"))</f>
        <v/>
      </c>
      <c r="B896" s="5" t="n"/>
      <c r="C896" s="5" t="n"/>
      <c r="D896" s="8">
        <f>IF($B896="","",IFERROR(INDEX(PM_Category,MATCH($B896,PM_ID,0)),""))</f>
        <v/>
      </c>
      <c r="E896" s="8">
        <f>IF($B896="","",IFERROR(INDEX(PM_Subcategory,MATCH($B896,PM_ID,0)),""))</f>
        <v/>
      </c>
      <c r="F896" s="8">
        <f>IF($B896="","",IFERROR(INDEX(PM_Brand,MATCH($B896,PM_ID,0)),""))</f>
        <v/>
      </c>
      <c r="G896" s="8">
        <f>IF($B896="","",IFERROR(INDEX(PM_Model,MATCH($B896,PM_ID,0)),""))</f>
        <v/>
      </c>
      <c r="H896" s="5" t="n"/>
      <c r="I896" s="10" t="n"/>
      <c r="J896" s="9" t="n"/>
      <c r="K896" s="5" t="n"/>
      <c r="L896" s="5" t="n"/>
      <c r="M896" s="5" t="n"/>
      <c r="N896" s="5" t="n"/>
      <c r="O896" s="8">
        <f>IF($B896="","",IF(AND($A896&lt;&gt;"",COUNTIF(INV_ID,$A896)&gt;1),"⚠ this Unit ID already exists",IF(AND($H896&lt;&gt;"",COUNTIF(INV_Serial,$H896)&gt;1),"⚠ this serial already exists",IF(COUNTIFS(INV_Product,$B896,INV_No,$C896)&gt;1,"⚠ piece number reused",""))))</f>
        <v/>
      </c>
      <c r="P896" s="5" t="n"/>
    </row>
    <row r="897">
      <c r="A897" s="8">
        <f>IF(OR($B897="",$C897=""),"",IFERROR(INDEX(PM_Short,MATCH($B897,PM_ID,0))&amp;"-"&amp;TEXT($C897,"00"),"?? no such product"))</f>
        <v/>
      </c>
      <c r="B897" s="5" t="n"/>
      <c r="C897" s="5" t="n"/>
      <c r="D897" s="8">
        <f>IF($B897="","",IFERROR(INDEX(PM_Category,MATCH($B897,PM_ID,0)),""))</f>
        <v/>
      </c>
      <c r="E897" s="8">
        <f>IF($B897="","",IFERROR(INDEX(PM_Subcategory,MATCH($B897,PM_ID,0)),""))</f>
        <v/>
      </c>
      <c r="F897" s="8">
        <f>IF($B897="","",IFERROR(INDEX(PM_Brand,MATCH($B897,PM_ID,0)),""))</f>
        <v/>
      </c>
      <c r="G897" s="8">
        <f>IF($B897="","",IFERROR(INDEX(PM_Model,MATCH($B897,PM_ID,0)),""))</f>
        <v/>
      </c>
      <c r="H897" s="5" t="n"/>
      <c r="I897" s="10" t="n"/>
      <c r="J897" s="9" t="n"/>
      <c r="K897" s="5" t="n"/>
      <c r="L897" s="5" t="n"/>
      <c r="M897" s="5" t="n"/>
      <c r="N897" s="5" t="n"/>
      <c r="O897" s="8">
        <f>IF($B897="","",IF(AND($A897&lt;&gt;"",COUNTIF(INV_ID,$A897)&gt;1),"⚠ this Unit ID already exists",IF(AND($H897&lt;&gt;"",COUNTIF(INV_Serial,$H897)&gt;1),"⚠ this serial already exists",IF(COUNTIFS(INV_Product,$B897,INV_No,$C897)&gt;1,"⚠ piece number reused",""))))</f>
        <v/>
      </c>
      <c r="P897" s="5" t="n"/>
    </row>
    <row r="898">
      <c r="A898" s="8">
        <f>IF(OR($B898="",$C898=""),"",IFERROR(INDEX(PM_Short,MATCH($B898,PM_ID,0))&amp;"-"&amp;TEXT($C898,"00"),"?? no such product"))</f>
        <v/>
      </c>
      <c r="B898" s="5" t="n"/>
      <c r="C898" s="5" t="n"/>
      <c r="D898" s="8">
        <f>IF($B898="","",IFERROR(INDEX(PM_Category,MATCH($B898,PM_ID,0)),""))</f>
        <v/>
      </c>
      <c r="E898" s="8">
        <f>IF($B898="","",IFERROR(INDEX(PM_Subcategory,MATCH($B898,PM_ID,0)),""))</f>
        <v/>
      </c>
      <c r="F898" s="8">
        <f>IF($B898="","",IFERROR(INDEX(PM_Brand,MATCH($B898,PM_ID,0)),""))</f>
        <v/>
      </c>
      <c r="G898" s="8">
        <f>IF($B898="","",IFERROR(INDEX(PM_Model,MATCH($B898,PM_ID,0)),""))</f>
        <v/>
      </c>
      <c r="H898" s="5" t="n"/>
      <c r="I898" s="10" t="n"/>
      <c r="J898" s="9" t="n"/>
      <c r="K898" s="5" t="n"/>
      <c r="L898" s="5" t="n"/>
      <c r="M898" s="5" t="n"/>
      <c r="N898" s="5" t="n"/>
      <c r="O898" s="8">
        <f>IF($B898="","",IF(AND($A898&lt;&gt;"",COUNTIF(INV_ID,$A898)&gt;1),"⚠ this Unit ID already exists",IF(AND($H898&lt;&gt;"",COUNTIF(INV_Serial,$H898)&gt;1),"⚠ this serial already exists",IF(COUNTIFS(INV_Product,$B898,INV_No,$C898)&gt;1,"⚠ piece number reused",""))))</f>
        <v/>
      </c>
      <c r="P898" s="5" t="n"/>
    </row>
    <row r="899">
      <c r="A899" s="8">
        <f>IF(OR($B899="",$C899=""),"",IFERROR(INDEX(PM_Short,MATCH($B899,PM_ID,0))&amp;"-"&amp;TEXT($C899,"00"),"?? no such product"))</f>
        <v/>
      </c>
      <c r="B899" s="5" t="n"/>
      <c r="C899" s="5" t="n"/>
      <c r="D899" s="8">
        <f>IF($B899="","",IFERROR(INDEX(PM_Category,MATCH($B899,PM_ID,0)),""))</f>
        <v/>
      </c>
      <c r="E899" s="8">
        <f>IF($B899="","",IFERROR(INDEX(PM_Subcategory,MATCH($B899,PM_ID,0)),""))</f>
        <v/>
      </c>
      <c r="F899" s="8">
        <f>IF($B899="","",IFERROR(INDEX(PM_Brand,MATCH($B899,PM_ID,0)),""))</f>
        <v/>
      </c>
      <c r="G899" s="8">
        <f>IF($B899="","",IFERROR(INDEX(PM_Model,MATCH($B899,PM_ID,0)),""))</f>
        <v/>
      </c>
      <c r="H899" s="5" t="n"/>
      <c r="I899" s="10" t="n"/>
      <c r="J899" s="9" t="n"/>
      <c r="K899" s="5" t="n"/>
      <c r="L899" s="5" t="n"/>
      <c r="M899" s="5" t="n"/>
      <c r="N899" s="5" t="n"/>
      <c r="O899" s="8">
        <f>IF($B899="","",IF(AND($A899&lt;&gt;"",COUNTIF(INV_ID,$A899)&gt;1),"⚠ this Unit ID already exists",IF(AND($H899&lt;&gt;"",COUNTIF(INV_Serial,$H899)&gt;1),"⚠ this serial already exists",IF(COUNTIFS(INV_Product,$B899,INV_No,$C899)&gt;1,"⚠ piece number reused",""))))</f>
        <v/>
      </c>
      <c r="P899" s="5" t="n"/>
    </row>
    <row r="900">
      <c r="A900" s="8">
        <f>IF(OR($B900="",$C900=""),"",IFERROR(INDEX(PM_Short,MATCH($B900,PM_ID,0))&amp;"-"&amp;TEXT($C900,"00"),"?? no such product"))</f>
        <v/>
      </c>
      <c r="B900" s="5" t="n"/>
      <c r="C900" s="5" t="n"/>
      <c r="D900" s="8">
        <f>IF($B900="","",IFERROR(INDEX(PM_Category,MATCH($B900,PM_ID,0)),""))</f>
        <v/>
      </c>
      <c r="E900" s="8">
        <f>IF($B900="","",IFERROR(INDEX(PM_Subcategory,MATCH($B900,PM_ID,0)),""))</f>
        <v/>
      </c>
      <c r="F900" s="8">
        <f>IF($B900="","",IFERROR(INDEX(PM_Brand,MATCH($B900,PM_ID,0)),""))</f>
        <v/>
      </c>
      <c r="G900" s="8">
        <f>IF($B900="","",IFERROR(INDEX(PM_Model,MATCH($B900,PM_ID,0)),""))</f>
        <v/>
      </c>
      <c r="H900" s="5" t="n"/>
      <c r="I900" s="10" t="n"/>
      <c r="J900" s="9" t="n"/>
      <c r="K900" s="5" t="n"/>
      <c r="L900" s="5" t="n"/>
      <c r="M900" s="5" t="n"/>
      <c r="N900" s="5" t="n"/>
      <c r="O900" s="8">
        <f>IF($B900="","",IF(AND($A900&lt;&gt;"",COUNTIF(INV_ID,$A900)&gt;1),"⚠ this Unit ID already exists",IF(AND($H900&lt;&gt;"",COUNTIF(INV_Serial,$H900)&gt;1),"⚠ this serial already exists",IF(COUNTIFS(INV_Product,$B900,INV_No,$C900)&gt;1,"⚠ piece number reused",""))))</f>
        <v/>
      </c>
      <c r="P900" s="5" t="n"/>
    </row>
    <row r="901">
      <c r="A901" s="8">
        <f>IF(OR($B901="",$C901=""),"",IFERROR(INDEX(PM_Short,MATCH($B901,PM_ID,0))&amp;"-"&amp;TEXT($C901,"00"),"?? no such product"))</f>
        <v/>
      </c>
      <c r="B901" s="5" t="n"/>
      <c r="C901" s="5" t="n"/>
      <c r="D901" s="8">
        <f>IF($B901="","",IFERROR(INDEX(PM_Category,MATCH($B901,PM_ID,0)),""))</f>
        <v/>
      </c>
      <c r="E901" s="8">
        <f>IF($B901="","",IFERROR(INDEX(PM_Subcategory,MATCH($B901,PM_ID,0)),""))</f>
        <v/>
      </c>
      <c r="F901" s="8">
        <f>IF($B901="","",IFERROR(INDEX(PM_Brand,MATCH($B901,PM_ID,0)),""))</f>
        <v/>
      </c>
      <c r="G901" s="8">
        <f>IF($B901="","",IFERROR(INDEX(PM_Model,MATCH($B901,PM_ID,0)),""))</f>
        <v/>
      </c>
      <c r="H901" s="5" t="n"/>
      <c r="I901" s="10" t="n"/>
      <c r="J901" s="9" t="n"/>
      <c r="K901" s="5" t="n"/>
      <c r="L901" s="5" t="n"/>
      <c r="M901" s="5" t="n"/>
      <c r="N901" s="5" t="n"/>
      <c r="O901" s="8">
        <f>IF($B901="","",IF(AND($A901&lt;&gt;"",COUNTIF(INV_ID,$A901)&gt;1),"⚠ this Unit ID already exists",IF(AND($H901&lt;&gt;"",COUNTIF(INV_Serial,$H901)&gt;1),"⚠ this serial already exists",IF(COUNTIFS(INV_Product,$B901,INV_No,$C901)&gt;1,"⚠ piece number reused",""))))</f>
        <v/>
      </c>
      <c r="P901" s="5" t="n"/>
    </row>
    <row r="902">
      <c r="A902" s="8">
        <f>IF(OR($B902="",$C902=""),"",IFERROR(INDEX(PM_Short,MATCH($B902,PM_ID,0))&amp;"-"&amp;TEXT($C902,"00"),"?? no such product"))</f>
        <v/>
      </c>
      <c r="B902" s="5" t="n"/>
      <c r="C902" s="5" t="n"/>
      <c r="D902" s="8">
        <f>IF($B902="","",IFERROR(INDEX(PM_Category,MATCH($B902,PM_ID,0)),""))</f>
        <v/>
      </c>
      <c r="E902" s="8">
        <f>IF($B902="","",IFERROR(INDEX(PM_Subcategory,MATCH($B902,PM_ID,0)),""))</f>
        <v/>
      </c>
      <c r="F902" s="8">
        <f>IF($B902="","",IFERROR(INDEX(PM_Brand,MATCH($B902,PM_ID,0)),""))</f>
        <v/>
      </c>
      <c r="G902" s="8">
        <f>IF($B902="","",IFERROR(INDEX(PM_Model,MATCH($B902,PM_ID,0)),""))</f>
        <v/>
      </c>
      <c r="H902" s="5" t="n"/>
      <c r="I902" s="10" t="n"/>
      <c r="J902" s="9" t="n"/>
      <c r="K902" s="5" t="n"/>
      <c r="L902" s="5" t="n"/>
      <c r="M902" s="5" t="n"/>
      <c r="N902" s="5" t="n"/>
      <c r="O902" s="8">
        <f>IF($B902="","",IF(AND($A902&lt;&gt;"",COUNTIF(INV_ID,$A902)&gt;1),"⚠ this Unit ID already exists",IF(AND($H902&lt;&gt;"",COUNTIF(INV_Serial,$H902)&gt;1),"⚠ this serial already exists",IF(COUNTIFS(INV_Product,$B902,INV_No,$C902)&gt;1,"⚠ piece number reused",""))))</f>
        <v/>
      </c>
      <c r="P902" s="5" t="n"/>
    </row>
    <row r="903">
      <c r="A903" s="8">
        <f>IF(OR($B903="",$C903=""),"",IFERROR(INDEX(PM_Short,MATCH($B903,PM_ID,0))&amp;"-"&amp;TEXT($C903,"00"),"?? no such product"))</f>
        <v/>
      </c>
      <c r="B903" s="5" t="n"/>
      <c r="C903" s="5" t="n"/>
      <c r="D903" s="8">
        <f>IF($B903="","",IFERROR(INDEX(PM_Category,MATCH($B903,PM_ID,0)),""))</f>
        <v/>
      </c>
      <c r="E903" s="8">
        <f>IF($B903="","",IFERROR(INDEX(PM_Subcategory,MATCH($B903,PM_ID,0)),""))</f>
        <v/>
      </c>
      <c r="F903" s="8">
        <f>IF($B903="","",IFERROR(INDEX(PM_Brand,MATCH($B903,PM_ID,0)),""))</f>
        <v/>
      </c>
      <c r="G903" s="8">
        <f>IF($B903="","",IFERROR(INDEX(PM_Model,MATCH($B903,PM_ID,0)),""))</f>
        <v/>
      </c>
      <c r="H903" s="5" t="n"/>
      <c r="I903" s="10" t="n"/>
      <c r="J903" s="9" t="n"/>
      <c r="K903" s="5" t="n"/>
      <c r="L903" s="5" t="n"/>
      <c r="M903" s="5" t="n"/>
      <c r="N903" s="5" t="n"/>
      <c r="O903" s="8">
        <f>IF($B903="","",IF(AND($A903&lt;&gt;"",COUNTIF(INV_ID,$A903)&gt;1),"⚠ this Unit ID already exists",IF(AND($H903&lt;&gt;"",COUNTIF(INV_Serial,$H903)&gt;1),"⚠ this serial already exists",IF(COUNTIFS(INV_Product,$B903,INV_No,$C903)&gt;1,"⚠ piece number reused",""))))</f>
        <v/>
      </c>
      <c r="P903" s="5" t="n"/>
    </row>
    <row r="904">
      <c r="A904" s="8">
        <f>IF(OR($B904="",$C904=""),"",IFERROR(INDEX(PM_Short,MATCH($B904,PM_ID,0))&amp;"-"&amp;TEXT($C904,"00"),"?? no such product"))</f>
        <v/>
      </c>
      <c r="B904" s="5" t="n"/>
      <c r="C904" s="5" t="n"/>
      <c r="D904" s="8">
        <f>IF($B904="","",IFERROR(INDEX(PM_Category,MATCH($B904,PM_ID,0)),""))</f>
        <v/>
      </c>
      <c r="E904" s="8">
        <f>IF($B904="","",IFERROR(INDEX(PM_Subcategory,MATCH($B904,PM_ID,0)),""))</f>
        <v/>
      </c>
      <c r="F904" s="8">
        <f>IF($B904="","",IFERROR(INDEX(PM_Brand,MATCH($B904,PM_ID,0)),""))</f>
        <v/>
      </c>
      <c r="G904" s="8">
        <f>IF($B904="","",IFERROR(INDEX(PM_Model,MATCH($B904,PM_ID,0)),""))</f>
        <v/>
      </c>
      <c r="H904" s="5" t="n"/>
      <c r="I904" s="10" t="n"/>
      <c r="J904" s="9" t="n"/>
      <c r="K904" s="5" t="n"/>
      <c r="L904" s="5" t="n"/>
      <c r="M904" s="5" t="n"/>
      <c r="N904" s="5" t="n"/>
      <c r="O904" s="8">
        <f>IF($B904="","",IF(AND($A904&lt;&gt;"",COUNTIF(INV_ID,$A904)&gt;1),"⚠ this Unit ID already exists",IF(AND($H904&lt;&gt;"",COUNTIF(INV_Serial,$H904)&gt;1),"⚠ this serial already exists",IF(COUNTIFS(INV_Product,$B904,INV_No,$C904)&gt;1,"⚠ piece number reused",""))))</f>
        <v/>
      </c>
      <c r="P904" s="5" t="n"/>
    </row>
    <row r="905">
      <c r="A905" s="8">
        <f>IF(OR($B905="",$C905=""),"",IFERROR(INDEX(PM_Short,MATCH($B905,PM_ID,0))&amp;"-"&amp;TEXT($C905,"00"),"?? no such product"))</f>
        <v/>
      </c>
      <c r="B905" s="5" t="n"/>
      <c r="C905" s="5" t="n"/>
      <c r="D905" s="8">
        <f>IF($B905="","",IFERROR(INDEX(PM_Category,MATCH($B905,PM_ID,0)),""))</f>
        <v/>
      </c>
      <c r="E905" s="8">
        <f>IF($B905="","",IFERROR(INDEX(PM_Subcategory,MATCH($B905,PM_ID,0)),""))</f>
        <v/>
      </c>
      <c r="F905" s="8">
        <f>IF($B905="","",IFERROR(INDEX(PM_Brand,MATCH($B905,PM_ID,0)),""))</f>
        <v/>
      </c>
      <c r="G905" s="8">
        <f>IF($B905="","",IFERROR(INDEX(PM_Model,MATCH($B905,PM_ID,0)),""))</f>
        <v/>
      </c>
      <c r="H905" s="5" t="n"/>
      <c r="I905" s="10" t="n"/>
      <c r="J905" s="9" t="n"/>
      <c r="K905" s="5" t="n"/>
      <c r="L905" s="5" t="n"/>
      <c r="M905" s="5" t="n"/>
      <c r="N905" s="5" t="n"/>
      <c r="O905" s="8">
        <f>IF($B905="","",IF(AND($A905&lt;&gt;"",COUNTIF(INV_ID,$A905)&gt;1),"⚠ this Unit ID already exists",IF(AND($H905&lt;&gt;"",COUNTIF(INV_Serial,$H905)&gt;1),"⚠ this serial already exists",IF(COUNTIFS(INV_Product,$B905,INV_No,$C905)&gt;1,"⚠ piece number reused",""))))</f>
        <v/>
      </c>
      <c r="P905" s="5" t="n"/>
    </row>
    <row r="906">
      <c r="A906" s="8">
        <f>IF(OR($B906="",$C906=""),"",IFERROR(INDEX(PM_Short,MATCH($B906,PM_ID,0))&amp;"-"&amp;TEXT($C906,"00"),"?? no such product"))</f>
        <v/>
      </c>
      <c r="B906" s="5" t="n"/>
      <c r="C906" s="5" t="n"/>
      <c r="D906" s="8">
        <f>IF($B906="","",IFERROR(INDEX(PM_Category,MATCH($B906,PM_ID,0)),""))</f>
        <v/>
      </c>
      <c r="E906" s="8">
        <f>IF($B906="","",IFERROR(INDEX(PM_Subcategory,MATCH($B906,PM_ID,0)),""))</f>
        <v/>
      </c>
      <c r="F906" s="8">
        <f>IF($B906="","",IFERROR(INDEX(PM_Brand,MATCH($B906,PM_ID,0)),""))</f>
        <v/>
      </c>
      <c r="G906" s="8">
        <f>IF($B906="","",IFERROR(INDEX(PM_Model,MATCH($B906,PM_ID,0)),""))</f>
        <v/>
      </c>
      <c r="H906" s="5" t="n"/>
      <c r="I906" s="10" t="n"/>
      <c r="J906" s="9" t="n"/>
      <c r="K906" s="5" t="n"/>
      <c r="L906" s="5" t="n"/>
      <c r="M906" s="5" t="n"/>
      <c r="N906" s="5" t="n"/>
      <c r="O906" s="8">
        <f>IF($B906="","",IF(AND($A906&lt;&gt;"",COUNTIF(INV_ID,$A906)&gt;1),"⚠ this Unit ID already exists",IF(AND($H906&lt;&gt;"",COUNTIF(INV_Serial,$H906)&gt;1),"⚠ this serial already exists",IF(COUNTIFS(INV_Product,$B906,INV_No,$C906)&gt;1,"⚠ piece number reused",""))))</f>
        <v/>
      </c>
      <c r="P906" s="5" t="n"/>
    </row>
    <row r="907">
      <c r="A907" s="8">
        <f>IF(OR($B907="",$C907=""),"",IFERROR(INDEX(PM_Short,MATCH($B907,PM_ID,0))&amp;"-"&amp;TEXT($C907,"00"),"?? no such product"))</f>
        <v/>
      </c>
      <c r="B907" s="5" t="n"/>
      <c r="C907" s="5" t="n"/>
      <c r="D907" s="8">
        <f>IF($B907="","",IFERROR(INDEX(PM_Category,MATCH($B907,PM_ID,0)),""))</f>
        <v/>
      </c>
      <c r="E907" s="8">
        <f>IF($B907="","",IFERROR(INDEX(PM_Subcategory,MATCH($B907,PM_ID,0)),""))</f>
        <v/>
      </c>
      <c r="F907" s="8">
        <f>IF($B907="","",IFERROR(INDEX(PM_Brand,MATCH($B907,PM_ID,0)),""))</f>
        <v/>
      </c>
      <c r="G907" s="8">
        <f>IF($B907="","",IFERROR(INDEX(PM_Model,MATCH($B907,PM_ID,0)),""))</f>
        <v/>
      </c>
      <c r="H907" s="5" t="n"/>
      <c r="I907" s="10" t="n"/>
      <c r="J907" s="9" t="n"/>
      <c r="K907" s="5" t="n"/>
      <c r="L907" s="5" t="n"/>
      <c r="M907" s="5" t="n"/>
      <c r="N907" s="5" t="n"/>
      <c r="O907" s="8">
        <f>IF($B907="","",IF(AND($A907&lt;&gt;"",COUNTIF(INV_ID,$A907)&gt;1),"⚠ this Unit ID already exists",IF(AND($H907&lt;&gt;"",COUNTIF(INV_Serial,$H907)&gt;1),"⚠ this serial already exists",IF(COUNTIFS(INV_Product,$B907,INV_No,$C907)&gt;1,"⚠ piece number reused",""))))</f>
        <v/>
      </c>
      <c r="P907" s="5" t="n"/>
    </row>
    <row r="908">
      <c r="A908" s="8">
        <f>IF(OR($B908="",$C908=""),"",IFERROR(INDEX(PM_Short,MATCH($B908,PM_ID,0))&amp;"-"&amp;TEXT($C908,"00"),"?? no such product"))</f>
        <v/>
      </c>
      <c r="B908" s="5" t="n"/>
      <c r="C908" s="5" t="n"/>
      <c r="D908" s="8">
        <f>IF($B908="","",IFERROR(INDEX(PM_Category,MATCH($B908,PM_ID,0)),""))</f>
        <v/>
      </c>
      <c r="E908" s="8">
        <f>IF($B908="","",IFERROR(INDEX(PM_Subcategory,MATCH($B908,PM_ID,0)),""))</f>
        <v/>
      </c>
      <c r="F908" s="8">
        <f>IF($B908="","",IFERROR(INDEX(PM_Brand,MATCH($B908,PM_ID,0)),""))</f>
        <v/>
      </c>
      <c r="G908" s="8">
        <f>IF($B908="","",IFERROR(INDEX(PM_Model,MATCH($B908,PM_ID,0)),""))</f>
        <v/>
      </c>
      <c r="H908" s="5" t="n"/>
      <c r="I908" s="10" t="n"/>
      <c r="J908" s="9" t="n"/>
      <c r="K908" s="5" t="n"/>
      <c r="L908" s="5" t="n"/>
      <c r="M908" s="5" t="n"/>
      <c r="N908" s="5" t="n"/>
      <c r="O908" s="8">
        <f>IF($B908="","",IF(AND($A908&lt;&gt;"",COUNTIF(INV_ID,$A908)&gt;1),"⚠ this Unit ID already exists",IF(AND($H908&lt;&gt;"",COUNTIF(INV_Serial,$H908)&gt;1),"⚠ this serial already exists",IF(COUNTIFS(INV_Product,$B908,INV_No,$C908)&gt;1,"⚠ piece number reused",""))))</f>
        <v/>
      </c>
      <c r="P908" s="5" t="n"/>
    </row>
    <row r="909">
      <c r="A909" s="8">
        <f>IF(OR($B909="",$C909=""),"",IFERROR(INDEX(PM_Short,MATCH($B909,PM_ID,0))&amp;"-"&amp;TEXT($C909,"00"),"?? no such product"))</f>
        <v/>
      </c>
      <c r="B909" s="5" t="n"/>
      <c r="C909" s="5" t="n"/>
      <c r="D909" s="8">
        <f>IF($B909="","",IFERROR(INDEX(PM_Category,MATCH($B909,PM_ID,0)),""))</f>
        <v/>
      </c>
      <c r="E909" s="8">
        <f>IF($B909="","",IFERROR(INDEX(PM_Subcategory,MATCH($B909,PM_ID,0)),""))</f>
        <v/>
      </c>
      <c r="F909" s="8">
        <f>IF($B909="","",IFERROR(INDEX(PM_Brand,MATCH($B909,PM_ID,0)),""))</f>
        <v/>
      </c>
      <c r="G909" s="8">
        <f>IF($B909="","",IFERROR(INDEX(PM_Model,MATCH($B909,PM_ID,0)),""))</f>
        <v/>
      </c>
      <c r="H909" s="5" t="n"/>
      <c r="I909" s="10" t="n"/>
      <c r="J909" s="9" t="n"/>
      <c r="K909" s="5" t="n"/>
      <c r="L909" s="5" t="n"/>
      <c r="M909" s="5" t="n"/>
      <c r="N909" s="5" t="n"/>
      <c r="O909" s="8">
        <f>IF($B909="","",IF(AND($A909&lt;&gt;"",COUNTIF(INV_ID,$A909)&gt;1),"⚠ this Unit ID already exists",IF(AND($H909&lt;&gt;"",COUNTIF(INV_Serial,$H909)&gt;1),"⚠ this serial already exists",IF(COUNTIFS(INV_Product,$B909,INV_No,$C909)&gt;1,"⚠ piece number reused",""))))</f>
        <v/>
      </c>
      <c r="P909" s="5" t="n"/>
    </row>
    <row r="910">
      <c r="A910" s="8">
        <f>IF(OR($B910="",$C910=""),"",IFERROR(INDEX(PM_Short,MATCH($B910,PM_ID,0))&amp;"-"&amp;TEXT($C910,"00"),"?? no such product"))</f>
        <v/>
      </c>
      <c r="B910" s="5" t="n"/>
      <c r="C910" s="5" t="n"/>
      <c r="D910" s="8">
        <f>IF($B910="","",IFERROR(INDEX(PM_Category,MATCH($B910,PM_ID,0)),""))</f>
        <v/>
      </c>
      <c r="E910" s="8">
        <f>IF($B910="","",IFERROR(INDEX(PM_Subcategory,MATCH($B910,PM_ID,0)),""))</f>
        <v/>
      </c>
      <c r="F910" s="8">
        <f>IF($B910="","",IFERROR(INDEX(PM_Brand,MATCH($B910,PM_ID,0)),""))</f>
        <v/>
      </c>
      <c r="G910" s="8">
        <f>IF($B910="","",IFERROR(INDEX(PM_Model,MATCH($B910,PM_ID,0)),""))</f>
        <v/>
      </c>
      <c r="H910" s="5" t="n"/>
      <c r="I910" s="10" t="n"/>
      <c r="J910" s="9" t="n"/>
      <c r="K910" s="5" t="n"/>
      <c r="L910" s="5" t="n"/>
      <c r="M910" s="5" t="n"/>
      <c r="N910" s="5" t="n"/>
      <c r="O910" s="8">
        <f>IF($B910="","",IF(AND($A910&lt;&gt;"",COUNTIF(INV_ID,$A910)&gt;1),"⚠ this Unit ID already exists",IF(AND($H910&lt;&gt;"",COUNTIF(INV_Serial,$H910)&gt;1),"⚠ this serial already exists",IF(COUNTIFS(INV_Product,$B910,INV_No,$C910)&gt;1,"⚠ piece number reused",""))))</f>
        <v/>
      </c>
      <c r="P910" s="5" t="n"/>
    </row>
    <row r="911">
      <c r="A911" s="8">
        <f>IF(OR($B911="",$C911=""),"",IFERROR(INDEX(PM_Short,MATCH($B911,PM_ID,0))&amp;"-"&amp;TEXT($C911,"00"),"?? no such product"))</f>
        <v/>
      </c>
      <c r="B911" s="5" t="n"/>
      <c r="C911" s="5" t="n"/>
      <c r="D911" s="8">
        <f>IF($B911="","",IFERROR(INDEX(PM_Category,MATCH($B911,PM_ID,0)),""))</f>
        <v/>
      </c>
      <c r="E911" s="8">
        <f>IF($B911="","",IFERROR(INDEX(PM_Subcategory,MATCH($B911,PM_ID,0)),""))</f>
        <v/>
      </c>
      <c r="F911" s="8">
        <f>IF($B911="","",IFERROR(INDEX(PM_Brand,MATCH($B911,PM_ID,0)),""))</f>
        <v/>
      </c>
      <c r="G911" s="8">
        <f>IF($B911="","",IFERROR(INDEX(PM_Model,MATCH($B911,PM_ID,0)),""))</f>
        <v/>
      </c>
      <c r="H911" s="5" t="n"/>
      <c r="I911" s="10" t="n"/>
      <c r="J911" s="9" t="n"/>
      <c r="K911" s="5" t="n"/>
      <c r="L911" s="5" t="n"/>
      <c r="M911" s="5" t="n"/>
      <c r="N911" s="5" t="n"/>
      <c r="O911" s="8">
        <f>IF($B911="","",IF(AND($A911&lt;&gt;"",COUNTIF(INV_ID,$A911)&gt;1),"⚠ this Unit ID already exists",IF(AND($H911&lt;&gt;"",COUNTIF(INV_Serial,$H911)&gt;1),"⚠ this serial already exists",IF(COUNTIFS(INV_Product,$B911,INV_No,$C911)&gt;1,"⚠ piece number reused",""))))</f>
        <v/>
      </c>
      <c r="P911" s="5" t="n"/>
    </row>
    <row r="912">
      <c r="A912" s="8">
        <f>IF(OR($B912="",$C912=""),"",IFERROR(INDEX(PM_Short,MATCH($B912,PM_ID,0))&amp;"-"&amp;TEXT($C912,"00"),"?? no such product"))</f>
        <v/>
      </c>
      <c r="B912" s="5" t="n"/>
      <c r="C912" s="5" t="n"/>
      <c r="D912" s="8">
        <f>IF($B912="","",IFERROR(INDEX(PM_Category,MATCH($B912,PM_ID,0)),""))</f>
        <v/>
      </c>
      <c r="E912" s="8">
        <f>IF($B912="","",IFERROR(INDEX(PM_Subcategory,MATCH($B912,PM_ID,0)),""))</f>
        <v/>
      </c>
      <c r="F912" s="8">
        <f>IF($B912="","",IFERROR(INDEX(PM_Brand,MATCH($B912,PM_ID,0)),""))</f>
        <v/>
      </c>
      <c r="G912" s="8">
        <f>IF($B912="","",IFERROR(INDEX(PM_Model,MATCH($B912,PM_ID,0)),""))</f>
        <v/>
      </c>
      <c r="H912" s="5" t="n"/>
      <c r="I912" s="10" t="n"/>
      <c r="J912" s="9" t="n"/>
      <c r="K912" s="5" t="n"/>
      <c r="L912" s="5" t="n"/>
      <c r="M912" s="5" t="n"/>
      <c r="N912" s="5" t="n"/>
      <c r="O912" s="8">
        <f>IF($B912="","",IF(AND($A912&lt;&gt;"",COUNTIF(INV_ID,$A912)&gt;1),"⚠ this Unit ID already exists",IF(AND($H912&lt;&gt;"",COUNTIF(INV_Serial,$H912)&gt;1),"⚠ this serial already exists",IF(COUNTIFS(INV_Product,$B912,INV_No,$C912)&gt;1,"⚠ piece number reused",""))))</f>
        <v/>
      </c>
      <c r="P912" s="5" t="n"/>
    </row>
    <row r="913">
      <c r="A913" s="8">
        <f>IF(OR($B913="",$C913=""),"",IFERROR(INDEX(PM_Short,MATCH($B913,PM_ID,0))&amp;"-"&amp;TEXT($C913,"00"),"?? no such product"))</f>
        <v/>
      </c>
      <c r="B913" s="5" t="n"/>
      <c r="C913" s="5" t="n"/>
      <c r="D913" s="8">
        <f>IF($B913="","",IFERROR(INDEX(PM_Category,MATCH($B913,PM_ID,0)),""))</f>
        <v/>
      </c>
      <c r="E913" s="8">
        <f>IF($B913="","",IFERROR(INDEX(PM_Subcategory,MATCH($B913,PM_ID,0)),""))</f>
        <v/>
      </c>
      <c r="F913" s="8">
        <f>IF($B913="","",IFERROR(INDEX(PM_Brand,MATCH($B913,PM_ID,0)),""))</f>
        <v/>
      </c>
      <c r="G913" s="8">
        <f>IF($B913="","",IFERROR(INDEX(PM_Model,MATCH($B913,PM_ID,0)),""))</f>
        <v/>
      </c>
      <c r="H913" s="5" t="n"/>
      <c r="I913" s="10" t="n"/>
      <c r="J913" s="9" t="n"/>
      <c r="K913" s="5" t="n"/>
      <c r="L913" s="5" t="n"/>
      <c r="M913" s="5" t="n"/>
      <c r="N913" s="5" t="n"/>
      <c r="O913" s="8">
        <f>IF($B913="","",IF(AND($A913&lt;&gt;"",COUNTIF(INV_ID,$A913)&gt;1),"⚠ this Unit ID already exists",IF(AND($H913&lt;&gt;"",COUNTIF(INV_Serial,$H913)&gt;1),"⚠ this serial already exists",IF(COUNTIFS(INV_Product,$B913,INV_No,$C913)&gt;1,"⚠ piece number reused",""))))</f>
        <v/>
      </c>
      <c r="P913" s="5" t="n"/>
    </row>
    <row r="914">
      <c r="A914" s="8">
        <f>IF(OR($B914="",$C914=""),"",IFERROR(INDEX(PM_Short,MATCH($B914,PM_ID,0))&amp;"-"&amp;TEXT($C914,"00"),"?? no such product"))</f>
        <v/>
      </c>
      <c r="B914" s="5" t="n"/>
      <c r="C914" s="5" t="n"/>
      <c r="D914" s="8">
        <f>IF($B914="","",IFERROR(INDEX(PM_Category,MATCH($B914,PM_ID,0)),""))</f>
        <v/>
      </c>
      <c r="E914" s="8">
        <f>IF($B914="","",IFERROR(INDEX(PM_Subcategory,MATCH($B914,PM_ID,0)),""))</f>
        <v/>
      </c>
      <c r="F914" s="8">
        <f>IF($B914="","",IFERROR(INDEX(PM_Brand,MATCH($B914,PM_ID,0)),""))</f>
        <v/>
      </c>
      <c r="G914" s="8">
        <f>IF($B914="","",IFERROR(INDEX(PM_Model,MATCH($B914,PM_ID,0)),""))</f>
        <v/>
      </c>
      <c r="H914" s="5" t="n"/>
      <c r="I914" s="10" t="n"/>
      <c r="J914" s="9" t="n"/>
      <c r="K914" s="5" t="n"/>
      <c r="L914" s="5" t="n"/>
      <c r="M914" s="5" t="n"/>
      <c r="N914" s="5" t="n"/>
      <c r="O914" s="8">
        <f>IF($B914="","",IF(AND($A914&lt;&gt;"",COUNTIF(INV_ID,$A914)&gt;1),"⚠ this Unit ID already exists",IF(AND($H914&lt;&gt;"",COUNTIF(INV_Serial,$H914)&gt;1),"⚠ this serial already exists",IF(COUNTIFS(INV_Product,$B914,INV_No,$C914)&gt;1,"⚠ piece number reused",""))))</f>
        <v/>
      </c>
      <c r="P914" s="5" t="n"/>
    </row>
    <row r="915">
      <c r="A915" s="8">
        <f>IF(OR($B915="",$C915=""),"",IFERROR(INDEX(PM_Short,MATCH($B915,PM_ID,0))&amp;"-"&amp;TEXT($C915,"00"),"?? no such product"))</f>
        <v/>
      </c>
      <c r="B915" s="5" t="n"/>
      <c r="C915" s="5" t="n"/>
      <c r="D915" s="8">
        <f>IF($B915="","",IFERROR(INDEX(PM_Category,MATCH($B915,PM_ID,0)),""))</f>
        <v/>
      </c>
      <c r="E915" s="8">
        <f>IF($B915="","",IFERROR(INDEX(PM_Subcategory,MATCH($B915,PM_ID,0)),""))</f>
        <v/>
      </c>
      <c r="F915" s="8">
        <f>IF($B915="","",IFERROR(INDEX(PM_Brand,MATCH($B915,PM_ID,0)),""))</f>
        <v/>
      </c>
      <c r="G915" s="8">
        <f>IF($B915="","",IFERROR(INDEX(PM_Model,MATCH($B915,PM_ID,0)),""))</f>
        <v/>
      </c>
      <c r="H915" s="5" t="n"/>
      <c r="I915" s="10" t="n"/>
      <c r="J915" s="9" t="n"/>
      <c r="K915" s="5" t="n"/>
      <c r="L915" s="5" t="n"/>
      <c r="M915" s="5" t="n"/>
      <c r="N915" s="5" t="n"/>
      <c r="O915" s="8">
        <f>IF($B915="","",IF(AND($A915&lt;&gt;"",COUNTIF(INV_ID,$A915)&gt;1),"⚠ this Unit ID already exists",IF(AND($H915&lt;&gt;"",COUNTIF(INV_Serial,$H915)&gt;1),"⚠ this serial already exists",IF(COUNTIFS(INV_Product,$B915,INV_No,$C915)&gt;1,"⚠ piece number reused",""))))</f>
        <v/>
      </c>
      <c r="P915" s="5" t="n"/>
    </row>
    <row r="916">
      <c r="A916" s="8">
        <f>IF(OR($B916="",$C916=""),"",IFERROR(INDEX(PM_Short,MATCH($B916,PM_ID,0))&amp;"-"&amp;TEXT($C916,"00"),"?? no such product"))</f>
        <v/>
      </c>
      <c r="B916" s="5" t="n"/>
      <c r="C916" s="5" t="n"/>
      <c r="D916" s="8">
        <f>IF($B916="","",IFERROR(INDEX(PM_Category,MATCH($B916,PM_ID,0)),""))</f>
        <v/>
      </c>
      <c r="E916" s="8">
        <f>IF($B916="","",IFERROR(INDEX(PM_Subcategory,MATCH($B916,PM_ID,0)),""))</f>
        <v/>
      </c>
      <c r="F916" s="8">
        <f>IF($B916="","",IFERROR(INDEX(PM_Brand,MATCH($B916,PM_ID,0)),""))</f>
        <v/>
      </c>
      <c r="G916" s="8">
        <f>IF($B916="","",IFERROR(INDEX(PM_Model,MATCH($B916,PM_ID,0)),""))</f>
        <v/>
      </c>
      <c r="H916" s="5" t="n"/>
      <c r="I916" s="10" t="n"/>
      <c r="J916" s="9" t="n"/>
      <c r="K916" s="5" t="n"/>
      <c r="L916" s="5" t="n"/>
      <c r="M916" s="5" t="n"/>
      <c r="N916" s="5" t="n"/>
      <c r="O916" s="8">
        <f>IF($B916="","",IF(AND($A916&lt;&gt;"",COUNTIF(INV_ID,$A916)&gt;1),"⚠ this Unit ID already exists",IF(AND($H916&lt;&gt;"",COUNTIF(INV_Serial,$H916)&gt;1),"⚠ this serial already exists",IF(COUNTIFS(INV_Product,$B916,INV_No,$C916)&gt;1,"⚠ piece number reused",""))))</f>
        <v/>
      </c>
      <c r="P916" s="5" t="n"/>
    </row>
    <row r="917">
      <c r="A917" s="8">
        <f>IF(OR($B917="",$C917=""),"",IFERROR(INDEX(PM_Short,MATCH($B917,PM_ID,0))&amp;"-"&amp;TEXT($C917,"00"),"?? no such product"))</f>
        <v/>
      </c>
      <c r="B917" s="5" t="n"/>
      <c r="C917" s="5" t="n"/>
      <c r="D917" s="8">
        <f>IF($B917="","",IFERROR(INDEX(PM_Category,MATCH($B917,PM_ID,0)),""))</f>
        <v/>
      </c>
      <c r="E917" s="8">
        <f>IF($B917="","",IFERROR(INDEX(PM_Subcategory,MATCH($B917,PM_ID,0)),""))</f>
        <v/>
      </c>
      <c r="F917" s="8">
        <f>IF($B917="","",IFERROR(INDEX(PM_Brand,MATCH($B917,PM_ID,0)),""))</f>
        <v/>
      </c>
      <c r="G917" s="8">
        <f>IF($B917="","",IFERROR(INDEX(PM_Model,MATCH($B917,PM_ID,0)),""))</f>
        <v/>
      </c>
      <c r="H917" s="5" t="n"/>
      <c r="I917" s="10" t="n"/>
      <c r="J917" s="9" t="n"/>
      <c r="K917" s="5" t="n"/>
      <c r="L917" s="5" t="n"/>
      <c r="M917" s="5" t="n"/>
      <c r="N917" s="5" t="n"/>
      <c r="O917" s="8">
        <f>IF($B917="","",IF(AND($A917&lt;&gt;"",COUNTIF(INV_ID,$A917)&gt;1),"⚠ this Unit ID already exists",IF(AND($H917&lt;&gt;"",COUNTIF(INV_Serial,$H917)&gt;1),"⚠ this serial already exists",IF(COUNTIFS(INV_Product,$B917,INV_No,$C917)&gt;1,"⚠ piece number reused",""))))</f>
        <v/>
      </c>
      <c r="P917" s="5" t="n"/>
    </row>
    <row r="918">
      <c r="A918" s="8">
        <f>IF(OR($B918="",$C918=""),"",IFERROR(INDEX(PM_Short,MATCH($B918,PM_ID,0))&amp;"-"&amp;TEXT($C918,"00"),"?? no such product"))</f>
        <v/>
      </c>
      <c r="B918" s="5" t="n"/>
      <c r="C918" s="5" t="n"/>
      <c r="D918" s="8">
        <f>IF($B918="","",IFERROR(INDEX(PM_Category,MATCH($B918,PM_ID,0)),""))</f>
        <v/>
      </c>
      <c r="E918" s="8">
        <f>IF($B918="","",IFERROR(INDEX(PM_Subcategory,MATCH($B918,PM_ID,0)),""))</f>
        <v/>
      </c>
      <c r="F918" s="8">
        <f>IF($B918="","",IFERROR(INDEX(PM_Brand,MATCH($B918,PM_ID,0)),""))</f>
        <v/>
      </c>
      <c r="G918" s="8">
        <f>IF($B918="","",IFERROR(INDEX(PM_Model,MATCH($B918,PM_ID,0)),""))</f>
        <v/>
      </c>
      <c r="H918" s="5" t="n"/>
      <c r="I918" s="10" t="n"/>
      <c r="J918" s="9" t="n"/>
      <c r="K918" s="5" t="n"/>
      <c r="L918" s="5" t="n"/>
      <c r="M918" s="5" t="n"/>
      <c r="N918" s="5" t="n"/>
      <c r="O918" s="8">
        <f>IF($B918="","",IF(AND($A918&lt;&gt;"",COUNTIF(INV_ID,$A918)&gt;1),"⚠ this Unit ID already exists",IF(AND($H918&lt;&gt;"",COUNTIF(INV_Serial,$H918)&gt;1),"⚠ this serial already exists",IF(COUNTIFS(INV_Product,$B918,INV_No,$C918)&gt;1,"⚠ piece number reused",""))))</f>
        <v/>
      </c>
      <c r="P918" s="5" t="n"/>
    </row>
    <row r="919">
      <c r="A919" s="8">
        <f>IF(OR($B919="",$C919=""),"",IFERROR(INDEX(PM_Short,MATCH($B919,PM_ID,0))&amp;"-"&amp;TEXT($C919,"00"),"?? no such product"))</f>
        <v/>
      </c>
      <c r="B919" s="5" t="n"/>
      <c r="C919" s="5" t="n"/>
      <c r="D919" s="8">
        <f>IF($B919="","",IFERROR(INDEX(PM_Category,MATCH($B919,PM_ID,0)),""))</f>
        <v/>
      </c>
      <c r="E919" s="8">
        <f>IF($B919="","",IFERROR(INDEX(PM_Subcategory,MATCH($B919,PM_ID,0)),""))</f>
        <v/>
      </c>
      <c r="F919" s="8">
        <f>IF($B919="","",IFERROR(INDEX(PM_Brand,MATCH($B919,PM_ID,0)),""))</f>
        <v/>
      </c>
      <c r="G919" s="8">
        <f>IF($B919="","",IFERROR(INDEX(PM_Model,MATCH($B919,PM_ID,0)),""))</f>
        <v/>
      </c>
      <c r="H919" s="5" t="n"/>
      <c r="I919" s="10" t="n"/>
      <c r="J919" s="9" t="n"/>
      <c r="K919" s="5" t="n"/>
      <c r="L919" s="5" t="n"/>
      <c r="M919" s="5" t="n"/>
      <c r="N919" s="5" t="n"/>
      <c r="O919" s="8">
        <f>IF($B919="","",IF(AND($A919&lt;&gt;"",COUNTIF(INV_ID,$A919)&gt;1),"⚠ this Unit ID already exists",IF(AND($H919&lt;&gt;"",COUNTIF(INV_Serial,$H919)&gt;1),"⚠ this serial already exists",IF(COUNTIFS(INV_Product,$B919,INV_No,$C919)&gt;1,"⚠ piece number reused",""))))</f>
        <v/>
      </c>
      <c r="P919" s="5" t="n"/>
    </row>
    <row r="920">
      <c r="A920" s="8">
        <f>IF(OR($B920="",$C920=""),"",IFERROR(INDEX(PM_Short,MATCH($B920,PM_ID,0))&amp;"-"&amp;TEXT($C920,"00"),"?? no such product"))</f>
        <v/>
      </c>
      <c r="B920" s="5" t="n"/>
      <c r="C920" s="5" t="n"/>
      <c r="D920" s="8">
        <f>IF($B920="","",IFERROR(INDEX(PM_Category,MATCH($B920,PM_ID,0)),""))</f>
        <v/>
      </c>
      <c r="E920" s="8">
        <f>IF($B920="","",IFERROR(INDEX(PM_Subcategory,MATCH($B920,PM_ID,0)),""))</f>
        <v/>
      </c>
      <c r="F920" s="8">
        <f>IF($B920="","",IFERROR(INDEX(PM_Brand,MATCH($B920,PM_ID,0)),""))</f>
        <v/>
      </c>
      <c r="G920" s="8">
        <f>IF($B920="","",IFERROR(INDEX(PM_Model,MATCH($B920,PM_ID,0)),""))</f>
        <v/>
      </c>
      <c r="H920" s="5" t="n"/>
      <c r="I920" s="10" t="n"/>
      <c r="J920" s="9" t="n"/>
      <c r="K920" s="5" t="n"/>
      <c r="L920" s="5" t="n"/>
      <c r="M920" s="5" t="n"/>
      <c r="N920" s="5" t="n"/>
      <c r="O920" s="8">
        <f>IF($B920="","",IF(AND($A920&lt;&gt;"",COUNTIF(INV_ID,$A920)&gt;1),"⚠ this Unit ID already exists",IF(AND($H920&lt;&gt;"",COUNTIF(INV_Serial,$H920)&gt;1),"⚠ this serial already exists",IF(COUNTIFS(INV_Product,$B920,INV_No,$C920)&gt;1,"⚠ piece number reused",""))))</f>
        <v/>
      </c>
      <c r="P920" s="5" t="n"/>
    </row>
    <row r="921">
      <c r="A921" s="8">
        <f>IF(OR($B921="",$C921=""),"",IFERROR(INDEX(PM_Short,MATCH($B921,PM_ID,0))&amp;"-"&amp;TEXT($C921,"00"),"?? no such product"))</f>
        <v/>
      </c>
      <c r="B921" s="5" t="n"/>
      <c r="C921" s="5" t="n"/>
      <c r="D921" s="8">
        <f>IF($B921="","",IFERROR(INDEX(PM_Category,MATCH($B921,PM_ID,0)),""))</f>
        <v/>
      </c>
      <c r="E921" s="8">
        <f>IF($B921="","",IFERROR(INDEX(PM_Subcategory,MATCH($B921,PM_ID,0)),""))</f>
        <v/>
      </c>
      <c r="F921" s="8">
        <f>IF($B921="","",IFERROR(INDEX(PM_Brand,MATCH($B921,PM_ID,0)),""))</f>
        <v/>
      </c>
      <c r="G921" s="8">
        <f>IF($B921="","",IFERROR(INDEX(PM_Model,MATCH($B921,PM_ID,0)),""))</f>
        <v/>
      </c>
      <c r="H921" s="5" t="n"/>
      <c r="I921" s="10" t="n"/>
      <c r="J921" s="9" t="n"/>
      <c r="K921" s="5" t="n"/>
      <c r="L921" s="5" t="n"/>
      <c r="M921" s="5" t="n"/>
      <c r="N921" s="5" t="n"/>
      <c r="O921" s="8">
        <f>IF($B921="","",IF(AND($A921&lt;&gt;"",COUNTIF(INV_ID,$A921)&gt;1),"⚠ this Unit ID already exists",IF(AND($H921&lt;&gt;"",COUNTIF(INV_Serial,$H921)&gt;1),"⚠ this serial already exists",IF(COUNTIFS(INV_Product,$B921,INV_No,$C921)&gt;1,"⚠ piece number reused",""))))</f>
        <v/>
      </c>
      <c r="P921" s="5" t="n"/>
    </row>
    <row r="922">
      <c r="A922" s="8">
        <f>IF(OR($B922="",$C922=""),"",IFERROR(INDEX(PM_Short,MATCH($B922,PM_ID,0))&amp;"-"&amp;TEXT($C922,"00"),"?? no such product"))</f>
        <v/>
      </c>
      <c r="B922" s="5" t="n"/>
      <c r="C922" s="5" t="n"/>
      <c r="D922" s="8">
        <f>IF($B922="","",IFERROR(INDEX(PM_Category,MATCH($B922,PM_ID,0)),""))</f>
        <v/>
      </c>
      <c r="E922" s="8">
        <f>IF($B922="","",IFERROR(INDEX(PM_Subcategory,MATCH($B922,PM_ID,0)),""))</f>
        <v/>
      </c>
      <c r="F922" s="8">
        <f>IF($B922="","",IFERROR(INDEX(PM_Brand,MATCH($B922,PM_ID,0)),""))</f>
        <v/>
      </c>
      <c r="G922" s="8">
        <f>IF($B922="","",IFERROR(INDEX(PM_Model,MATCH($B922,PM_ID,0)),""))</f>
        <v/>
      </c>
      <c r="H922" s="5" t="n"/>
      <c r="I922" s="10" t="n"/>
      <c r="J922" s="9" t="n"/>
      <c r="K922" s="5" t="n"/>
      <c r="L922" s="5" t="n"/>
      <c r="M922" s="5" t="n"/>
      <c r="N922" s="5" t="n"/>
      <c r="O922" s="8">
        <f>IF($B922="","",IF(AND($A922&lt;&gt;"",COUNTIF(INV_ID,$A922)&gt;1),"⚠ this Unit ID already exists",IF(AND($H922&lt;&gt;"",COUNTIF(INV_Serial,$H922)&gt;1),"⚠ this serial already exists",IF(COUNTIFS(INV_Product,$B922,INV_No,$C922)&gt;1,"⚠ piece number reused",""))))</f>
        <v/>
      </c>
      <c r="P922" s="5" t="n"/>
    </row>
    <row r="923">
      <c r="A923" s="8">
        <f>IF(OR($B923="",$C923=""),"",IFERROR(INDEX(PM_Short,MATCH($B923,PM_ID,0))&amp;"-"&amp;TEXT($C923,"00"),"?? no such product"))</f>
        <v/>
      </c>
      <c r="B923" s="5" t="n"/>
      <c r="C923" s="5" t="n"/>
      <c r="D923" s="8">
        <f>IF($B923="","",IFERROR(INDEX(PM_Category,MATCH($B923,PM_ID,0)),""))</f>
        <v/>
      </c>
      <c r="E923" s="8">
        <f>IF($B923="","",IFERROR(INDEX(PM_Subcategory,MATCH($B923,PM_ID,0)),""))</f>
        <v/>
      </c>
      <c r="F923" s="8">
        <f>IF($B923="","",IFERROR(INDEX(PM_Brand,MATCH($B923,PM_ID,0)),""))</f>
        <v/>
      </c>
      <c r="G923" s="8">
        <f>IF($B923="","",IFERROR(INDEX(PM_Model,MATCH($B923,PM_ID,0)),""))</f>
        <v/>
      </c>
      <c r="H923" s="5" t="n"/>
      <c r="I923" s="10" t="n"/>
      <c r="J923" s="9" t="n"/>
      <c r="K923" s="5" t="n"/>
      <c r="L923" s="5" t="n"/>
      <c r="M923" s="5" t="n"/>
      <c r="N923" s="5" t="n"/>
      <c r="O923" s="8">
        <f>IF($B923="","",IF(AND($A923&lt;&gt;"",COUNTIF(INV_ID,$A923)&gt;1),"⚠ this Unit ID already exists",IF(AND($H923&lt;&gt;"",COUNTIF(INV_Serial,$H923)&gt;1),"⚠ this serial already exists",IF(COUNTIFS(INV_Product,$B923,INV_No,$C923)&gt;1,"⚠ piece number reused",""))))</f>
        <v/>
      </c>
      <c r="P923" s="5" t="n"/>
    </row>
    <row r="924">
      <c r="A924" s="8">
        <f>IF(OR($B924="",$C924=""),"",IFERROR(INDEX(PM_Short,MATCH($B924,PM_ID,0))&amp;"-"&amp;TEXT($C924,"00"),"?? no such product"))</f>
        <v/>
      </c>
      <c r="B924" s="5" t="n"/>
      <c r="C924" s="5" t="n"/>
      <c r="D924" s="8">
        <f>IF($B924="","",IFERROR(INDEX(PM_Category,MATCH($B924,PM_ID,0)),""))</f>
        <v/>
      </c>
      <c r="E924" s="8">
        <f>IF($B924="","",IFERROR(INDEX(PM_Subcategory,MATCH($B924,PM_ID,0)),""))</f>
        <v/>
      </c>
      <c r="F924" s="8">
        <f>IF($B924="","",IFERROR(INDEX(PM_Brand,MATCH($B924,PM_ID,0)),""))</f>
        <v/>
      </c>
      <c r="G924" s="8">
        <f>IF($B924="","",IFERROR(INDEX(PM_Model,MATCH($B924,PM_ID,0)),""))</f>
        <v/>
      </c>
      <c r="H924" s="5" t="n"/>
      <c r="I924" s="10" t="n"/>
      <c r="J924" s="9" t="n"/>
      <c r="K924" s="5" t="n"/>
      <c r="L924" s="5" t="n"/>
      <c r="M924" s="5" t="n"/>
      <c r="N924" s="5" t="n"/>
      <c r="O924" s="8">
        <f>IF($B924="","",IF(AND($A924&lt;&gt;"",COUNTIF(INV_ID,$A924)&gt;1),"⚠ this Unit ID already exists",IF(AND($H924&lt;&gt;"",COUNTIF(INV_Serial,$H924)&gt;1),"⚠ this serial already exists",IF(COUNTIFS(INV_Product,$B924,INV_No,$C924)&gt;1,"⚠ piece number reused",""))))</f>
        <v/>
      </c>
      <c r="P924" s="5" t="n"/>
    </row>
    <row r="925">
      <c r="A925" s="8">
        <f>IF(OR($B925="",$C925=""),"",IFERROR(INDEX(PM_Short,MATCH($B925,PM_ID,0))&amp;"-"&amp;TEXT($C925,"00"),"?? no such product"))</f>
        <v/>
      </c>
      <c r="B925" s="5" t="n"/>
      <c r="C925" s="5" t="n"/>
      <c r="D925" s="8">
        <f>IF($B925="","",IFERROR(INDEX(PM_Category,MATCH($B925,PM_ID,0)),""))</f>
        <v/>
      </c>
      <c r="E925" s="8">
        <f>IF($B925="","",IFERROR(INDEX(PM_Subcategory,MATCH($B925,PM_ID,0)),""))</f>
        <v/>
      </c>
      <c r="F925" s="8">
        <f>IF($B925="","",IFERROR(INDEX(PM_Brand,MATCH($B925,PM_ID,0)),""))</f>
        <v/>
      </c>
      <c r="G925" s="8">
        <f>IF($B925="","",IFERROR(INDEX(PM_Model,MATCH($B925,PM_ID,0)),""))</f>
        <v/>
      </c>
      <c r="H925" s="5" t="n"/>
      <c r="I925" s="10" t="n"/>
      <c r="J925" s="9" t="n"/>
      <c r="K925" s="5" t="n"/>
      <c r="L925" s="5" t="n"/>
      <c r="M925" s="5" t="n"/>
      <c r="N925" s="5" t="n"/>
      <c r="O925" s="8">
        <f>IF($B925="","",IF(AND($A925&lt;&gt;"",COUNTIF(INV_ID,$A925)&gt;1),"⚠ this Unit ID already exists",IF(AND($H925&lt;&gt;"",COUNTIF(INV_Serial,$H925)&gt;1),"⚠ this serial already exists",IF(COUNTIFS(INV_Product,$B925,INV_No,$C925)&gt;1,"⚠ piece number reused",""))))</f>
        <v/>
      </c>
      <c r="P925" s="5" t="n"/>
    </row>
    <row r="926">
      <c r="A926" s="8">
        <f>IF(OR($B926="",$C926=""),"",IFERROR(INDEX(PM_Short,MATCH($B926,PM_ID,0))&amp;"-"&amp;TEXT($C926,"00"),"?? no such product"))</f>
        <v/>
      </c>
      <c r="B926" s="5" t="n"/>
      <c r="C926" s="5" t="n"/>
      <c r="D926" s="8">
        <f>IF($B926="","",IFERROR(INDEX(PM_Category,MATCH($B926,PM_ID,0)),""))</f>
        <v/>
      </c>
      <c r="E926" s="8">
        <f>IF($B926="","",IFERROR(INDEX(PM_Subcategory,MATCH($B926,PM_ID,0)),""))</f>
        <v/>
      </c>
      <c r="F926" s="8">
        <f>IF($B926="","",IFERROR(INDEX(PM_Brand,MATCH($B926,PM_ID,0)),""))</f>
        <v/>
      </c>
      <c r="G926" s="8">
        <f>IF($B926="","",IFERROR(INDEX(PM_Model,MATCH($B926,PM_ID,0)),""))</f>
        <v/>
      </c>
      <c r="H926" s="5" t="n"/>
      <c r="I926" s="10" t="n"/>
      <c r="J926" s="9" t="n"/>
      <c r="K926" s="5" t="n"/>
      <c r="L926" s="5" t="n"/>
      <c r="M926" s="5" t="n"/>
      <c r="N926" s="5" t="n"/>
      <c r="O926" s="8">
        <f>IF($B926="","",IF(AND($A926&lt;&gt;"",COUNTIF(INV_ID,$A926)&gt;1),"⚠ this Unit ID already exists",IF(AND($H926&lt;&gt;"",COUNTIF(INV_Serial,$H926)&gt;1),"⚠ this serial already exists",IF(COUNTIFS(INV_Product,$B926,INV_No,$C926)&gt;1,"⚠ piece number reused",""))))</f>
        <v/>
      </c>
      <c r="P926" s="5" t="n"/>
    </row>
    <row r="927">
      <c r="A927" s="8">
        <f>IF(OR($B927="",$C927=""),"",IFERROR(INDEX(PM_Short,MATCH($B927,PM_ID,0))&amp;"-"&amp;TEXT($C927,"00"),"?? no such product"))</f>
        <v/>
      </c>
      <c r="B927" s="5" t="n"/>
      <c r="C927" s="5" t="n"/>
      <c r="D927" s="8">
        <f>IF($B927="","",IFERROR(INDEX(PM_Category,MATCH($B927,PM_ID,0)),""))</f>
        <v/>
      </c>
      <c r="E927" s="8">
        <f>IF($B927="","",IFERROR(INDEX(PM_Subcategory,MATCH($B927,PM_ID,0)),""))</f>
        <v/>
      </c>
      <c r="F927" s="8">
        <f>IF($B927="","",IFERROR(INDEX(PM_Brand,MATCH($B927,PM_ID,0)),""))</f>
        <v/>
      </c>
      <c r="G927" s="8">
        <f>IF($B927="","",IFERROR(INDEX(PM_Model,MATCH($B927,PM_ID,0)),""))</f>
        <v/>
      </c>
      <c r="H927" s="5" t="n"/>
      <c r="I927" s="10" t="n"/>
      <c r="J927" s="9" t="n"/>
      <c r="K927" s="5" t="n"/>
      <c r="L927" s="5" t="n"/>
      <c r="M927" s="5" t="n"/>
      <c r="N927" s="5" t="n"/>
      <c r="O927" s="8">
        <f>IF($B927="","",IF(AND($A927&lt;&gt;"",COUNTIF(INV_ID,$A927)&gt;1),"⚠ this Unit ID already exists",IF(AND($H927&lt;&gt;"",COUNTIF(INV_Serial,$H927)&gt;1),"⚠ this serial already exists",IF(COUNTIFS(INV_Product,$B927,INV_No,$C927)&gt;1,"⚠ piece number reused",""))))</f>
        <v/>
      </c>
      <c r="P927" s="5" t="n"/>
    </row>
    <row r="928">
      <c r="A928" s="8">
        <f>IF(OR($B928="",$C928=""),"",IFERROR(INDEX(PM_Short,MATCH($B928,PM_ID,0))&amp;"-"&amp;TEXT($C928,"00"),"?? no such product"))</f>
        <v/>
      </c>
      <c r="B928" s="5" t="n"/>
      <c r="C928" s="5" t="n"/>
      <c r="D928" s="8">
        <f>IF($B928="","",IFERROR(INDEX(PM_Category,MATCH($B928,PM_ID,0)),""))</f>
        <v/>
      </c>
      <c r="E928" s="8">
        <f>IF($B928="","",IFERROR(INDEX(PM_Subcategory,MATCH($B928,PM_ID,0)),""))</f>
        <v/>
      </c>
      <c r="F928" s="8">
        <f>IF($B928="","",IFERROR(INDEX(PM_Brand,MATCH($B928,PM_ID,0)),""))</f>
        <v/>
      </c>
      <c r="G928" s="8">
        <f>IF($B928="","",IFERROR(INDEX(PM_Model,MATCH($B928,PM_ID,0)),""))</f>
        <v/>
      </c>
      <c r="H928" s="5" t="n"/>
      <c r="I928" s="10" t="n"/>
      <c r="J928" s="9" t="n"/>
      <c r="K928" s="5" t="n"/>
      <c r="L928" s="5" t="n"/>
      <c r="M928" s="5" t="n"/>
      <c r="N928" s="5" t="n"/>
      <c r="O928" s="8">
        <f>IF($B928="","",IF(AND($A928&lt;&gt;"",COUNTIF(INV_ID,$A928)&gt;1),"⚠ this Unit ID already exists",IF(AND($H928&lt;&gt;"",COUNTIF(INV_Serial,$H928)&gt;1),"⚠ this serial already exists",IF(COUNTIFS(INV_Product,$B928,INV_No,$C928)&gt;1,"⚠ piece number reused",""))))</f>
        <v/>
      </c>
      <c r="P928" s="5" t="n"/>
    </row>
    <row r="929">
      <c r="A929" s="8">
        <f>IF(OR($B929="",$C929=""),"",IFERROR(INDEX(PM_Short,MATCH($B929,PM_ID,0))&amp;"-"&amp;TEXT($C929,"00"),"?? no such product"))</f>
        <v/>
      </c>
      <c r="B929" s="5" t="n"/>
      <c r="C929" s="5" t="n"/>
      <c r="D929" s="8">
        <f>IF($B929="","",IFERROR(INDEX(PM_Category,MATCH($B929,PM_ID,0)),""))</f>
        <v/>
      </c>
      <c r="E929" s="8">
        <f>IF($B929="","",IFERROR(INDEX(PM_Subcategory,MATCH($B929,PM_ID,0)),""))</f>
        <v/>
      </c>
      <c r="F929" s="8">
        <f>IF($B929="","",IFERROR(INDEX(PM_Brand,MATCH($B929,PM_ID,0)),""))</f>
        <v/>
      </c>
      <c r="G929" s="8">
        <f>IF($B929="","",IFERROR(INDEX(PM_Model,MATCH($B929,PM_ID,0)),""))</f>
        <v/>
      </c>
      <c r="H929" s="5" t="n"/>
      <c r="I929" s="10" t="n"/>
      <c r="J929" s="9" t="n"/>
      <c r="K929" s="5" t="n"/>
      <c r="L929" s="5" t="n"/>
      <c r="M929" s="5" t="n"/>
      <c r="N929" s="5" t="n"/>
      <c r="O929" s="8">
        <f>IF($B929="","",IF(AND($A929&lt;&gt;"",COUNTIF(INV_ID,$A929)&gt;1),"⚠ this Unit ID already exists",IF(AND($H929&lt;&gt;"",COUNTIF(INV_Serial,$H929)&gt;1),"⚠ this serial already exists",IF(COUNTIFS(INV_Product,$B929,INV_No,$C929)&gt;1,"⚠ piece number reused",""))))</f>
        <v/>
      </c>
      <c r="P929" s="5" t="n"/>
    </row>
    <row r="930">
      <c r="A930" s="8">
        <f>IF(OR($B930="",$C930=""),"",IFERROR(INDEX(PM_Short,MATCH($B930,PM_ID,0))&amp;"-"&amp;TEXT($C930,"00"),"?? no such product"))</f>
        <v/>
      </c>
      <c r="B930" s="5" t="n"/>
      <c r="C930" s="5" t="n"/>
      <c r="D930" s="8">
        <f>IF($B930="","",IFERROR(INDEX(PM_Category,MATCH($B930,PM_ID,0)),""))</f>
        <v/>
      </c>
      <c r="E930" s="8">
        <f>IF($B930="","",IFERROR(INDEX(PM_Subcategory,MATCH($B930,PM_ID,0)),""))</f>
        <v/>
      </c>
      <c r="F930" s="8">
        <f>IF($B930="","",IFERROR(INDEX(PM_Brand,MATCH($B930,PM_ID,0)),""))</f>
        <v/>
      </c>
      <c r="G930" s="8">
        <f>IF($B930="","",IFERROR(INDEX(PM_Model,MATCH($B930,PM_ID,0)),""))</f>
        <v/>
      </c>
      <c r="H930" s="5" t="n"/>
      <c r="I930" s="10" t="n"/>
      <c r="J930" s="9" t="n"/>
      <c r="K930" s="5" t="n"/>
      <c r="L930" s="5" t="n"/>
      <c r="M930" s="5" t="n"/>
      <c r="N930" s="5" t="n"/>
      <c r="O930" s="8">
        <f>IF($B930="","",IF(AND($A930&lt;&gt;"",COUNTIF(INV_ID,$A930)&gt;1),"⚠ this Unit ID already exists",IF(AND($H930&lt;&gt;"",COUNTIF(INV_Serial,$H930)&gt;1),"⚠ this serial already exists",IF(COUNTIFS(INV_Product,$B930,INV_No,$C930)&gt;1,"⚠ piece number reused",""))))</f>
        <v/>
      </c>
      <c r="P930" s="5" t="n"/>
    </row>
    <row r="931">
      <c r="A931" s="8">
        <f>IF(OR($B931="",$C931=""),"",IFERROR(INDEX(PM_Short,MATCH($B931,PM_ID,0))&amp;"-"&amp;TEXT($C931,"00"),"?? no such product"))</f>
        <v/>
      </c>
      <c r="B931" s="5" t="n"/>
      <c r="C931" s="5" t="n"/>
      <c r="D931" s="8">
        <f>IF($B931="","",IFERROR(INDEX(PM_Category,MATCH($B931,PM_ID,0)),""))</f>
        <v/>
      </c>
      <c r="E931" s="8">
        <f>IF($B931="","",IFERROR(INDEX(PM_Subcategory,MATCH($B931,PM_ID,0)),""))</f>
        <v/>
      </c>
      <c r="F931" s="8">
        <f>IF($B931="","",IFERROR(INDEX(PM_Brand,MATCH($B931,PM_ID,0)),""))</f>
        <v/>
      </c>
      <c r="G931" s="8">
        <f>IF($B931="","",IFERROR(INDEX(PM_Model,MATCH($B931,PM_ID,0)),""))</f>
        <v/>
      </c>
      <c r="H931" s="5" t="n"/>
      <c r="I931" s="10" t="n"/>
      <c r="J931" s="9" t="n"/>
      <c r="K931" s="5" t="n"/>
      <c r="L931" s="5" t="n"/>
      <c r="M931" s="5" t="n"/>
      <c r="N931" s="5" t="n"/>
      <c r="O931" s="8">
        <f>IF($B931="","",IF(AND($A931&lt;&gt;"",COUNTIF(INV_ID,$A931)&gt;1),"⚠ this Unit ID already exists",IF(AND($H931&lt;&gt;"",COUNTIF(INV_Serial,$H931)&gt;1),"⚠ this serial already exists",IF(COUNTIFS(INV_Product,$B931,INV_No,$C931)&gt;1,"⚠ piece number reused",""))))</f>
        <v/>
      </c>
      <c r="P931" s="5" t="n"/>
    </row>
    <row r="932">
      <c r="A932" s="8">
        <f>IF(OR($B932="",$C932=""),"",IFERROR(INDEX(PM_Short,MATCH($B932,PM_ID,0))&amp;"-"&amp;TEXT($C932,"00"),"?? no such product"))</f>
        <v/>
      </c>
      <c r="B932" s="5" t="n"/>
      <c r="C932" s="5" t="n"/>
      <c r="D932" s="8">
        <f>IF($B932="","",IFERROR(INDEX(PM_Category,MATCH($B932,PM_ID,0)),""))</f>
        <v/>
      </c>
      <c r="E932" s="8">
        <f>IF($B932="","",IFERROR(INDEX(PM_Subcategory,MATCH($B932,PM_ID,0)),""))</f>
        <v/>
      </c>
      <c r="F932" s="8">
        <f>IF($B932="","",IFERROR(INDEX(PM_Brand,MATCH($B932,PM_ID,0)),""))</f>
        <v/>
      </c>
      <c r="G932" s="8">
        <f>IF($B932="","",IFERROR(INDEX(PM_Model,MATCH($B932,PM_ID,0)),""))</f>
        <v/>
      </c>
      <c r="H932" s="5" t="n"/>
      <c r="I932" s="10" t="n"/>
      <c r="J932" s="9" t="n"/>
      <c r="K932" s="5" t="n"/>
      <c r="L932" s="5" t="n"/>
      <c r="M932" s="5" t="n"/>
      <c r="N932" s="5" t="n"/>
      <c r="O932" s="8">
        <f>IF($B932="","",IF(AND($A932&lt;&gt;"",COUNTIF(INV_ID,$A932)&gt;1),"⚠ this Unit ID already exists",IF(AND($H932&lt;&gt;"",COUNTIF(INV_Serial,$H932)&gt;1),"⚠ this serial already exists",IF(COUNTIFS(INV_Product,$B932,INV_No,$C932)&gt;1,"⚠ piece number reused",""))))</f>
        <v/>
      </c>
      <c r="P932" s="5" t="n"/>
    </row>
    <row r="933">
      <c r="A933" s="8">
        <f>IF(OR($B933="",$C933=""),"",IFERROR(INDEX(PM_Short,MATCH($B933,PM_ID,0))&amp;"-"&amp;TEXT($C933,"00"),"?? no such product"))</f>
        <v/>
      </c>
      <c r="B933" s="5" t="n"/>
      <c r="C933" s="5" t="n"/>
      <c r="D933" s="8">
        <f>IF($B933="","",IFERROR(INDEX(PM_Category,MATCH($B933,PM_ID,0)),""))</f>
        <v/>
      </c>
      <c r="E933" s="8">
        <f>IF($B933="","",IFERROR(INDEX(PM_Subcategory,MATCH($B933,PM_ID,0)),""))</f>
        <v/>
      </c>
      <c r="F933" s="8">
        <f>IF($B933="","",IFERROR(INDEX(PM_Brand,MATCH($B933,PM_ID,0)),""))</f>
        <v/>
      </c>
      <c r="G933" s="8">
        <f>IF($B933="","",IFERROR(INDEX(PM_Model,MATCH($B933,PM_ID,0)),""))</f>
        <v/>
      </c>
      <c r="H933" s="5" t="n"/>
      <c r="I933" s="10" t="n"/>
      <c r="J933" s="9" t="n"/>
      <c r="K933" s="5" t="n"/>
      <c r="L933" s="5" t="n"/>
      <c r="M933" s="5" t="n"/>
      <c r="N933" s="5" t="n"/>
      <c r="O933" s="8">
        <f>IF($B933="","",IF(AND($A933&lt;&gt;"",COUNTIF(INV_ID,$A933)&gt;1),"⚠ this Unit ID already exists",IF(AND($H933&lt;&gt;"",COUNTIF(INV_Serial,$H933)&gt;1),"⚠ this serial already exists",IF(COUNTIFS(INV_Product,$B933,INV_No,$C933)&gt;1,"⚠ piece number reused",""))))</f>
        <v/>
      </c>
      <c r="P933" s="5" t="n"/>
    </row>
    <row r="934">
      <c r="A934" s="8">
        <f>IF(OR($B934="",$C934=""),"",IFERROR(INDEX(PM_Short,MATCH($B934,PM_ID,0))&amp;"-"&amp;TEXT($C934,"00"),"?? no such product"))</f>
        <v/>
      </c>
      <c r="B934" s="5" t="n"/>
      <c r="C934" s="5" t="n"/>
      <c r="D934" s="8">
        <f>IF($B934="","",IFERROR(INDEX(PM_Category,MATCH($B934,PM_ID,0)),""))</f>
        <v/>
      </c>
      <c r="E934" s="8">
        <f>IF($B934="","",IFERROR(INDEX(PM_Subcategory,MATCH($B934,PM_ID,0)),""))</f>
        <v/>
      </c>
      <c r="F934" s="8">
        <f>IF($B934="","",IFERROR(INDEX(PM_Brand,MATCH($B934,PM_ID,0)),""))</f>
        <v/>
      </c>
      <c r="G934" s="8">
        <f>IF($B934="","",IFERROR(INDEX(PM_Model,MATCH($B934,PM_ID,0)),""))</f>
        <v/>
      </c>
      <c r="H934" s="5" t="n"/>
      <c r="I934" s="10" t="n"/>
      <c r="J934" s="9" t="n"/>
      <c r="K934" s="5" t="n"/>
      <c r="L934" s="5" t="n"/>
      <c r="M934" s="5" t="n"/>
      <c r="N934" s="5" t="n"/>
      <c r="O934" s="8">
        <f>IF($B934="","",IF(AND($A934&lt;&gt;"",COUNTIF(INV_ID,$A934)&gt;1),"⚠ this Unit ID already exists",IF(AND($H934&lt;&gt;"",COUNTIF(INV_Serial,$H934)&gt;1),"⚠ this serial already exists",IF(COUNTIFS(INV_Product,$B934,INV_No,$C934)&gt;1,"⚠ piece number reused",""))))</f>
        <v/>
      </c>
      <c r="P934" s="5" t="n"/>
    </row>
    <row r="935">
      <c r="A935" s="8">
        <f>IF(OR($B935="",$C935=""),"",IFERROR(INDEX(PM_Short,MATCH($B935,PM_ID,0))&amp;"-"&amp;TEXT($C935,"00"),"?? no such product"))</f>
        <v/>
      </c>
      <c r="B935" s="5" t="n"/>
      <c r="C935" s="5" t="n"/>
      <c r="D935" s="8">
        <f>IF($B935="","",IFERROR(INDEX(PM_Category,MATCH($B935,PM_ID,0)),""))</f>
        <v/>
      </c>
      <c r="E935" s="8">
        <f>IF($B935="","",IFERROR(INDEX(PM_Subcategory,MATCH($B935,PM_ID,0)),""))</f>
        <v/>
      </c>
      <c r="F935" s="8">
        <f>IF($B935="","",IFERROR(INDEX(PM_Brand,MATCH($B935,PM_ID,0)),""))</f>
        <v/>
      </c>
      <c r="G935" s="8">
        <f>IF($B935="","",IFERROR(INDEX(PM_Model,MATCH($B935,PM_ID,0)),""))</f>
        <v/>
      </c>
      <c r="H935" s="5" t="n"/>
      <c r="I935" s="10" t="n"/>
      <c r="J935" s="9" t="n"/>
      <c r="K935" s="5" t="n"/>
      <c r="L935" s="5" t="n"/>
      <c r="M935" s="5" t="n"/>
      <c r="N935" s="5" t="n"/>
      <c r="O935" s="8">
        <f>IF($B935="","",IF(AND($A935&lt;&gt;"",COUNTIF(INV_ID,$A935)&gt;1),"⚠ this Unit ID already exists",IF(AND($H935&lt;&gt;"",COUNTIF(INV_Serial,$H935)&gt;1),"⚠ this serial already exists",IF(COUNTIFS(INV_Product,$B935,INV_No,$C935)&gt;1,"⚠ piece number reused",""))))</f>
        <v/>
      </c>
      <c r="P935" s="5" t="n"/>
    </row>
    <row r="936">
      <c r="A936" s="8">
        <f>IF(OR($B936="",$C936=""),"",IFERROR(INDEX(PM_Short,MATCH($B936,PM_ID,0))&amp;"-"&amp;TEXT($C936,"00"),"?? no such product"))</f>
        <v/>
      </c>
      <c r="B936" s="5" t="n"/>
      <c r="C936" s="5" t="n"/>
      <c r="D936" s="8">
        <f>IF($B936="","",IFERROR(INDEX(PM_Category,MATCH($B936,PM_ID,0)),""))</f>
        <v/>
      </c>
      <c r="E936" s="8">
        <f>IF($B936="","",IFERROR(INDEX(PM_Subcategory,MATCH($B936,PM_ID,0)),""))</f>
        <v/>
      </c>
      <c r="F936" s="8">
        <f>IF($B936="","",IFERROR(INDEX(PM_Brand,MATCH($B936,PM_ID,0)),""))</f>
        <v/>
      </c>
      <c r="G936" s="8">
        <f>IF($B936="","",IFERROR(INDEX(PM_Model,MATCH($B936,PM_ID,0)),""))</f>
        <v/>
      </c>
      <c r="H936" s="5" t="n"/>
      <c r="I936" s="10" t="n"/>
      <c r="J936" s="9" t="n"/>
      <c r="K936" s="5" t="n"/>
      <c r="L936" s="5" t="n"/>
      <c r="M936" s="5" t="n"/>
      <c r="N936" s="5" t="n"/>
      <c r="O936" s="8">
        <f>IF($B936="","",IF(AND($A936&lt;&gt;"",COUNTIF(INV_ID,$A936)&gt;1),"⚠ this Unit ID already exists",IF(AND($H936&lt;&gt;"",COUNTIF(INV_Serial,$H936)&gt;1),"⚠ this serial already exists",IF(COUNTIFS(INV_Product,$B936,INV_No,$C936)&gt;1,"⚠ piece number reused",""))))</f>
        <v/>
      </c>
      <c r="P936" s="5" t="n"/>
    </row>
    <row r="937">
      <c r="A937" s="8">
        <f>IF(OR($B937="",$C937=""),"",IFERROR(INDEX(PM_Short,MATCH($B937,PM_ID,0))&amp;"-"&amp;TEXT($C937,"00"),"?? no such product"))</f>
        <v/>
      </c>
      <c r="B937" s="5" t="n"/>
      <c r="C937" s="5" t="n"/>
      <c r="D937" s="8">
        <f>IF($B937="","",IFERROR(INDEX(PM_Category,MATCH($B937,PM_ID,0)),""))</f>
        <v/>
      </c>
      <c r="E937" s="8">
        <f>IF($B937="","",IFERROR(INDEX(PM_Subcategory,MATCH($B937,PM_ID,0)),""))</f>
        <v/>
      </c>
      <c r="F937" s="8">
        <f>IF($B937="","",IFERROR(INDEX(PM_Brand,MATCH($B937,PM_ID,0)),""))</f>
        <v/>
      </c>
      <c r="G937" s="8">
        <f>IF($B937="","",IFERROR(INDEX(PM_Model,MATCH($B937,PM_ID,0)),""))</f>
        <v/>
      </c>
      <c r="H937" s="5" t="n"/>
      <c r="I937" s="10" t="n"/>
      <c r="J937" s="9" t="n"/>
      <c r="K937" s="5" t="n"/>
      <c r="L937" s="5" t="n"/>
      <c r="M937" s="5" t="n"/>
      <c r="N937" s="5" t="n"/>
      <c r="O937" s="8">
        <f>IF($B937="","",IF(AND($A937&lt;&gt;"",COUNTIF(INV_ID,$A937)&gt;1),"⚠ this Unit ID already exists",IF(AND($H937&lt;&gt;"",COUNTIF(INV_Serial,$H937)&gt;1),"⚠ this serial already exists",IF(COUNTIFS(INV_Product,$B937,INV_No,$C937)&gt;1,"⚠ piece number reused",""))))</f>
        <v/>
      </c>
      <c r="P937" s="5" t="n"/>
    </row>
    <row r="938">
      <c r="A938" s="8">
        <f>IF(OR($B938="",$C938=""),"",IFERROR(INDEX(PM_Short,MATCH($B938,PM_ID,0))&amp;"-"&amp;TEXT($C938,"00"),"?? no such product"))</f>
        <v/>
      </c>
      <c r="B938" s="5" t="n"/>
      <c r="C938" s="5" t="n"/>
      <c r="D938" s="8">
        <f>IF($B938="","",IFERROR(INDEX(PM_Category,MATCH($B938,PM_ID,0)),""))</f>
        <v/>
      </c>
      <c r="E938" s="8">
        <f>IF($B938="","",IFERROR(INDEX(PM_Subcategory,MATCH($B938,PM_ID,0)),""))</f>
        <v/>
      </c>
      <c r="F938" s="8">
        <f>IF($B938="","",IFERROR(INDEX(PM_Brand,MATCH($B938,PM_ID,0)),""))</f>
        <v/>
      </c>
      <c r="G938" s="8">
        <f>IF($B938="","",IFERROR(INDEX(PM_Model,MATCH($B938,PM_ID,0)),""))</f>
        <v/>
      </c>
      <c r="H938" s="5" t="n"/>
      <c r="I938" s="10" t="n"/>
      <c r="J938" s="9" t="n"/>
      <c r="K938" s="5" t="n"/>
      <c r="L938" s="5" t="n"/>
      <c r="M938" s="5" t="n"/>
      <c r="N938" s="5" t="n"/>
      <c r="O938" s="8">
        <f>IF($B938="","",IF(AND($A938&lt;&gt;"",COUNTIF(INV_ID,$A938)&gt;1),"⚠ this Unit ID already exists",IF(AND($H938&lt;&gt;"",COUNTIF(INV_Serial,$H938)&gt;1),"⚠ this serial already exists",IF(COUNTIFS(INV_Product,$B938,INV_No,$C938)&gt;1,"⚠ piece number reused",""))))</f>
        <v/>
      </c>
      <c r="P938" s="5" t="n"/>
    </row>
    <row r="939">
      <c r="A939" s="8">
        <f>IF(OR($B939="",$C939=""),"",IFERROR(INDEX(PM_Short,MATCH($B939,PM_ID,0))&amp;"-"&amp;TEXT($C939,"00"),"?? no such product"))</f>
        <v/>
      </c>
      <c r="B939" s="5" t="n"/>
      <c r="C939" s="5" t="n"/>
      <c r="D939" s="8">
        <f>IF($B939="","",IFERROR(INDEX(PM_Category,MATCH($B939,PM_ID,0)),""))</f>
        <v/>
      </c>
      <c r="E939" s="8">
        <f>IF($B939="","",IFERROR(INDEX(PM_Subcategory,MATCH($B939,PM_ID,0)),""))</f>
        <v/>
      </c>
      <c r="F939" s="8">
        <f>IF($B939="","",IFERROR(INDEX(PM_Brand,MATCH($B939,PM_ID,0)),""))</f>
        <v/>
      </c>
      <c r="G939" s="8">
        <f>IF($B939="","",IFERROR(INDEX(PM_Model,MATCH($B939,PM_ID,0)),""))</f>
        <v/>
      </c>
      <c r="H939" s="5" t="n"/>
      <c r="I939" s="10" t="n"/>
      <c r="J939" s="9" t="n"/>
      <c r="K939" s="5" t="n"/>
      <c r="L939" s="5" t="n"/>
      <c r="M939" s="5" t="n"/>
      <c r="N939" s="5" t="n"/>
      <c r="O939" s="8">
        <f>IF($B939="","",IF(AND($A939&lt;&gt;"",COUNTIF(INV_ID,$A939)&gt;1),"⚠ this Unit ID already exists",IF(AND($H939&lt;&gt;"",COUNTIF(INV_Serial,$H939)&gt;1),"⚠ this serial already exists",IF(COUNTIFS(INV_Product,$B939,INV_No,$C939)&gt;1,"⚠ piece number reused",""))))</f>
        <v/>
      </c>
      <c r="P939" s="5" t="n"/>
    </row>
    <row r="940">
      <c r="A940" s="8">
        <f>IF(OR($B940="",$C940=""),"",IFERROR(INDEX(PM_Short,MATCH($B940,PM_ID,0))&amp;"-"&amp;TEXT($C940,"00"),"?? no such product"))</f>
        <v/>
      </c>
      <c r="B940" s="5" t="n"/>
      <c r="C940" s="5" t="n"/>
      <c r="D940" s="8">
        <f>IF($B940="","",IFERROR(INDEX(PM_Category,MATCH($B940,PM_ID,0)),""))</f>
        <v/>
      </c>
      <c r="E940" s="8">
        <f>IF($B940="","",IFERROR(INDEX(PM_Subcategory,MATCH($B940,PM_ID,0)),""))</f>
        <v/>
      </c>
      <c r="F940" s="8">
        <f>IF($B940="","",IFERROR(INDEX(PM_Brand,MATCH($B940,PM_ID,0)),""))</f>
        <v/>
      </c>
      <c r="G940" s="8">
        <f>IF($B940="","",IFERROR(INDEX(PM_Model,MATCH($B940,PM_ID,0)),""))</f>
        <v/>
      </c>
      <c r="H940" s="5" t="n"/>
      <c r="I940" s="10" t="n"/>
      <c r="J940" s="9" t="n"/>
      <c r="K940" s="5" t="n"/>
      <c r="L940" s="5" t="n"/>
      <c r="M940" s="5" t="n"/>
      <c r="N940" s="5" t="n"/>
      <c r="O940" s="8">
        <f>IF($B940="","",IF(AND($A940&lt;&gt;"",COUNTIF(INV_ID,$A940)&gt;1),"⚠ this Unit ID already exists",IF(AND($H940&lt;&gt;"",COUNTIF(INV_Serial,$H940)&gt;1),"⚠ this serial already exists",IF(COUNTIFS(INV_Product,$B940,INV_No,$C940)&gt;1,"⚠ piece number reused",""))))</f>
        <v/>
      </c>
      <c r="P940" s="5" t="n"/>
    </row>
    <row r="941">
      <c r="A941" s="8">
        <f>IF(OR($B941="",$C941=""),"",IFERROR(INDEX(PM_Short,MATCH($B941,PM_ID,0))&amp;"-"&amp;TEXT($C941,"00"),"?? no such product"))</f>
        <v/>
      </c>
      <c r="B941" s="5" t="n"/>
      <c r="C941" s="5" t="n"/>
      <c r="D941" s="8">
        <f>IF($B941="","",IFERROR(INDEX(PM_Category,MATCH($B941,PM_ID,0)),""))</f>
        <v/>
      </c>
      <c r="E941" s="8">
        <f>IF($B941="","",IFERROR(INDEX(PM_Subcategory,MATCH($B941,PM_ID,0)),""))</f>
        <v/>
      </c>
      <c r="F941" s="8">
        <f>IF($B941="","",IFERROR(INDEX(PM_Brand,MATCH($B941,PM_ID,0)),""))</f>
        <v/>
      </c>
      <c r="G941" s="8">
        <f>IF($B941="","",IFERROR(INDEX(PM_Model,MATCH($B941,PM_ID,0)),""))</f>
        <v/>
      </c>
      <c r="H941" s="5" t="n"/>
      <c r="I941" s="10" t="n"/>
      <c r="J941" s="9" t="n"/>
      <c r="K941" s="5" t="n"/>
      <c r="L941" s="5" t="n"/>
      <c r="M941" s="5" t="n"/>
      <c r="N941" s="5" t="n"/>
      <c r="O941" s="8">
        <f>IF($B941="","",IF(AND($A941&lt;&gt;"",COUNTIF(INV_ID,$A941)&gt;1),"⚠ this Unit ID already exists",IF(AND($H941&lt;&gt;"",COUNTIF(INV_Serial,$H941)&gt;1),"⚠ this serial already exists",IF(COUNTIFS(INV_Product,$B941,INV_No,$C941)&gt;1,"⚠ piece number reused",""))))</f>
        <v/>
      </c>
      <c r="P941" s="5" t="n"/>
    </row>
    <row r="942">
      <c r="A942" s="8">
        <f>IF(OR($B942="",$C942=""),"",IFERROR(INDEX(PM_Short,MATCH($B942,PM_ID,0))&amp;"-"&amp;TEXT($C942,"00"),"?? no such product"))</f>
        <v/>
      </c>
      <c r="B942" s="5" t="n"/>
      <c r="C942" s="5" t="n"/>
      <c r="D942" s="8">
        <f>IF($B942="","",IFERROR(INDEX(PM_Category,MATCH($B942,PM_ID,0)),""))</f>
        <v/>
      </c>
      <c r="E942" s="8">
        <f>IF($B942="","",IFERROR(INDEX(PM_Subcategory,MATCH($B942,PM_ID,0)),""))</f>
        <v/>
      </c>
      <c r="F942" s="8">
        <f>IF($B942="","",IFERROR(INDEX(PM_Brand,MATCH($B942,PM_ID,0)),""))</f>
        <v/>
      </c>
      <c r="G942" s="8">
        <f>IF($B942="","",IFERROR(INDEX(PM_Model,MATCH($B942,PM_ID,0)),""))</f>
        <v/>
      </c>
      <c r="H942" s="5" t="n"/>
      <c r="I942" s="10" t="n"/>
      <c r="J942" s="9" t="n"/>
      <c r="K942" s="5" t="n"/>
      <c r="L942" s="5" t="n"/>
      <c r="M942" s="5" t="n"/>
      <c r="N942" s="5" t="n"/>
      <c r="O942" s="8">
        <f>IF($B942="","",IF(AND($A942&lt;&gt;"",COUNTIF(INV_ID,$A942)&gt;1),"⚠ this Unit ID already exists",IF(AND($H942&lt;&gt;"",COUNTIF(INV_Serial,$H942)&gt;1),"⚠ this serial already exists",IF(COUNTIFS(INV_Product,$B942,INV_No,$C942)&gt;1,"⚠ piece number reused",""))))</f>
        <v/>
      </c>
      <c r="P942" s="5" t="n"/>
    </row>
    <row r="943">
      <c r="A943" s="8">
        <f>IF(OR($B943="",$C943=""),"",IFERROR(INDEX(PM_Short,MATCH($B943,PM_ID,0))&amp;"-"&amp;TEXT($C943,"00"),"?? no such product"))</f>
        <v/>
      </c>
      <c r="B943" s="5" t="n"/>
      <c r="C943" s="5" t="n"/>
      <c r="D943" s="8">
        <f>IF($B943="","",IFERROR(INDEX(PM_Category,MATCH($B943,PM_ID,0)),""))</f>
        <v/>
      </c>
      <c r="E943" s="8">
        <f>IF($B943="","",IFERROR(INDEX(PM_Subcategory,MATCH($B943,PM_ID,0)),""))</f>
        <v/>
      </c>
      <c r="F943" s="8">
        <f>IF($B943="","",IFERROR(INDEX(PM_Brand,MATCH($B943,PM_ID,0)),""))</f>
        <v/>
      </c>
      <c r="G943" s="8">
        <f>IF($B943="","",IFERROR(INDEX(PM_Model,MATCH($B943,PM_ID,0)),""))</f>
        <v/>
      </c>
      <c r="H943" s="5" t="n"/>
      <c r="I943" s="10" t="n"/>
      <c r="J943" s="9" t="n"/>
      <c r="K943" s="5" t="n"/>
      <c r="L943" s="5" t="n"/>
      <c r="M943" s="5" t="n"/>
      <c r="N943" s="5" t="n"/>
      <c r="O943" s="8">
        <f>IF($B943="","",IF(AND($A943&lt;&gt;"",COUNTIF(INV_ID,$A943)&gt;1),"⚠ this Unit ID already exists",IF(AND($H943&lt;&gt;"",COUNTIF(INV_Serial,$H943)&gt;1),"⚠ this serial already exists",IF(COUNTIFS(INV_Product,$B943,INV_No,$C943)&gt;1,"⚠ piece number reused",""))))</f>
        <v/>
      </c>
      <c r="P943" s="5" t="n"/>
    </row>
    <row r="944">
      <c r="A944" s="8">
        <f>IF(OR($B944="",$C944=""),"",IFERROR(INDEX(PM_Short,MATCH($B944,PM_ID,0))&amp;"-"&amp;TEXT($C944,"00"),"?? no such product"))</f>
        <v/>
      </c>
      <c r="B944" s="5" t="n"/>
      <c r="C944" s="5" t="n"/>
      <c r="D944" s="8">
        <f>IF($B944="","",IFERROR(INDEX(PM_Category,MATCH($B944,PM_ID,0)),""))</f>
        <v/>
      </c>
      <c r="E944" s="8">
        <f>IF($B944="","",IFERROR(INDEX(PM_Subcategory,MATCH($B944,PM_ID,0)),""))</f>
        <v/>
      </c>
      <c r="F944" s="8">
        <f>IF($B944="","",IFERROR(INDEX(PM_Brand,MATCH($B944,PM_ID,0)),""))</f>
        <v/>
      </c>
      <c r="G944" s="8">
        <f>IF($B944="","",IFERROR(INDEX(PM_Model,MATCH($B944,PM_ID,0)),""))</f>
        <v/>
      </c>
      <c r="H944" s="5" t="n"/>
      <c r="I944" s="10" t="n"/>
      <c r="J944" s="9" t="n"/>
      <c r="K944" s="5" t="n"/>
      <c r="L944" s="5" t="n"/>
      <c r="M944" s="5" t="n"/>
      <c r="N944" s="5" t="n"/>
      <c r="O944" s="8">
        <f>IF($B944="","",IF(AND($A944&lt;&gt;"",COUNTIF(INV_ID,$A944)&gt;1),"⚠ this Unit ID already exists",IF(AND($H944&lt;&gt;"",COUNTIF(INV_Serial,$H944)&gt;1),"⚠ this serial already exists",IF(COUNTIFS(INV_Product,$B944,INV_No,$C944)&gt;1,"⚠ piece number reused",""))))</f>
        <v/>
      </c>
      <c r="P944" s="5" t="n"/>
    </row>
    <row r="945">
      <c r="A945" s="8">
        <f>IF(OR($B945="",$C945=""),"",IFERROR(INDEX(PM_Short,MATCH($B945,PM_ID,0))&amp;"-"&amp;TEXT($C945,"00"),"?? no such product"))</f>
        <v/>
      </c>
      <c r="B945" s="5" t="n"/>
      <c r="C945" s="5" t="n"/>
      <c r="D945" s="8">
        <f>IF($B945="","",IFERROR(INDEX(PM_Category,MATCH($B945,PM_ID,0)),""))</f>
        <v/>
      </c>
      <c r="E945" s="8">
        <f>IF($B945="","",IFERROR(INDEX(PM_Subcategory,MATCH($B945,PM_ID,0)),""))</f>
        <v/>
      </c>
      <c r="F945" s="8">
        <f>IF($B945="","",IFERROR(INDEX(PM_Brand,MATCH($B945,PM_ID,0)),""))</f>
        <v/>
      </c>
      <c r="G945" s="8">
        <f>IF($B945="","",IFERROR(INDEX(PM_Model,MATCH($B945,PM_ID,0)),""))</f>
        <v/>
      </c>
      <c r="H945" s="5" t="n"/>
      <c r="I945" s="10" t="n"/>
      <c r="J945" s="9" t="n"/>
      <c r="K945" s="5" t="n"/>
      <c r="L945" s="5" t="n"/>
      <c r="M945" s="5" t="n"/>
      <c r="N945" s="5" t="n"/>
      <c r="O945" s="8">
        <f>IF($B945="","",IF(AND($A945&lt;&gt;"",COUNTIF(INV_ID,$A945)&gt;1),"⚠ this Unit ID already exists",IF(AND($H945&lt;&gt;"",COUNTIF(INV_Serial,$H945)&gt;1),"⚠ this serial already exists",IF(COUNTIFS(INV_Product,$B945,INV_No,$C945)&gt;1,"⚠ piece number reused",""))))</f>
        <v/>
      </c>
      <c r="P945" s="5" t="n"/>
    </row>
    <row r="946">
      <c r="A946" s="8">
        <f>IF(OR($B946="",$C946=""),"",IFERROR(INDEX(PM_Short,MATCH($B946,PM_ID,0))&amp;"-"&amp;TEXT($C946,"00"),"?? no such product"))</f>
        <v/>
      </c>
      <c r="B946" s="5" t="n"/>
      <c r="C946" s="5" t="n"/>
      <c r="D946" s="8">
        <f>IF($B946="","",IFERROR(INDEX(PM_Category,MATCH($B946,PM_ID,0)),""))</f>
        <v/>
      </c>
      <c r="E946" s="8">
        <f>IF($B946="","",IFERROR(INDEX(PM_Subcategory,MATCH($B946,PM_ID,0)),""))</f>
        <v/>
      </c>
      <c r="F946" s="8">
        <f>IF($B946="","",IFERROR(INDEX(PM_Brand,MATCH($B946,PM_ID,0)),""))</f>
        <v/>
      </c>
      <c r="G946" s="8">
        <f>IF($B946="","",IFERROR(INDEX(PM_Model,MATCH($B946,PM_ID,0)),""))</f>
        <v/>
      </c>
      <c r="H946" s="5" t="n"/>
      <c r="I946" s="10" t="n"/>
      <c r="J946" s="9" t="n"/>
      <c r="K946" s="5" t="n"/>
      <c r="L946" s="5" t="n"/>
      <c r="M946" s="5" t="n"/>
      <c r="N946" s="5" t="n"/>
      <c r="O946" s="8">
        <f>IF($B946="","",IF(AND($A946&lt;&gt;"",COUNTIF(INV_ID,$A946)&gt;1),"⚠ this Unit ID already exists",IF(AND($H946&lt;&gt;"",COUNTIF(INV_Serial,$H946)&gt;1),"⚠ this serial already exists",IF(COUNTIFS(INV_Product,$B946,INV_No,$C946)&gt;1,"⚠ piece number reused",""))))</f>
        <v/>
      </c>
      <c r="P946" s="5" t="n"/>
    </row>
    <row r="947">
      <c r="A947" s="8">
        <f>IF(OR($B947="",$C947=""),"",IFERROR(INDEX(PM_Short,MATCH($B947,PM_ID,0))&amp;"-"&amp;TEXT($C947,"00"),"?? no such product"))</f>
        <v/>
      </c>
      <c r="B947" s="5" t="n"/>
      <c r="C947" s="5" t="n"/>
      <c r="D947" s="8">
        <f>IF($B947="","",IFERROR(INDEX(PM_Category,MATCH($B947,PM_ID,0)),""))</f>
        <v/>
      </c>
      <c r="E947" s="8">
        <f>IF($B947="","",IFERROR(INDEX(PM_Subcategory,MATCH($B947,PM_ID,0)),""))</f>
        <v/>
      </c>
      <c r="F947" s="8">
        <f>IF($B947="","",IFERROR(INDEX(PM_Brand,MATCH($B947,PM_ID,0)),""))</f>
        <v/>
      </c>
      <c r="G947" s="8">
        <f>IF($B947="","",IFERROR(INDEX(PM_Model,MATCH($B947,PM_ID,0)),""))</f>
        <v/>
      </c>
      <c r="H947" s="5" t="n"/>
      <c r="I947" s="10" t="n"/>
      <c r="J947" s="9" t="n"/>
      <c r="K947" s="5" t="n"/>
      <c r="L947" s="5" t="n"/>
      <c r="M947" s="5" t="n"/>
      <c r="N947" s="5" t="n"/>
      <c r="O947" s="8">
        <f>IF($B947="","",IF(AND($A947&lt;&gt;"",COUNTIF(INV_ID,$A947)&gt;1),"⚠ this Unit ID already exists",IF(AND($H947&lt;&gt;"",COUNTIF(INV_Serial,$H947)&gt;1),"⚠ this serial already exists",IF(COUNTIFS(INV_Product,$B947,INV_No,$C947)&gt;1,"⚠ piece number reused",""))))</f>
        <v/>
      </c>
      <c r="P947" s="5" t="n"/>
    </row>
    <row r="948">
      <c r="A948" s="8">
        <f>IF(OR($B948="",$C948=""),"",IFERROR(INDEX(PM_Short,MATCH($B948,PM_ID,0))&amp;"-"&amp;TEXT($C948,"00"),"?? no such product"))</f>
        <v/>
      </c>
      <c r="B948" s="5" t="n"/>
      <c r="C948" s="5" t="n"/>
      <c r="D948" s="8">
        <f>IF($B948="","",IFERROR(INDEX(PM_Category,MATCH($B948,PM_ID,0)),""))</f>
        <v/>
      </c>
      <c r="E948" s="8">
        <f>IF($B948="","",IFERROR(INDEX(PM_Subcategory,MATCH($B948,PM_ID,0)),""))</f>
        <v/>
      </c>
      <c r="F948" s="8">
        <f>IF($B948="","",IFERROR(INDEX(PM_Brand,MATCH($B948,PM_ID,0)),""))</f>
        <v/>
      </c>
      <c r="G948" s="8">
        <f>IF($B948="","",IFERROR(INDEX(PM_Model,MATCH($B948,PM_ID,0)),""))</f>
        <v/>
      </c>
      <c r="H948" s="5" t="n"/>
      <c r="I948" s="10" t="n"/>
      <c r="J948" s="9" t="n"/>
      <c r="K948" s="5" t="n"/>
      <c r="L948" s="5" t="n"/>
      <c r="M948" s="5" t="n"/>
      <c r="N948" s="5" t="n"/>
      <c r="O948" s="8">
        <f>IF($B948="","",IF(AND($A948&lt;&gt;"",COUNTIF(INV_ID,$A948)&gt;1),"⚠ this Unit ID already exists",IF(AND($H948&lt;&gt;"",COUNTIF(INV_Serial,$H948)&gt;1),"⚠ this serial already exists",IF(COUNTIFS(INV_Product,$B948,INV_No,$C948)&gt;1,"⚠ piece number reused",""))))</f>
        <v/>
      </c>
      <c r="P948" s="5" t="n"/>
    </row>
    <row r="949">
      <c r="A949" s="8">
        <f>IF(OR($B949="",$C949=""),"",IFERROR(INDEX(PM_Short,MATCH($B949,PM_ID,0))&amp;"-"&amp;TEXT($C949,"00"),"?? no such product"))</f>
        <v/>
      </c>
      <c r="B949" s="5" t="n"/>
      <c r="C949" s="5" t="n"/>
      <c r="D949" s="8">
        <f>IF($B949="","",IFERROR(INDEX(PM_Category,MATCH($B949,PM_ID,0)),""))</f>
        <v/>
      </c>
      <c r="E949" s="8">
        <f>IF($B949="","",IFERROR(INDEX(PM_Subcategory,MATCH($B949,PM_ID,0)),""))</f>
        <v/>
      </c>
      <c r="F949" s="8">
        <f>IF($B949="","",IFERROR(INDEX(PM_Brand,MATCH($B949,PM_ID,0)),""))</f>
        <v/>
      </c>
      <c r="G949" s="8">
        <f>IF($B949="","",IFERROR(INDEX(PM_Model,MATCH($B949,PM_ID,0)),""))</f>
        <v/>
      </c>
      <c r="H949" s="5" t="n"/>
      <c r="I949" s="10" t="n"/>
      <c r="J949" s="9" t="n"/>
      <c r="K949" s="5" t="n"/>
      <c r="L949" s="5" t="n"/>
      <c r="M949" s="5" t="n"/>
      <c r="N949" s="5" t="n"/>
      <c r="O949" s="8">
        <f>IF($B949="","",IF(AND($A949&lt;&gt;"",COUNTIF(INV_ID,$A949)&gt;1),"⚠ this Unit ID already exists",IF(AND($H949&lt;&gt;"",COUNTIF(INV_Serial,$H949)&gt;1),"⚠ this serial already exists",IF(COUNTIFS(INV_Product,$B949,INV_No,$C949)&gt;1,"⚠ piece number reused",""))))</f>
        <v/>
      </c>
      <c r="P949" s="5" t="n"/>
    </row>
    <row r="950">
      <c r="A950" s="8">
        <f>IF(OR($B950="",$C950=""),"",IFERROR(INDEX(PM_Short,MATCH($B950,PM_ID,0))&amp;"-"&amp;TEXT($C950,"00"),"?? no such product"))</f>
        <v/>
      </c>
      <c r="B950" s="5" t="n"/>
      <c r="C950" s="5" t="n"/>
      <c r="D950" s="8">
        <f>IF($B950="","",IFERROR(INDEX(PM_Category,MATCH($B950,PM_ID,0)),""))</f>
        <v/>
      </c>
      <c r="E950" s="8">
        <f>IF($B950="","",IFERROR(INDEX(PM_Subcategory,MATCH($B950,PM_ID,0)),""))</f>
        <v/>
      </c>
      <c r="F950" s="8">
        <f>IF($B950="","",IFERROR(INDEX(PM_Brand,MATCH($B950,PM_ID,0)),""))</f>
        <v/>
      </c>
      <c r="G950" s="8">
        <f>IF($B950="","",IFERROR(INDEX(PM_Model,MATCH($B950,PM_ID,0)),""))</f>
        <v/>
      </c>
      <c r="H950" s="5" t="n"/>
      <c r="I950" s="10" t="n"/>
      <c r="J950" s="9" t="n"/>
      <c r="K950" s="5" t="n"/>
      <c r="L950" s="5" t="n"/>
      <c r="M950" s="5" t="n"/>
      <c r="N950" s="5" t="n"/>
      <c r="O950" s="8">
        <f>IF($B950="","",IF(AND($A950&lt;&gt;"",COUNTIF(INV_ID,$A950)&gt;1),"⚠ this Unit ID already exists",IF(AND($H950&lt;&gt;"",COUNTIF(INV_Serial,$H950)&gt;1),"⚠ this serial already exists",IF(COUNTIFS(INV_Product,$B950,INV_No,$C950)&gt;1,"⚠ piece number reused",""))))</f>
        <v/>
      </c>
      <c r="P950" s="5" t="n"/>
    </row>
    <row r="951">
      <c r="A951" s="8">
        <f>IF(OR($B951="",$C951=""),"",IFERROR(INDEX(PM_Short,MATCH($B951,PM_ID,0))&amp;"-"&amp;TEXT($C951,"00"),"?? no such product"))</f>
        <v/>
      </c>
      <c r="B951" s="5" t="n"/>
      <c r="C951" s="5" t="n"/>
      <c r="D951" s="8">
        <f>IF($B951="","",IFERROR(INDEX(PM_Category,MATCH($B951,PM_ID,0)),""))</f>
        <v/>
      </c>
      <c r="E951" s="8">
        <f>IF($B951="","",IFERROR(INDEX(PM_Subcategory,MATCH($B951,PM_ID,0)),""))</f>
        <v/>
      </c>
      <c r="F951" s="8">
        <f>IF($B951="","",IFERROR(INDEX(PM_Brand,MATCH($B951,PM_ID,0)),""))</f>
        <v/>
      </c>
      <c r="G951" s="8">
        <f>IF($B951="","",IFERROR(INDEX(PM_Model,MATCH($B951,PM_ID,0)),""))</f>
        <v/>
      </c>
      <c r="H951" s="5" t="n"/>
      <c r="I951" s="10" t="n"/>
      <c r="J951" s="9" t="n"/>
      <c r="K951" s="5" t="n"/>
      <c r="L951" s="5" t="n"/>
      <c r="M951" s="5" t="n"/>
      <c r="N951" s="5" t="n"/>
      <c r="O951" s="8">
        <f>IF($B951="","",IF(AND($A951&lt;&gt;"",COUNTIF(INV_ID,$A951)&gt;1),"⚠ this Unit ID already exists",IF(AND($H951&lt;&gt;"",COUNTIF(INV_Serial,$H951)&gt;1),"⚠ this serial already exists",IF(COUNTIFS(INV_Product,$B951,INV_No,$C951)&gt;1,"⚠ piece number reused",""))))</f>
        <v/>
      </c>
      <c r="P951" s="5" t="n"/>
    </row>
    <row r="952">
      <c r="A952" s="8">
        <f>IF(OR($B952="",$C952=""),"",IFERROR(INDEX(PM_Short,MATCH($B952,PM_ID,0))&amp;"-"&amp;TEXT($C952,"00"),"?? no such product"))</f>
        <v/>
      </c>
      <c r="B952" s="5" t="n"/>
      <c r="C952" s="5" t="n"/>
      <c r="D952" s="8">
        <f>IF($B952="","",IFERROR(INDEX(PM_Category,MATCH($B952,PM_ID,0)),""))</f>
        <v/>
      </c>
      <c r="E952" s="8">
        <f>IF($B952="","",IFERROR(INDEX(PM_Subcategory,MATCH($B952,PM_ID,0)),""))</f>
        <v/>
      </c>
      <c r="F952" s="8">
        <f>IF($B952="","",IFERROR(INDEX(PM_Brand,MATCH($B952,PM_ID,0)),""))</f>
        <v/>
      </c>
      <c r="G952" s="8">
        <f>IF($B952="","",IFERROR(INDEX(PM_Model,MATCH($B952,PM_ID,0)),""))</f>
        <v/>
      </c>
      <c r="H952" s="5" t="n"/>
      <c r="I952" s="10" t="n"/>
      <c r="J952" s="9" t="n"/>
      <c r="K952" s="5" t="n"/>
      <c r="L952" s="5" t="n"/>
      <c r="M952" s="5" t="n"/>
      <c r="N952" s="5" t="n"/>
      <c r="O952" s="8">
        <f>IF($B952="","",IF(AND($A952&lt;&gt;"",COUNTIF(INV_ID,$A952)&gt;1),"⚠ this Unit ID already exists",IF(AND($H952&lt;&gt;"",COUNTIF(INV_Serial,$H952)&gt;1),"⚠ this serial already exists",IF(COUNTIFS(INV_Product,$B952,INV_No,$C952)&gt;1,"⚠ piece number reused",""))))</f>
        <v/>
      </c>
      <c r="P952" s="5" t="n"/>
    </row>
    <row r="953">
      <c r="A953" s="8">
        <f>IF(OR($B953="",$C953=""),"",IFERROR(INDEX(PM_Short,MATCH($B953,PM_ID,0))&amp;"-"&amp;TEXT($C953,"00"),"?? no such product"))</f>
        <v/>
      </c>
      <c r="B953" s="5" t="n"/>
      <c r="C953" s="5" t="n"/>
      <c r="D953" s="8">
        <f>IF($B953="","",IFERROR(INDEX(PM_Category,MATCH($B953,PM_ID,0)),""))</f>
        <v/>
      </c>
      <c r="E953" s="8">
        <f>IF($B953="","",IFERROR(INDEX(PM_Subcategory,MATCH($B953,PM_ID,0)),""))</f>
        <v/>
      </c>
      <c r="F953" s="8">
        <f>IF($B953="","",IFERROR(INDEX(PM_Brand,MATCH($B953,PM_ID,0)),""))</f>
        <v/>
      </c>
      <c r="G953" s="8">
        <f>IF($B953="","",IFERROR(INDEX(PM_Model,MATCH($B953,PM_ID,0)),""))</f>
        <v/>
      </c>
      <c r="H953" s="5" t="n"/>
      <c r="I953" s="10" t="n"/>
      <c r="J953" s="9" t="n"/>
      <c r="K953" s="5" t="n"/>
      <c r="L953" s="5" t="n"/>
      <c r="M953" s="5" t="n"/>
      <c r="N953" s="5" t="n"/>
      <c r="O953" s="8">
        <f>IF($B953="","",IF(AND($A953&lt;&gt;"",COUNTIF(INV_ID,$A953)&gt;1),"⚠ this Unit ID already exists",IF(AND($H953&lt;&gt;"",COUNTIF(INV_Serial,$H953)&gt;1),"⚠ this serial already exists",IF(COUNTIFS(INV_Product,$B953,INV_No,$C953)&gt;1,"⚠ piece number reused",""))))</f>
        <v/>
      </c>
      <c r="P953" s="5" t="n"/>
    </row>
    <row r="954">
      <c r="A954" s="8">
        <f>IF(OR($B954="",$C954=""),"",IFERROR(INDEX(PM_Short,MATCH($B954,PM_ID,0))&amp;"-"&amp;TEXT($C954,"00"),"?? no such product"))</f>
        <v/>
      </c>
      <c r="B954" s="5" t="n"/>
      <c r="C954" s="5" t="n"/>
      <c r="D954" s="8">
        <f>IF($B954="","",IFERROR(INDEX(PM_Category,MATCH($B954,PM_ID,0)),""))</f>
        <v/>
      </c>
      <c r="E954" s="8">
        <f>IF($B954="","",IFERROR(INDEX(PM_Subcategory,MATCH($B954,PM_ID,0)),""))</f>
        <v/>
      </c>
      <c r="F954" s="8">
        <f>IF($B954="","",IFERROR(INDEX(PM_Brand,MATCH($B954,PM_ID,0)),""))</f>
        <v/>
      </c>
      <c r="G954" s="8">
        <f>IF($B954="","",IFERROR(INDEX(PM_Model,MATCH($B954,PM_ID,0)),""))</f>
        <v/>
      </c>
      <c r="H954" s="5" t="n"/>
      <c r="I954" s="10" t="n"/>
      <c r="J954" s="9" t="n"/>
      <c r="K954" s="5" t="n"/>
      <c r="L954" s="5" t="n"/>
      <c r="M954" s="5" t="n"/>
      <c r="N954" s="5" t="n"/>
      <c r="O954" s="8">
        <f>IF($B954="","",IF(AND($A954&lt;&gt;"",COUNTIF(INV_ID,$A954)&gt;1),"⚠ this Unit ID already exists",IF(AND($H954&lt;&gt;"",COUNTIF(INV_Serial,$H954)&gt;1),"⚠ this serial already exists",IF(COUNTIFS(INV_Product,$B954,INV_No,$C954)&gt;1,"⚠ piece number reused",""))))</f>
        <v/>
      </c>
      <c r="P954" s="5" t="n"/>
    </row>
    <row r="955">
      <c r="A955" s="8">
        <f>IF(OR($B955="",$C955=""),"",IFERROR(INDEX(PM_Short,MATCH($B955,PM_ID,0))&amp;"-"&amp;TEXT($C955,"00"),"?? no such product"))</f>
        <v/>
      </c>
      <c r="B955" s="5" t="n"/>
      <c r="C955" s="5" t="n"/>
      <c r="D955" s="8">
        <f>IF($B955="","",IFERROR(INDEX(PM_Category,MATCH($B955,PM_ID,0)),""))</f>
        <v/>
      </c>
      <c r="E955" s="8">
        <f>IF($B955="","",IFERROR(INDEX(PM_Subcategory,MATCH($B955,PM_ID,0)),""))</f>
        <v/>
      </c>
      <c r="F955" s="8">
        <f>IF($B955="","",IFERROR(INDEX(PM_Brand,MATCH($B955,PM_ID,0)),""))</f>
        <v/>
      </c>
      <c r="G955" s="8">
        <f>IF($B955="","",IFERROR(INDEX(PM_Model,MATCH($B955,PM_ID,0)),""))</f>
        <v/>
      </c>
      <c r="H955" s="5" t="n"/>
      <c r="I955" s="10" t="n"/>
      <c r="J955" s="9" t="n"/>
      <c r="K955" s="5" t="n"/>
      <c r="L955" s="5" t="n"/>
      <c r="M955" s="5" t="n"/>
      <c r="N955" s="5" t="n"/>
      <c r="O955" s="8">
        <f>IF($B955="","",IF(AND($A955&lt;&gt;"",COUNTIF(INV_ID,$A955)&gt;1),"⚠ this Unit ID already exists",IF(AND($H955&lt;&gt;"",COUNTIF(INV_Serial,$H955)&gt;1),"⚠ this serial already exists",IF(COUNTIFS(INV_Product,$B955,INV_No,$C955)&gt;1,"⚠ piece number reused",""))))</f>
        <v/>
      </c>
      <c r="P955" s="5" t="n"/>
    </row>
    <row r="956">
      <c r="A956" s="8">
        <f>IF(OR($B956="",$C956=""),"",IFERROR(INDEX(PM_Short,MATCH($B956,PM_ID,0))&amp;"-"&amp;TEXT($C956,"00"),"?? no such product"))</f>
        <v/>
      </c>
      <c r="B956" s="5" t="n"/>
      <c r="C956" s="5" t="n"/>
      <c r="D956" s="8">
        <f>IF($B956="","",IFERROR(INDEX(PM_Category,MATCH($B956,PM_ID,0)),""))</f>
        <v/>
      </c>
      <c r="E956" s="8">
        <f>IF($B956="","",IFERROR(INDEX(PM_Subcategory,MATCH($B956,PM_ID,0)),""))</f>
        <v/>
      </c>
      <c r="F956" s="8">
        <f>IF($B956="","",IFERROR(INDEX(PM_Brand,MATCH($B956,PM_ID,0)),""))</f>
        <v/>
      </c>
      <c r="G956" s="8">
        <f>IF($B956="","",IFERROR(INDEX(PM_Model,MATCH($B956,PM_ID,0)),""))</f>
        <v/>
      </c>
      <c r="H956" s="5" t="n"/>
      <c r="I956" s="10" t="n"/>
      <c r="J956" s="9" t="n"/>
      <c r="K956" s="5" t="n"/>
      <c r="L956" s="5" t="n"/>
      <c r="M956" s="5" t="n"/>
      <c r="N956" s="5" t="n"/>
      <c r="O956" s="8">
        <f>IF($B956="","",IF(AND($A956&lt;&gt;"",COUNTIF(INV_ID,$A956)&gt;1),"⚠ this Unit ID already exists",IF(AND($H956&lt;&gt;"",COUNTIF(INV_Serial,$H956)&gt;1),"⚠ this serial already exists",IF(COUNTIFS(INV_Product,$B956,INV_No,$C956)&gt;1,"⚠ piece number reused",""))))</f>
        <v/>
      </c>
      <c r="P956" s="5" t="n"/>
    </row>
    <row r="957">
      <c r="A957" s="8">
        <f>IF(OR($B957="",$C957=""),"",IFERROR(INDEX(PM_Short,MATCH($B957,PM_ID,0))&amp;"-"&amp;TEXT($C957,"00"),"?? no such product"))</f>
        <v/>
      </c>
      <c r="B957" s="5" t="n"/>
      <c r="C957" s="5" t="n"/>
      <c r="D957" s="8">
        <f>IF($B957="","",IFERROR(INDEX(PM_Category,MATCH($B957,PM_ID,0)),""))</f>
        <v/>
      </c>
      <c r="E957" s="8">
        <f>IF($B957="","",IFERROR(INDEX(PM_Subcategory,MATCH($B957,PM_ID,0)),""))</f>
        <v/>
      </c>
      <c r="F957" s="8">
        <f>IF($B957="","",IFERROR(INDEX(PM_Brand,MATCH($B957,PM_ID,0)),""))</f>
        <v/>
      </c>
      <c r="G957" s="8">
        <f>IF($B957="","",IFERROR(INDEX(PM_Model,MATCH($B957,PM_ID,0)),""))</f>
        <v/>
      </c>
      <c r="H957" s="5" t="n"/>
      <c r="I957" s="10" t="n"/>
      <c r="J957" s="9" t="n"/>
      <c r="K957" s="5" t="n"/>
      <c r="L957" s="5" t="n"/>
      <c r="M957" s="5" t="n"/>
      <c r="N957" s="5" t="n"/>
      <c r="O957" s="8">
        <f>IF($B957="","",IF(AND($A957&lt;&gt;"",COUNTIF(INV_ID,$A957)&gt;1),"⚠ this Unit ID already exists",IF(AND($H957&lt;&gt;"",COUNTIF(INV_Serial,$H957)&gt;1),"⚠ this serial already exists",IF(COUNTIFS(INV_Product,$B957,INV_No,$C957)&gt;1,"⚠ piece number reused",""))))</f>
        <v/>
      </c>
      <c r="P957" s="5" t="n"/>
    </row>
    <row r="958">
      <c r="A958" s="8">
        <f>IF(OR($B958="",$C958=""),"",IFERROR(INDEX(PM_Short,MATCH($B958,PM_ID,0))&amp;"-"&amp;TEXT($C958,"00"),"?? no such product"))</f>
        <v/>
      </c>
      <c r="B958" s="5" t="n"/>
      <c r="C958" s="5" t="n"/>
      <c r="D958" s="8">
        <f>IF($B958="","",IFERROR(INDEX(PM_Category,MATCH($B958,PM_ID,0)),""))</f>
        <v/>
      </c>
      <c r="E958" s="8">
        <f>IF($B958="","",IFERROR(INDEX(PM_Subcategory,MATCH($B958,PM_ID,0)),""))</f>
        <v/>
      </c>
      <c r="F958" s="8">
        <f>IF($B958="","",IFERROR(INDEX(PM_Brand,MATCH($B958,PM_ID,0)),""))</f>
        <v/>
      </c>
      <c r="G958" s="8">
        <f>IF($B958="","",IFERROR(INDEX(PM_Model,MATCH($B958,PM_ID,0)),""))</f>
        <v/>
      </c>
      <c r="H958" s="5" t="n"/>
      <c r="I958" s="10" t="n"/>
      <c r="J958" s="9" t="n"/>
      <c r="K958" s="5" t="n"/>
      <c r="L958" s="5" t="n"/>
      <c r="M958" s="5" t="n"/>
      <c r="N958" s="5" t="n"/>
      <c r="O958" s="8">
        <f>IF($B958="","",IF(AND($A958&lt;&gt;"",COUNTIF(INV_ID,$A958)&gt;1),"⚠ this Unit ID already exists",IF(AND($H958&lt;&gt;"",COUNTIF(INV_Serial,$H958)&gt;1),"⚠ this serial already exists",IF(COUNTIFS(INV_Product,$B958,INV_No,$C958)&gt;1,"⚠ piece number reused",""))))</f>
        <v/>
      </c>
      <c r="P958" s="5" t="n"/>
    </row>
    <row r="959">
      <c r="A959" s="8">
        <f>IF(OR($B959="",$C959=""),"",IFERROR(INDEX(PM_Short,MATCH($B959,PM_ID,0))&amp;"-"&amp;TEXT($C959,"00"),"?? no such product"))</f>
        <v/>
      </c>
      <c r="B959" s="5" t="n"/>
      <c r="C959" s="5" t="n"/>
      <c r="D959" s="8">
        <f>IF($B959="","",IFERROR(INDEX(PM_Category,MATCH($B959,PM_ID,0)),""))</f>
        <v/>
      </c>
      <c r="E959" s="8">
        <f>IF($B959="","",IFERROR(INDEX(PM_Subcategory,MATCH($B959,PM_ID,0)),""))</f>
        <v/>
      </c>
      <c r="F959" s="8">
        <f>IF($B959="","",IFERROR(INDEX(PM_Brand,MATCH($B959,PM_ID,0)),""))</f>
        <v/>
      </c>
      <c r="G959" s="8">
        <f>IF($B959="","",IFERROR(INDEX(PM_Model,MATCH($B959,PM_ID,0)),""))</f>
        <v/>
      </c>
      <c r="H959" s="5" t="n"/>
      <c r="I959" s="10" t="n"/>
      <c r="J959" s="9" t="n"/>
      <c r="K959" s="5" t="n"/>
      <c r="L959" s="5" t="n"/>
      <c r="M959" s="5" t="n"/>
      <c r="N959" s="5" t="n"/>
      <c r="O959" s="8">
        <f>IF($B959="","",IF(AND($A959&lt;&gt;"",COUNTIF(INV_ID,$A959)&gt;1),"⚠ this Unit ID already exists",IF(AND($H959&lt;&gt;"",COUNTIF(INV_Serial,$H959)&gt;1),"⚠ this serial already exists",IF(COUNTIFS(INV_Product,$B959,INV_No,$C959)&gt;1,"⚠ piece number reused",""))))</f>
        <v/>
      </c>
      <c r="P959" s="5" t="n"/>
    </row>
    <row r="960">
      <c r="A960" s="8">
        <f>IF(OR($B960="",$C960=""),"",IFERROR(INDEX(PM_Short,MATCH($B960,PM_ID,0))&amp;"-"&amp;TEXT($C960,"00"),"?? no such product"))</f>
        <v/>
      </c>
      <c r="B960" s="5" t="n"/>
      <c r="C960" s="5" t="n"/>
      <c r="D960" s="8">
        <f>IF($B960="","",IFERROR(INDEX(PM_Category,MATCH($B960,PM_ID,0)),""))</f>
        <v/>
      </c>
      <c r="E960" s="8">
        <f>IF($B960="","",IFERROR(INDEX(PM_Subcategory,MATCH($B960,PM_ID,0)),""))</f>
        <v/>
      </c>
      <c r="F960" s="8">
        <f>IF($B960="","",IFERROR(INDEX(PM_Brand,MATCH($B960,PM_ID,0)),""))</f>
        <v/>
      </c>
      <c r="G960" s="8">
        <f>IF($B960="","",IFERROR(INDEX(PM_Model,MATCH($B960,PM_ID,0)),""))</f>
        <v/>
      </c>
      <c r="H960" s="5" t="n"/>
      <c r="I960" s="10" t="n"/>
      <c r="J960" s="9" t="n"/>
      <c r="K960" s="5" t="n"/>
      <c r="L960" s="5" t="n"/>
      <c r="M960" s="5" t="n"/>
      <c r="N960" s="5" t="n"/>
      <c r="O960" s="8">
        <f>IF($B960="","",IF(AND($A960&lt;&gt;"",COUNTIF(INV_ID,$A960)&gt;1),"⚠ this Unit ID already exists",IF(AND($H960&lt;&gt;"",COUNTIF(INV_Serial,$H960)&gt;1),"⚠ this serial already exists",IF(COUNTIFS(INV_Product,$B960,INV_No,$C960)&gt;1,"⚠ piece number reused",""))))</f>
        <v/>
      </c>
      <c r="P960" s="5" t="n"/>
    </row>
    <row r="961">
      <c r="A961" s="8">
        <f>IF(OR($B961="",$C961=""),"",IFERROR(INDEX(PM_Short,MATCH($B961,PM_ID,0))&amp;"-"&amp;TEXT($C961,"00"),"?? no such product"))</f>
        <v/>
      </c>
      <c r="B961" s="5" t="n"/>
      <c r="C961" s="5" t="n"/>
      <c r="D961" s="8">
        <f>IF($B961="","",IFERROR(INDEX(PM_Category,MATCH($B961,PM_ID,0)),""))</f>
        <v/>
      </c>
      <c r="E961" s="8">
        <f>IF($B961="","",IFERROR(INDEX(PM_Subcategory,MATCH($B961,PM_ID,0)),""))</f>
        <v/>
      </c>
      <c r="F961" s="8">
        <f>IF($B961="","",IFERROR(INDEX(PM_Brand,MATCH($B961,PM_ID,0)),""))</f>
        <v/>
      </c>
      <c r="G961" s="8">
        <f>IF($B961="","",IFERROR(INDEX(PM_Model,MATCH($B961,PM_ID,0)),""))</f>
        <v/>
      </c>
      <c r="H961" s="5" t="n"/>
      <c r="I961" s="10" t="n"/>
      <c r="J961" s="9" t="n"/>
      <c r="K961" s="5" t="n"/>
      <c r="L961" s="5" t="n"/>
      <c r="M961" s="5" t="n"/>
      <c r="N961" s="5" t="n"/>
      <c r="O961" s="8">
        <f>IF($B961="","",IF(AND($A961&lt;&gt;"",COUNTIF(INV_ID,$A961)&gt;1),"⚠ this Unit ID already exists",IF(AND($H961&lt;&gt;"",COUNTIF(INV_Serial,$H961)&gt;1),"⚠ this serial already exists",IF(COUNTIFS(INV_Product,$B961,INV_No,$C961)&gt;1,"⚠ piece number reused",""))))</f>
        <v/>
      </c>
      <c r="P961" s="5" t="n"/>
    </row>
    <row r="962">
      <c r="A962" s="8">
        <f>IF(OR($B962="",$C962=""),"",IFERROR(INDEX(PM_Short,MATCH($B962,PM_ID,0))&amp;"-"&amp;TEXT($C962,"00"),"?? no such product"))</f>
        <v/>
      </c>
      <c r="B962" s="5" t="n"/>
      <c r="C962" s="5" t="n"/>
      <c r="D962" s="8">
        <f>IF($B962="","",IFERROR(INDEX(PM_Category,MATCH($B962,PM_ID,0)),""))</f>
        <v/>
      </c>
      <c r="E962" s="8">
        <f>IF($B962="","",IFERROR(INDEX(PM_Subcategory,MATCH($B962,PM_ID,0)),""))</f>
        <v/>
      </c>
      <c r="F962" s="8">
        <f>IF($B962="","",IFERROR(INDEX(PM_Brand,MATCH($B962,PM_ID,0)),""))</f>
        <v/>
      </c>
      <c r="G962" s="8">
        <f>IF($B962="","",IFERROR(INDEX(PM_Model,MATCH($B962,PM_ID,0)),""))</f>
        <v/>
      </c>
      <c r="H962" s="5" t="n"/>
      <c r="I962" s="10" t="n"/>
      <c r="J962" s="9" t="n"/>
      <c r="K962" s="5" t="n"/>
      <c r="L962" s="5" t="n"/>
      <c r="M962" s="5" t="n"/>
      <c r="N962" s="5" t="n"/>
      <c r="O962" s="8">
        <f>IF($B962="","",IF(AND($A962&lt;&gt;"",COUNTIF(INV_ID,$A962)&gt;1),"⚠ this Unit ID already exists",IF(AND($H962&lt;&gt;"",COUNTIF(INV_Serial,$H962)&gt;1),"⚠ this serial already exists",IF(COUNTIFS(INV_Product,$B962,INV_No,$C962)&gt;1,"⚠ piece number reused",""))))</f>
        <v/>
      </c>
      <c r="P962" s="5" t="n"/>
    </row>
    <row r="963">
      <c r="A963" s="8">
        <f>IF(OR($B963="",$C963=""),"",IFERROR(INDEX(PM_Short,MATCH($B963,PM_ID,0))&amp;"-"&amp;TEXT($C963,"00"),"?? no such product"))</f>
        <v/>
      </c>
      <c r="B963" s="5" t="n"/>
      <c r="C963" s="5" t="n"/>
      <c r="D963" s="8">
        <f>IF($B963="","",IFERROR(INDEX(PM_Category,MATCH($B963,PM_ID,0)),""))</f>
        <v/>
      </c>
      <c r="E963" s="8">
        <f>IF($B963="","",IFERROR(INDEX(PM_Subcategory,MATCH($B963,PM_ID,0)),""))</f>
        <v/>
      </c>
      <c r="F963" s="8">
        <f>IF($B963="","",IFERROR(INDEX(PM_Brand,MATCH($B963,PM_ID,0)),""))</f>
        <v/>
      </c>
      <c r="G963" s="8">
        <f>IF($B963="","",IFERROR(INDEX(PM_Model,MATCH($B963,PM_ID,0)),""))</f>
        <v/>
      </c>
      <c r="H963" s="5" t="n"/>
      <c r="I963" s="10" t="n"/>
      <c r="J963" s="9" t="n"/>
      <c r="K963" s="5" t="n"/>
      <c r="L963" s="5" t="n"/>
      <c r="M963" s="5" t="n"/>
      <c r="N963" s="5" t="n"/>
      <c r="O963" s="8">
        <f>IF($B963="","",IF(AND($A963&lt;&gt;"",COUNTIF(INV_ID,$A963)&gt;1),"⚠ this Unit ID already exists",IF(AND($H963&lt;&gt;"",COUNTIF(INV_Serial,$H963)&gt;1),"⚠ this serial already exists",IF(COUNTIFS(INV_Product,$B963,INV_No,$C963)&gt;1,"⚠ piece number reused",""))))</f>
        <v/>
      </c>
      <c r="P963" s="5" t="n"/>
    </row>
    <row r="964">
      <c r="A964" s="8">
        <f>IF(OR($B964="",$C964=""),"",IFERROR(INDEX(PM_Short,MATCH($B964,PM_ID,0))&amp;"-"&amp;TEXT($C964,"00"),"?? no such product"))</f>
        <v/>
      </c>
      <c r="B964" s="5" t="n"/>
      <c r="C964" s="5" t="n"/>
      <c r="D964" s="8">
        <f>IF($B964="","",IFERROR(INDEX(PM_Category,MATCH($B964,PM_ID,0)),""))</f>
        <v/>
      </c>
      <c r="E964" s="8">
        <f>IF($B964="","",IFERROR(INDEX(PM_Subcategory,MATCH($B964,PM_ID,0)),""))</f>
        <v/>
      </c>
      <c r="F964" s="8">
        <f>IF($B964="","",IFERROR(INDEX(PM_Brand,MATCH($B964,PM_ID,0)),""))</f>
        <v/>
      </c>
      <c r="G964" s="8">
        <f>IF($B964="","",IFERROR(INDEX(PM_Model,MATCH($B964,PM_ID,0)),""))</f>
        <v/>
      </c>
      <c r="H964" s="5" t="n"/>
      <c r="I964" s="10" t="n"/>
      <c r="J964" s="9" t="n"/>
      <c r="K964" s="5" t="n"/>
      <c r="L964" s="5" t="n"/>
      <c r="M964" s="5" t="n"/>
      <c r="N964" s="5" t="n"/>
      <c r="O964" s="8">
        <f>IF($B964="","",IF(AND($A964&lt;&gt;"",COUNTIF(INV_ID,$A964)&gt;1),"⚠ this Unit ID already exists",IF(AND($H964&lt;&gt;"",COUNTIF(INV_Serial,$H964)&gt;1),"⚠ this serial already exists",IF(COUNTIFS(INV_Product,$B964,INV_No,$C964)&gt;1,"⚠ piece number reused",""))))</f>
        <v/>
      </c>
      <c r="P964" s="5" t="n"/>
    </row>
    <row r="965">
      <c r="A965" s="8">
        <f>IF(OR($B965="",$C965=""),"",IFERROR(INDEX(PM_Short,MATCH($B965,PM_ID,0))&amp;"-"&amp;TEXT($C965,"00"),"?? no such product"))</f>
        <v/>
      </c>
      <c r="B965" s="5" t="n"/>
      <c r="C965" s="5" t="n"/>
      <c r="D965" s="8">
        <f>IF($B965="","",IFERROR(INDEX(PM_Category,MATCH($B965,PM_ID,0)),""))</f>
        <v/>
      </c>
      <c r="E965" s="8">
        <f>IF($B965="","",IFERROR(INDEX(PM_Subcategory,MATCH($B965,PM_ID,0)),""))</f>
        <v/>
      </c>
      <c r="F965" s="8">
        <f>IF($B965="","",IFERROR(INDEX(PM_Brand,MATCH($B965,PM_ID,0)),""))</f>
        <v/>
      </c>
      <c r="G965" s="8">
        <f>IF($B965="","",IFERROR(INDEX(PM_Model,MATCH($B965,PM_ID,0)),""))</f>
        <v/>
      </c>
      <c r="H965" s="5" t="n"/>
      <c r="I965" s="10" t="n"/>
      <c r="J965" s="9" t="n"/>
      <c r="K965" s="5" t="n"/>
      <c r="L965" s="5" t="n"/>
      <c r="M965" s="5" t="n"/>
      <c r="N965" s="5" t="n"/>
      <c r="O965" s="8">
        <f>IF($B965="","",IF(AND($A965&lt;&gt;"",COUNTIF(INV_ID,$A965)&gt;1),"⚠ this Unit ID already exists",IF(AND($H965&lt;&gt;"",COUNTIF(INV_Serial,$H965)&gt;1),"⚠ this serial already exists",IF(COUNTIFS(INV_Product,$B965,INV_No,$C965)&gt;1,"⚠ piece number reused",""))))</f>
        <v/>
      </c>
      <c r="P965" s="5" t="n"/>
    </row>
    <row r="966">
      <c r="A966" s="8">
        <f>IF(OR($B966="",$C966=""),"",IFERROR(INDEX(PM_Short,MATCH($B966,PM_ID,0))&amp;"-"&amp;TEXT($C966,"00"),"?? no such product"))</f>
        <v/>
      </c>
      <c r="B966" s="5" t="n"/>
      <c r="C966" s="5" t="n"/>
      <c r="D966" s="8">
        <f>IF($B966="","",IFERROR(INDEX(PM_Category,MATCH($B966,PM_ID,0)),""))</f>
        <v/>
      </c>
      <c r="E966" s="8">
        <f>IF($B966="","",IFERROR(INDEX(PM_Subcategory,MATCH($B966,PM_ID,0)),""))</f>
        <v/>
      </c>
      <c r="F966" s="8">
        <f>IF($B966="","",IFERROR(INDEX(PM_Brand,MATCH($B966,PM_ID,0)),""))</f>
        <v/>
      </c>
      <c r="G966" s="8">
        <f>IF($B966="","",IFERROR(INDEX(PM_Model,MATCH($B966,PM_ID,0)),""))</f>
        <v/>
      </c>
      <c r="H966" s="5" t="n"/>
      <c r="I966" s="10" t="n"/>
      <c r="J966" s="9" t="n"/>
      <c r="K966" s="5" t="n"/>
      <c r="L966" s="5" t="n"/>
      <c r="M966" s="5" t="n"/>
      <c r="N966" s="5" t="n"/>
      <c r="O966" s="8">
        <f>IF($B966="","",IF(AND($A966&lt;&gt;"",COUNTIF(INV_ID,$A966)&gt;1),"⚠ this Unit ID already exists",IF(AND($H966&lt;&gt;"",COUNTIF(INV_Serial,$H966)&gt;1),"⚠ this serial already exists",IF(COUNTIFS(INV_Product,$B966,INV_No,$C966)&gt;1,"⚠ piece number reused",""))))</f>
        <v/>
      </c>
      <c r="P966" s="5" t="n"/>
    </row>
    <row r="967">
      <c r="A967" s="8">
        <f>IF(OR($B967="",$C967=""),"",IFERROR(INDEX(PM_Short,MATCH($B967,PM_ID,0))&amp;"-"&amp;TEXT($C967,"00"),"?? no such product"))</f>
        <v/>
      </c>
      <c r="B967" s="5" t="n"/>
      <c r="C967" s="5" t="n"/>
      <c r="D967" s="8">
        <f>IF($B967="","",IFERROR(INDEX(PM_Category,MATCH($B967,PM_ID,0)),""))</f>
        <v/>
      </c>
      <c r="E967" s="8">
        <f>IF($B967="","",IFERROR(INDEX(PM_Subcategory,MATCH($B967,PM_ID,0)),""))</f>
        <v/>
      </c>
      <c r="F967" s="8">
        <f>IF($B967="","",IFERROR(INDEX(PM_Brand,MATCH($B967,PM_ID,0)),""))</f>
        <v/>
      </c>
      <c r="G967" s="8">
        <f>IF($B967="","",IFERROR(INDEX(PM_Model,MATCH($B967,PM_ID,0)),""))</f>
        <v/>
      </c>
      <c r="H967" s="5" t="n"/>
      <c r="I967" s="10" t="n"/>
      <c r="J967" s="9" t="n"/>
      <c r="K967" s="5" t="n"/>
      <c r="L967" s="5" t="n"/>
      <c r="M967" s="5" t="n"/>
      <c r="N967" s="5" t="n"/>
      <c r="O967" s="8">
        <f>IF($B967="","",IF(AND($A967&lt;&gt;"",COUNTIF(INV_ID,$A967)&gt;1),"⚠ this Unit ID already exists",IF(AND($H967&lt;&gt;"",COUNTIF(INV_Serial,$H967)&gt;1),"⚠ this serial already exists",IF(COUNTIFS(INV_Product,$B967,INV_No,$C967)&gt;1,"⚠ piece number reused",""))))</f>
        <v/>
      </c>
      <c r="P967" s="5" t="n"/>
    </row>
    <row r="968">
      <c r="A968" s="8">
        <f>IF(OR($B968="",$C968=""),"",IFERROR(INDEX(PM_Short,MATCH($B968,PM_ID,0))&amp;"-"&amp;TEXT($C968,"00"),"?? no such product"))</f>
        <v/>
      </c>
      <c r="B968" s="5" t="n"/>
      <c r="C968" s="5" t="n"/>
      <c r="D968" s="8">
        <f>IF($B968="","",IFERROR(INDEX(PM_Category,MATCH($B968,PM_ID,0)),""))</f>
        <v/>
      </c>
      <c r="E968" s="8">
        <f>IF($B968="","",IFERROR(INDEX(PM_Subcategory,MATCH($B968,PM_ID,0)),""))</f>
        <v/>
      </c>
      <c r="F968" s="8">
        <f>IF($B968="","",IFERROR(INDEX(PM_Brand,MATCH($B968,PM_ID,0)),""))</f>
        <v/>
      </c>
      <c r="G968" s="8">
        <f>IF($B968="","",IFERROR(INDEX(PM_Model,MATCH($B968,PM_ID,0)),""))</f>
        <v/>
      </c>
      <c r="H968" s="5" t="n"/>
      <c r="I968" s="10" t="n"/>
      <c r="J968" s="9" t="n"/>
      <c r="K968" s="5" t="n"/>
      <c r="L968" s="5" t="n"/>
      <c r="M968" s="5" t="n"/>
      <c r="N968" s="5" t="n"/>
      <c r="O968" s="8">
        <f>IF($B968="","",IF(AND($A968&lt;&gt;"",COUNTIF(INV_ID,$A968)&gt;1),"⚠ this Unit ID already exists",IF(AND($H968&lt;&gt;"",COUNTIF(INV_Serial,$H968)&gt;1),"⚠ this serial already exists",IF(COUNTIFS(INV_Product,$B968,INV_No,$C968)&gt;1,"⚠ piece number reused",""))))</f>
        <v/>
      </c>
      <c r="P968" s="5" t="n"/>
    </row>
    <row r="969">
      <c r="A969" s="8">
        <f>IF(OR($B969="",$C969=""),"",IFERROR(INDEX(PM_Short,MATCH($B969,PM_ID,0))&amp;"-"&amp;TEXT($C969,"00"),"?? no such product"))</f>
        <v/>
      </c>
      <c r="B969" s="5" t="n"/>
      <c r="C969" s="5" t="n"/>
      <c r="D969" s="8">
        <f>IF($B969="","",IFERROR(INDEX(PM_Category,MATCH($B969,PM_ID,0)),""))</f>
        <v/>
      </c>
      <c r="E969" s="8">
        <f>IF($B969="","",IFERROR(INDEX(PM_Subcategory,MATCH($B969,PM_ID,0)),""))</f>
        <v/>
      </c>
      <c r="F969" s="8">
        <f>IF($B969="","",IFERROR(INDEX(PM_Brand,MATCH($B969,PM_ID,0)),""))</f>
        <v/>
      </c>
      <c r="G969" s="8">
        <f>IF($B969="","",IFERROR(INDEX(PM_Model,MATCH($B969,PM_ID,0)),""))</f>
        <v/>
      </c>
      <c r="H969" s="5" t="n"/>
      <c r="I969" s="10" t="n"/>
      <c r="J969" s="9" t="n"/>
      <c r="K969" s="5" t="n"/>
      <c r="L969" s="5" t="n"/>
      <c r="M969" s="5" t="n"/>
      <c r="N969" s="5" t="n"/>
      <c r="O969" s="8">
        <f>IF($B969="","",IF(AND($A969&lt;&gt;"",COUNTIF(INV_ID,$A969)&gt;1),"⚠ this Unit ID already exists",IF(AND($H969&lt;&gt;"",COUNTIF(INV_Serial,$H969)&gt;1),"⚠ this serial already exists",IF(COUNTIFS(INV_Product,$B969,INV_No,$C969)&gt;1,"⚠ piece number reused",""))))</f>
        <v/>
      </c>
      <c r="P969" s="5" t="n"/>
    </row>
    <row r="970">
      <c r="A970" s="8">
        <f>IF(OR($B970="",$C970=""),"",IFERROR(INDEX(PM_Short,MATCH($B970,PM_ID,0))&amp;"-"&amp;TEXT($C970,"00"),"?? no such product"))</f>
        <v/>
      </c>
      <c r="B970" s="5" t="n"/>
      <c r="C970" s="5" t="n"/>
      <c r="D970" s="8">
        <f>IF($B970="","",IFERROR(INDEX(PM_Category,MATCH($B970,PM_ID,0)),""))</f>
        <v/>
      </c>
      <c r="E970" s="8">
        <f>IF($B970="","",IFERROR(INDEX(PM_Subcategory,MATCH($B970,PM_ID,0)),""))</f>
        <v/>
      </c>
      <c r="F970" s="8">
        <f>IF($B970="","",IFERROR(INDEX(PM_Brand,MATCH($B970,PM_ID,0)),""))</f>
        <v/>
      </c>
      <c r="G970" s="8">
        <f>IF($B970="","",IFERROR(INDEX(PM_Model,MATCH($B970,PM_ID,0)),""))</f>
        <v/>
      </c>
      <c r="H970" s="5" t="n"/>
      <c r="I970" s="10" t="n"/>
      <c r="J970" s="9" t="n"/>
      <c r="K970" s="5" t="n"/>
      <c r="L970" s="5" t="n"/>
      <c r="M970" s="5" t="n"/>
      <c r="N970" s="5" t="n"/>
      <c r="O970" s="8">
        <f>IF($B970="","",IF(AND($A970&lt;&gt;"",COUNTIF(INV_ID,$A970)&gt;1),"⚠ this Unit ID already exists",IF(AND($H970&lt;&gt;"",COUNTIF(INV_Serial,$H970)&gt;1),"⚠ this serial already exists",IF(COUNTIFS(INV_Product,$B970,INV_No,$C970)&gt;1,"⚠ piece number reused",""))))</f>
        <v/>
      </c>
      <c r="P970" s="5" t="n"/>
    </row>
    <row r="971">
      <c r="A971" s="8">
        <f>IF(OR($B971="",$C971=""),"",IFERROR(INDEX(PM_Short,MATCH($B971,PM_ID,0))&amp;"-"&amp;TEXT($C971,"00"),"?? no such product"))</f>
        <v/>
      </c>
      <c r="B971" s="5" t="n"/>
      <c r="C971" s="5" t="n"/>
      <c r="D971" s="8">
        <f>IF($B971="","",IFERROR(INDEX(PM_Category,MATCH($B971,PM_ID,0)),""))</f>
        <v/>
      </c>
      <c r="E971" s="8">
        <f>IF($B971="","",IFERROR(INDEX(PM_Subcategory,MATCH($B971,PM_ID,0)),""))</f>
        <v/>
      </c>
      <c r="F971" s="8">
        <f>IF($B971="","",IFERROR(INDEX(PM_Brand,MATCH($B971,PM_ID,0)),""))</f>
        <v/>
      </c>
      <c r="G971" s="8">
        <f>IF($B971="","",IFERROR(INDEX(PM_Model,MATCH($B971,PM_ID,0)),""))</f>
        <v/>
      </c>
      <c r="H971" s="5" t="n"/>
      <c r="I971" s="10" t="n"/>
      <c r="J971" s="9" t="n"/>
      <c r="K971" s="5" t="n"/>
      <c r="L971" s="5" t="n"/>
      <c r="M971" s="5" t="n"/>
      <c r="N971" s="5" t="n"/>
      <c r="O971" s="8">
        <f>IF($B971="","",IF(AND($A971&lt;&gt;"",COUNTIF(INV_ID,$A971)&gt;1),"⚠ this Unit ID already exists",IF(AND($H971&lt;&gt;"",COUNTIF(INV_Serial,$H971)&gt;1),"⚠ this serial already exists",IF(COUNTIFS(INV_Product,$B971,INV_No,$C971)&gt;1,"⚠ piece number reused",""))))</f>
        <v/>
      </c>
      <c r="P971" s="5" t="n"/>
    </row>
    <row r="972">
      <c r="A972" s="8">
        <f>IF(OR($B972="",$C972=""),"",IFERROR(INDEX(PM_Short,MATCH($B972,PM_ID,0))&amp;"-"&amp;TEXT($C972,"00"),"?? no such product"))</f>
        <v/>
      </c>
      <c r="B972" s="5" t="n"/>
      <c r="C972" s="5" t="n"/>
      <c r="D972" s="8">
        <f>IF($B972="","",IFERROR(INDEX(PM_Category,MATCH($B972,PM_ID,0)),""))</f>
        <v/>
      </c>
      <c r="E972" s="8">
        <f>IF($B972="","",IFERROR(INDEX(PM_Subcategory,MATCH($B972,PM_ID,0)),""))</f>
        <v/>
      </c>
      <c r="F972" s="8">
        <f>IF($B972="","",IFERROR(INDEX(PM_Brand,MATCH($B972,PM_ID,0)),""))</f>
        <v/>
      </c>
      <c r="G972" s="8">
        <f>IF($B972="","",IFERROR(INDEX(PM_Model,MATCH($B972,PM_ID,0)),""))</f>
        <v/>
      </c>
      <c r="H972" s="5" t="n"/>
      <c r="I972" s="10" t="n"/>
      <c r="J972" s="9" t="n"/>
      <c r="K972" s="5" t="n"/>
      <c r="L972" s="5" t="n"/>
      <c r="M972" s="5" t="n"/>
      <c r="N972" s="5" t="n"/>
      <c r="O972" s="8">
        <f>IF($B972="","",IF(AND($A972&lt;&gt;"",COUNTIF(INV_ID,$A972)&gt;1),"⚠ this Unit ID already exists",IF(AND($H972&lt;&gt;"",COUNTIF(INV_Serial,$H972)&gt;1),"⚠ this serial already exists",IF(COUNTIFS(INV_Product,$B972,INV_No,$C972)&gt;1,"⚠ piece number reused",""))))</f>
        <v/>
      </c>
      <c r="P972" s="5" t="n"/>
    </row>
    <row r="973">
      <c r="A973" s="8">
        <f>IF(OR($B973="",$C973=""),"",IFERROR(INDEX(PM_Short,MATCH($B973,PM_ID,0))&amp;"-"&amp;TEXT($C973,"00"),"?? no such product"))</f>
        <v/>
      </c>
      <c r="B973" s="5" t="n"/>
      <c r="C973" s="5" t="n"/>
      <c r="D973" s="8">
        <f>IF($B973="","",IFERROR(INDEX(PM_Category,MATCH($B973,PM_ID,0)),""))</f>
        <v/>
      </c>
      <c r="E973" s="8">
        <f>IF($B973="","",IFERROR(INDEX(PM_Subcategory,MATCH($B973,PM_ID,0)),""))</f>
        <v/>
      </c>
      <c r="F973" s="8">
        <f>IF($B973="","",IFERROR(INDEX(PM_Brand,MATCH($B973,PM_ID,0)),""))</f>
        <v/>
      </c>
      <c r="G973" s="8">
        <f>IF($B973="","",IFERROR(INDEX(PM_Model,MATCH($B973,PM_ID,0)),""))</f>
        <v/>
      </c>
      <c r="H973" s="5" t="n"/>
      <c r="I973" s="10" t="n"/>
      <c r="J973" s="9" t="n"/>
      <c r="K973" s="5" t="n"/>
      <c r="L973" s="5" t="n"/>
      <c r="M973" s="5" t="n"/>
      <c r="N973" s="5" t="n"/>
      <c r="O973" s="8">
        <f>IF($B973="","",IF(AND($A973&lt;&gt;"",COUNTIF(INV_ID,$A973)&gt;1),"⚠ this Unit ID already exists",IF(AND($H973&lt;&gt;"",COUNTIF(INV_Serial,$H973)&gt;1),"⚠ this serial already exists",IF(COUNTIFS(INV_Product,$B973,INV_No,$C973)&gt;1,"⚠ piece number reused",""))))</f>
        <v/>
      </c>
      <c r="P973" s="5" t="n"/>
    </row>
    <row r="974">
      <c r="A974" s="8">
        <f>IF(OR($B974="",$C974=""),"",IFERROR(INDEX(PM_Short,MATCH($B974,PM_ID,0))&amp;"-"&amp;TEXT($C974,"00"),"?? no such product"))</f>
        <v/>
      </c>
      <c r="B974" s="5" t="n"/>
      <c r="C974" s="5" t="n"/>
      <c r="D974" s="8">
        <f>IF($B974="","",IFERROR(INDEX(PM_Category,MATCH($B974,PM_ID,0)),""))</f>
        <v/>
      </c>
      <c r="E974" s="8">
        <f>IF($B974="","",IFERROR(INDEX(PM_Subcategory,MATCH($B974,PM_ID,0)),""))</f>
        <v/>
      </c>
      <c r="F974" s="8">
        <f>IF($B974="","",IFERROR(INDEX(PM_Brand,MATCH($B974,PM_ID,0)),""))</f>
        <v/>
      </c>
      <c r="G974" s="8">
        <f>IF($B974="","",IFERROR(INDEX(PM_Model,MATCH($B974,PM_ID,0)),""))</f>
        <v/>
      </c>
      <c r="H974" s="5" t="n"/>
      <c r="I974" s="10" t="n"/>
      <c r="J974" s="9" t="n"/>
      <c r="K974" s="5" t="n"/>
      <c r="L974" s="5" t="n"/>
      <c r="M974" s="5" t="n"/>
      <c r="N974" s="5" t="n"/>
      <c r="O974" s="8">
        <f>IF($B974="","",IF(AND($A974&lt;&gt;"",COUNTIF(INV_ID,$A974)&gt;1),"⚠ this Unit ID already exists",IF(AND($H974&lt;&gt;"",COUNTIF(INV_Serial,$H974)&gt;1),"⚠ this serial already exists",IF(COUNTIFS(INV_Product,$B974,INV_No,$C974)&gt;1,"⚠ piece number reused",""))))</f>
        <v/>
      </c>
      <c r="P974" s="5" t="n"/>
    </row>
    <row r="975">
      <c r="A975" s="8">
        <f>IF(OR($B975="",$C975=""),"",IFERROR(INDEX(PM_Short,MATCH($B975,PM_ID,0))&amp;"-"&amp;TEXT($C975,"00"),"?? no such product"))</f>
        <v/>
      </c>
      <c r="B975" s="5" t="n"/>
      <c r="C975" s="5" t="n"/>
      <c r="D975" s="8">
        <f>IF($B975="","",IFERROR(INDEX(PM_Category,MATCH($B975,PM_ID,0)),""))</f>
        <v/>
      </c>
      <c r="E975" s="8">
        <f>IF($B975="","",IFERROR(INDEX(PM_Subcategory,MATCH($B975,PM_ID,0)),""))</f>
        <v/>
      </c>
      <c r="F975" s="8">
        <f>IF($B975="","",IFERROR(INDEX(PM_Brand,MATCH($B975,PM_ID,0)),""))</f>
        <v/>
      </c>
      <c r="G975" s="8">
        <f>IF($B975="","",IFERROR(INDEX(PM_Model,MATCH($B975,PM_ID,0)),""))</f>
        <v/>
      </c>
      <c r="H975" s="5" t="n"/>
      <c r="I975" s="10" t="n"/>
      <c r="J975" s="9" t="n"/>
      <c r="K975" s="5" t="n"/>
      <c r="L975" s="5" t="n"/>
      <c r="M975" s="5" t="n"/>
      <c r="N975" s="5" t="n"/>
      <c r="O975" s="8">
        <f>IF($B975="","",IF(AND($A975&lt;&gt;"",COUNTIF(INV_ID,$A975)&gt;1),"⚠ this Unit ID already exists",IF(AND($H975&lt;&gt;"",COUNTIF(INV_Serial,$H975)&gt;1),"⚠ this serial already exists",IF(COUNTIFS(INV_Product,$B975,INV_No,$C975)&gt;1,"⚠ piece number reused",""))))</f>
        <v/>
      </c>
      <c r="P975" s="5" t="n"/>
    </row>
    <row r="976">
      <c r="A976" s="8">
        <f>IF(OR($B976="",$C976=""),"",IFERROR(INDEX(PM_Short,MATCH($B976,PM_ID,0))&amp;"-"&amp;TEXT($C976,"00"),"?? no such product"))</f>
        <v/>
      </c>
      <c r="B976" s="5" t="n"/>
      <c r="C976" s="5" t="n"/>
      <c r="D976" s="8">
        <f>IF($B976="","",IFERROR(INDEX(PM_Category,MATCH($B976,PM_ID,0)),""))</f>
        <v/>
      </c>
      <c r="E976" s="8">
        <f>IF($B976="","",IFERROR(INDEX(PM_Subcategory,MATCH($B976,PM_ID,0)),""))</f>
        <v/>
      </c>
      <c r="F976" s="8">
        <f>IF($B976="","",IFERROR(INDEX(PM_Brand,MATCH($B976,PM_ID,0)),""))</f>
        <v/>
      </c>
      <c r="G976" s="8">
        <f>IF($B976="","",IFERROR(INDEX(PM_Model,MATCH($B976,PM_ID,0)),""))</f>
        <v/>
      </c>
      <c r="H976" s="5" t="n"/>
      <c r="I976" s="10" t="n"/>
      <c r="J976" s="9" t="n"/>
      <c r="K976" s="5" t="n"/>
      <c r="L976" s="5" t="n"/>
      <c r="M976" s="5" t="n"/>
      <c r="N976" s="5" t="n"/>
      <c r="O976" s="8">
        <f>IF($B976="","",IF(AND($A976&lt;&gt;"",COUNTIF(INV_ID,$A976)&gt;1),"⚠ this Unit ID already exists",IF(AND($H976&lt;&gt;"",COUNTIF(INV_Serial,$H976)&gt;1),"⚠ this serial already exists",IF(COUNTIFS(INV_Product,$B976,INV_No,$C976)&gt;1,"⚠ piece number reused",""))))</f>
        <v/>
      </c>
      <c r="P976" s="5" t="n"/>
    </row>
    <row r="977">
      <c r="A977" s="8">
        <f>IF(OR($B977="",$C977=""),"",IFERROR(INDEX(PM_Short,MATCH($B977,PM_ID,0))&amp;"-"&amp;TEXT($C977,"00"),"?? no such product"))</f>
        <v/>
      </c>
      <c r="B977" s="5" t="n"/>
      <c r="C977" s="5" t="n"/>
      <c r="D977" s="8">
        <f>IF($B977="","",IFERROR(INDEX(PM_Category,MATCH($B977,PM_ID,0)),""))</f>
        <v/>
      </c>
      <c r="E977" s="8">
        <f>IF($B977="","",IFERROR(INDEX(PM_Subcategory,MATCH($B977,PM_ID,0)),""))</f>
        <v/>
      </c>
      <c r="F977" s="8">
        <f>IF($B977="","",IFERROR(INDEX(PM_Brand,MATCH($B977,PM_ID,0)),""))</f>
        <v/>
      </c>
      <c r="G977" s="8">
        <f>IF($B977="","",IFERROR(INDEX(PM_Model,MATCH($B977,PM_ID,0)),""))</f>
        <v/>
      </c>
      <c r="H977" s="5" t="n"/>
      <c r="I977" s="10" t="n"/>
      <c r="J977" s="9" t="n"/>
      <c r="K977" s="5" t="n"/>
      <c r="L977" s="5" t="n"/>
      <c r="M977" s="5" t="n"/>
      <c r="N977" s="5" t="n"/>
      <c r="O977" s="8">
        <f>IF($B977="","",IF(AND($A977&lt;&gt;"",COUNTIF(INV_ID,$A977)&gt;1),"⚠ this Unit ID already exists",IF(AND($H977&lt;&gt;"",COUNTIF(INV_Serial,$H977)&gt;1),"⚠ this serial already exists",IF(COUNTIFS(INV_Product,$B977,INV_No,$C977)&gt;1,"⚠ piece number reused",""))))</f>
        <v/>
      </c>
      <c r="P977" s="5" t="n"/>
    </row>
    <row r="978">
      <c r="A978" s="8">
        <f>IF(OR($B978="",$C978=""),"",IFERROR(INDEX(PM_Short,MATCH($B978,PM_ID,0))&amp;"-"&amp;TEXT($C978,"00"),"?? no such product"))</f>
        <v/>
      </c>
      <c r="B978" s="5" t="n"/>
      <c r="C978" s="5" t="n"/>
      <c r="D978" s="8">
        <f>IF($B978="","",IFERROR(INDEX(PM_Category,MATCH($B978,PM_ID,0)),""))</f>
        <v/>
      </c>
      <c r="E978" s="8">
        <f>IF($B978="","",IFERROR(INDEX(PM_Subcategory,MATCH($B978,PM_ID,0)),""))</f>
        <v/>
      </c>
      <c r="F978" s="8">
        <f>IF($B978="","",IFERROR(INDEX(PM_Brand,MATCH($B978,PM_ID,0)),""))</f>
        <v/>
      </c>
      <c r="G978" s="8">
        <f>IF($B978="","",IFERROR(INDEX(PM_Model,MATCH($B978,PM_ID,0)),""))</f>
        <v/>
      </c>
      <c r="H978" s="5" t="n"/>
      <c r="I978" s="10" t="n"/>
      <c r="J978" s="9" t="n"/>
      <c r="K978" s="5" t="n"/>
      <c r="L978" s="5" t="n"/>
      <c r="M978" s="5" t="n"/>
      <c r="N978" s="5" t="n"/>
      <c r="O978" s="8">
        <f>IF($B978="","",IF(AND($A978&lt;&gt;"",COUNTIF(INV_ID,$A978)&gt;1),"⚠ this Unit ID already exists",IF(AND($H978&lt;&gt;"",COUNTIF(INV_Serial,$H978)&gt;1),"⚠ this serial already exists",IF(COUNTIFS(INV_Product,$B978,INV_No,$C978)&gt;1,"⚠ piece number reused",""))))</f>
        <v/>
      </c>
      <c r="P978" s="5" t="n"/>
    </row>
    <row r="979">
      <c r="A979" s="8">
        <f>IF(OR($B979="",$C979=""),"",IFERROR(INDEX(PM_Short,MATCH($B979,PM_ID,0))&amp;"-"&amp;TEXT($C979,"00"),"?? no such product"))</f>
        <v/>
      </c>
      <c r="B979" s="5" t="n"/>
      <c r="C979" s="5" t="n"/>
      <c r="D979" s="8">
        <f>IF($B979="","",IFERROR(INDEX(PM_Category,MATCH($B979,PM_ID,0)),""))</f>
        <v/>
      </c>
      <c r="E979" s="8">
        <f>IF($B979="","",IFERROR(INDEX(PM_Subcategory,MATCH($B979,PM_ID,0)),""))</f>
        <v/>
      </c>
      <c r="F979" s="8">
        <f>IF($B979="","",IFERROR(INDEX(PM_Brand,MATCH($B979,PM_ID,0)),""))</f>
        <v/>
      </c>
      <c r="G979" s="8">
        <f>IF($B979="","",IFERROR(INDEX(PM_Model,MATCH($B979,PM_ID,0)),""))</f>
        <v/>
      </c>
      <c r="H979" s="5" t="n"/>
      <c r="I979" s="10" t="n"/>
      <c r="J979" s="9" t="n"/>
      <c r="K979" s="5" t="n"/>
      <c r="L979" s="5" t="n"/>
      <c r="M979" s="5" t="n"/>
      <c r="N979" s="5" t="n"/>
      <c r="O979" s="8">
        <f>IF($B979="","",IF(AND($A979&lt;&gt;"",COUNTIF(INV_ID,$A979)&gt;1),"⚠ this Unit ID already exists",IF(AND($H979&lt;&gt;"",COUNTIF(INV_Serial,$H979)&gt;1),"⚠ this serial already exists",IF(COUNTIFS(INV_Product,$B979,INV_No,$C979)&gt;1,"⚠ piece number reused",""))))</f>
        <v/>
      </c>
      <c r="P979" s="5" t="n"/>
    </row>
    <row r="980">
      <c r="A980" s="8">
        <f>IF(OR($B980="",$C980=""),"",IFERROR(INDEX(PM_Short,MATCH($B980,PM_ID,0))&amp;"-"&amp;TEXT($C980,"00"),"?? no such product"))</f>
        <v/>
      </c>
      <c r="B980" s="5" t="n"/>
      <c r="C980" s="5" t="n"/>
      <c r="D980" s="8">
        <f>IF($B980="","",IFERROR(INDEX(PM_Category,MATCH($B980,PM_ID,0)),""))</f>
        <v/>
      </c>
      <c r="E980" s="8">
        <f>IF($B980="","",IFERROR(INDEX(PM_Subcategory,MATCH($B980,PM_ID,0)),""))</f>
        <v/>
      </c>
      <c r="F980" s="8">
        <f>IF($B980="","",IFERROR(INDEX(PM_Brand,MATCH($B980,PM_ID,0)),""))</f>
        <v/>
      </c>
      <c r="G980" s="8">
        <f>IF($B980="","",IFERROR(INDEX(PM_Model,MATCH($B980,PM_ID,0)),""))</f>
        <v/>
      </c>
      <c r="H980" s="5" t="n"/>
      <c r="I980" s="10" t="n"/>
      <c r="J980" s="9" t="n"/>
      <c r="K980" s="5" t="n"/>
      <c r="L980" s="5" t="n"/>
      <c r="M980" s="5" t="n"/>
      <c r="N980" s="5" t="n"/>
      <c r="O980" s="8">
        <f>IF($B980="","",IF(AND($A980&lt;&gt;"",COUNTIF(INV_ID,$A980)&gt;1),"⚠ this Unit ID already exists",IF(AND($H980&lt;&gt;"",COUNTIF(INV_Serial,$H980)&gt;1),"⚠ this serial already exists",IF(COUNTIFS(INV_Product,$B980,INV_No,$C980)&gt;1,"⚠ piece number reused",""))))</f>
        <v/>
      </c>
      <c r="P980" s="5" t="n"/>
    </row>
    <row r="981">
      <c r="A981" s="8">
        <f>IF(OR($B981="",$C981=""),"",IFERROR(INDEX(PM_Short,MATCH($B981,PM_ID,0))&amp;"-"&amp;TEXT($C981,"00"),"?? no such product"))</f>
        <v/>
      </c>
      <c r="B981" s="5" t="n"/>
      <c r="C981" s="5" t="n"/>
      <c r="D981" s="8">
        <f>IF($B981="","",IFERROR(INDEX(PM_Category,MATCH($B981,PM_ID,0)),""))</f>
        <v/>
      </c>
      <c r="E981" s="8">
        <f>IF($B981="","",IFERROR(INDEX(PM_Subcategory,MATCH($B981,PM_ID,0)),""))</f>
        <v/>
      </c>
      <c r="F981" s="8">
        <f>IF($B981="","",IFERROR(INDEX(PM_Brand,MATCH($B981,PM_ID,0)),""))</f>
        <v/>
      </c>
      <c r="G981" s="8">
        <f>IF($B981="","",IFERROR(INDEX(PM_Model,MATCH($B981,PM_ID,0)),""))</f>
        <v/>
      </c>
      <c r="H981" s="5" t="n"/>
      <c r="I981" s="10" t="n"/>
      <c r="J981" s="9" t="n"/>
      <c r="K981" s="5" t="n"/>
      <c r="L981" s="5" t="n"/>
      <c r="M981" s="5" t="n"/>
      <c r="N981" s="5" t="n"/>
      <c r="O981" s="8">
        <f>IF($B981="","",IF(AND($A981&lt;&gt;"",COUNTIF(INV_ID,$A981)&gt;1),"⚠ this Unit ID already exists",IF(AND($H981&lt;&gt;"",COUNTIF(INV_Serial,$H981)&gt;1),"⚠ this serial already exists",IF(COUNTIFS(INV_Product,$B981,INV_No,$C981)&gt;1,"⚠ piece number reused",""))))</f>
        <v/>
      </c>
      <c r="P981" s="5" t="n"/>
    </row>
    <row r="982">
      <c r="A982" s="8">
        <f>IF(OR($B982="",$C982=""),"",IFERROR(INDEX(PM_Short,MATCH($B982,PM_ID,0))&amp;"-"&amp;TEXT($C982,"00"),"?? no such product"))</f>
        <v/>
      </c>
      <c r="B982" s="5" t="n"/>
      <c r="C982" s="5" t="n"/>
      <c r="D982" s="8">
        <f>IF($B982="","",IFERROR(INDEX(PM_Category,MATCH($B982,PM_ID,0)),""))</f>
        <v/>
      </c>
      <c r="E982" s="8">
        <f>IF($B982="","",IFERROR(INDEX(PM_Subcategory,MATCH($B982,PM_ID,0)),""))</f>
        <v/>
      </c>
      <c r="F982" s="8">
        <f>IF($B982="","",IFERROR(INDEX(PM_Brand,MATCH($B982,PM_ID,0)),""))</f>
        <v/>
      </c>
      <c r="G982" s="8">
        <f>IF($B982="","",IFERROR(INDEX(PM_Model,MATCH($B982,PM_ID,0)),""))</f>
        <v/>
      </c>
      <c r="H982" s="5" t="n"/>
      <c r="I982" s="10" t="n"/>
      <c r="J982" s="9" t="n"/>
      <c r="K982" s="5" t="n"/>
      <c r="L982" s="5" t="n"/>
      <c r="M982" s="5" t="n"/>
      <c r="N982" s="5" t="n"/>
      <c r="O982" s="8">
        <f>IF($B982="","",IF(AND($A982&lt;&gt;"",COUNTIF(INV_ID,$A982)&gt;1),"⚠ this Unit ID already exists",IF(AND($H982&lt;&gt;"",COUNTIF(INV_Serial,$H982)&gt;1),"⚠ this serial already exists",IF(COUNTIFS(INV_Product,$B982,INV_No,$C982)&gt;1,"⚠ piece number reused",""))))</f>
        <v/>
      </c>
      <c r="P982" s="5" t="n"/>
    </row>
    <row r="983">
      <c r="A983" s="8">
        <f>IF(OR($B983="",$C983=""),"",IFERROR(INDEX(PM_Short,MATCH($B983,PM_ID,0))&amp;"-"&amp;TEXT($C983,"00"),"?? no such product"))</f>
        <v/>
      </c>
      <c r="B983" s="5" t="n"/>
      <c r="C983" s="5" t="n"/>
      <c r="D983" s="8">
        <f>IF($B983="","",IFERROR(INDEX(PM_Category,MATCH($B983,PM_ID,0)),""))</f>
        <v/>
      </c>
      <c r="E983" s="8">
        <f>IF($B983="","",IFERROR(INDEX(PM_Subcategory,MATCH($B983,PM_ID,0)),""))</f>
        <v/>
      </c>
      <c r="F983" s="8">
        <f>IF($B983="","",IFERROR(INDEX(PM_Brand,MATCH($B983,PM_ID,0)),""))</f>
        <v/>
      </c>
      <c r="G983" s="8">
        <f>IF($B983="","",IFERROR(INDEX(PM_Model,MATCH($B983,PM_ID,0)),""))</f>
        <v/>
      </c>
      <c r="H983" s="5" t="n"/>
      <c r="I983" s="10" t="n"/>
      <c r="J983" s="9" t="n"/>
      <c r="K983" s="5" t="n"/>
      <c r="L983" s="5" t="n"/>
      <c r="M983" s="5" t="n"/>
      <c r="N983" s="5" t="n"/>
      <c r="O983" s="8">
        <f>IF($B983="","",IF(AND($A983&lt;&gt;"",COUNTIF(INV_ID,$A983)&gt;1),"⚠ this Unit ID already exists",IF(AND($H983&lt;&gt;"",COUNTIF(INV_Serial,$H983)&gt;1),"⚠ this serial already exists",IF(COUNTIFS(INV_Product,$B983,INV_No,$C983)&gt;1,"⚠ piece number reused",""))))</f>
        <v/>
      </c>
      <c r="P983" s="5" t="n"/>
    </row>
    <row r="984">
      <c r="A984" s="8">
        <f>IF(OR($B984="",$C984=""),"",IFERROR(INDEX(PM_Short,MATCH($B984,PM_ID,0))&amp;"-"&amp;TEXT($C984,"00"),"?? no such product"))</f>
        <v/>
      </c>
      <c r="B984" s="5" t="n"/>
      <c r="C984" s="5" t="n"/>
      <c r="D984" s="8">
        <f>IF($B984="","",IFERROR(INDEX(PM_Category,MATCH($B984,PM_ID,0)),""))</f>
        <v/>
      </c>
      <c r="E984" s="8">
        <f>IF($B984="","",IFERROR(INDEX(PM_Subcategory,MATCH($B984,PM_ID,0)),""))</f>
        <v/>
      </c>
      <c r="F984" s="8">
        <f>IF($B984="","",IFERROR(INDEX(PM_Brand,MATCH($B984,PM_ID,0)),""))</f>
        <v/>
      </c>
      <c r="G984" s="8">
        <f>IF($B984="","",IFERROR(INDEX(PM_Model,MATCH($B984,PM_ID,0)),""))</f>
        <v/>
      </c>
      <c r="H984" s="5" t="n"/>
      <c r="I984" s="10" t="n"/>
      <c r="J984" s="9" t="n"/>
      <c r="K984" s="5" t="n"/>
      <c r="L984" s="5" t="n"/>
      <c r="M984" s="5" t="n"/>
      <c r="N984" s="5" t="n"/>
      <c r="O984" s="8">
        <f>IF($B984="","",IF(AND($A984&lt;&gt;"",COUNTIF(INV_ID,$A984)&gt;1),"⚠ this Unit ID already exists",IF(AND($H984&lt;&gt;"",COUNTIF(INV_Serial,$H984)&gt;1),"⚠ this serial already exists",IF(COUNTIFS(INV_Product,$B984,INV_No,$C984)&gt;1,"⚠ piece number reused",""))))</f>
        <v/>
      </c>
      <c r="P984" s="5" t="n"/>
    </row>
    <row r="985">
      <c r="A985" s="8">
        <f>IF(OR($B985="",$C985=""),"",IFERROR(INDEX(PM_Short,MATCH($B985,PM_ID,0))&amp;"-"&amp;TEXT($C985,"00"),"?? no such product"))</f>
        <v/>
      </c>
      <c r="B985" s="5" t="n"/>
      <c r="C985" s="5" t="n"/>
      <c r="D985" s="8">
        <f>IF($B985="","",IFERROR(INDEX(PM_Category,MATCH($B985,PM_ID,0)),""))</f>
        <v/>
      </c>
      <c r="E985" s="8">
        <f>IF($B985="","",IFERROR(INDEX(PM_Subcategory,MATCH($B985,PM_ID,0)),""))</f>
        <v/>
      </c>
      <c r="F985" s="8">
        <f>IF($B985="","",IFERROR(INDEX(PM_Brand,MATCH($B985,PM_ID,0)),""))</f>
        <v/>
      </c>
      <c r="G985" s="8">
        <f>IF($B985="","",IFERROR(INDEX(PM_Model,MATCH($B985,PM_ID,0)),""))</f>
        <v/>
      </c>
      <c r="H985" s="5" t="n"/>
      <c r="I985" s="10" t="n"/>
      <c r="J985" s="9" t="n"/>
      <c r="K985" s="5" t="n"/>
      <c r="L985" s="5" t="n"/>
      <c r="M985" s="5" t="n"/>
      <c r="N985" s="5" t="n"/>
      <c r="O985" s="8">
        <f>IF($B985="","",IF(AND($A985&lt;&gt;"",COUNTIF(INV_ID,$A985)&gt;1),"⚠ this Unit ID already exists",IF(AND($H985&lt;&gt;"",COUNTIF(INV_Serial,$H985)&gt;1),"⚠ this serial already exists",IF(COUNTIFS(INV_Product,$B985,INV_No,$C985)&gt;1,"⚠ piece number reused",""))))</f>
        <v/>
      </c>
      <c r="P985" s="5" t="n"/>
    </row>
    <row r="986">
      <c r="A986" s="8">
        <f>IF(OR($B986="",$C986=""),"",IFERROR(INDEX(PM_Short,MATCH($B986,PM_ID,0))&amp;"-"&amp;TEXT($C986,"00"),"?? no such product"))</f>
        <v/>
      </c>
      <c r="B986" s="5" t="n"/>
      <c r="C986" s="5" t="n"/>
      <c r="D986" s="8">
        <f>IF($B986="","",IFERROR(INDEX(PM_Category,MATCH($B986,PM_ID,0)),""))</f>
        <v/>
      </c>
      <c r="E986" s="8">
        <f>IF($B986="","",IFERROR(INDEX(PM_Subcategory,MATCH($B986,PM_ID,0)),""))</f>
        <v/>
      </c>
      <c r="F986" s="8">
        <f>IF($B986="","",IFERROR(INDEX(PM_Brand,MATCH($B986,PM_ID,0)),""))</f>
        <v/>
      </c>
      <c r="G986" s="8">
        <f>IF($B986="","",IFERROR(INDEX(PM_Model,MATCH($B986,PM_ID,0)),""))</f>
        <v/>
      </c>
      <c r="H986" s="5" t="n"/>
      <c r="I986" s="10" t="n"/>
      <c r="J986" s="9" t="n"/>
      <c r="K986" s="5" t="n"/>
      <c r="L986" s="5" t="n"/>
      <c r="M986" s="5" t="n"/>
      <c r="N986" s="5" t="n"/>
      <c r="O986" s="8">
        <f>IF($B986="","",IF(AND($A986&lt;&gt;"",COUNTIF(INV_ID,$A986)&gt;1),"⚠ this Unit ID already exists",IF(AND($H986&lt;&gt;"",COUNTIF(INV_Serial,$H986)&gt;1),"⚠ this serial already exists",IF(COUNTIFS(INV_Product,$B986,INV_No,$C986)&gt;1,"⚠ piece number reused",""))))</f>
        <v/>
      </c>
      <c r="P986" s="5" t="n"/>
    </row>
    <row r="987">
      <c r="A987" s="8">
        <f>IF(OR($B987="",$C987=""),"",IFERROR(INDEX(PM_Short,MATCH($B987,PM_ID,0))&amp;"-"&amp;TEXT($C987,"00"),"?? no such product"))</f>
        <v/>
      </c>
      <c r="B987" s="5" t="n"/>
      <c r="C987" s="5" t="n"/>
      <c r="D987" s="8">
        <f>IF($B987="","",IFERROR(INDEX(PM_Category,MATCH($B987,PM_ID,0)),""))</f>
        <v/>
      </c>
      <c r="E987" s="8">
        <f>IF($B987="","",IFERROR(INDEX(PM_Subcategory,MATCH($B987,PM_ID,0)),""))</f>
        <v/>
      </c>
      <c r="F987" s="8">
        <f>IF($B987="","",IFERROR(INDEX(PM_Brand,MATCH($B987,PM_ID,0)),""))</f>
        <v/>
      </c>
      <c r="G987" s="8">
        <f>IF($B987="","",IFERROR(INDEX(PM_Model,MATCH($B987,PM_ID,0)),""))</f>
        <v/>
      </c>
      <c r="H987" s="5" t="n"/>
      <c r="I987" s="10" t="n"/>
      <c r="J987" s="9" t="n"/>
      <c r="K987" s="5" t="n"/>
      <c r="L987" s="5" t="n"/>
      <c r="M987" s="5" t="n"/>
      <c r="N987" s="5" t="n"/>
      <c r="O987" s="8">
        <f>IF($B987="","",IF(AND($A987&lt;&gt;"",COUNTIF(INV_ID,$A987)&gt;1),"⚠ this Unit ID already exists",IF(AND($H987&lt;&gt;"",COUNTIF(INV_Serial,$H987)&gt;1),"⚠ this serial already exists",IF(COUNTIFS(INV_Product,$B987,INV_No,$C987)&gt;1,"⚠ piece number reused",""))))</f>
        <v/>
      </c>
      <c r="P987" s="5" t="n"/>
    </row>
    <row r="988">
      <c r="A988" s="8">
        <f>IF(OR($B988="",$C988=""),"",IFERROR(INDEX(PM_Short,MATCH($B988,PM_ID,0))&amp;"-"&amp;TEXT($C988,"00"),"?? no such product"))</f>
        <v/>
      </c>
      <c r="B988" s="5" t="n"/>
      <c r="C988" s="5" t="n"/>
      <c r="D988" s="8">
        <f>IF($B988="","",IFERROR(INDEX(PM_Category,MATCH($B988,PM_ID,0)),""))</f>
        <v/>
      </c>
      <c r="E988" s="8">
        <f>IF($B988="","",IFERROR(INDEX(PM_Subcategory,MATCH($B988,PM_ID,0)),""))</f>
        <v/>
      </c>
      <c r="F988" s="8">
        <f>IF($B988="","",IFERROR(INDEX(PM_Brand,MATCH($B988,PM_ID,0)),""))</f>
        <v/>
      </c>
      <c r="G988" s="8">
        <f>IF($B988="","",IFERROR(INDEX(PM_Model,MATCH($B988,PM_ID,0)),""))</f>
        <v/>
      </c>
      <c r="H988" s="5" t="n"/>
      <c r="I988" s="10" t="n"/>
      <c r="J988" s="9" t="n"/>
      <c r="K988" s="5" t="n"/>
      <c r="L988" s="5" t="n"/>
      <c r="M988" s="5" t="n"/>
      <c r="N988" s="5" t="n"/>
      <c r="O988" s="8">
        <f>IF($B988="","",IF(AND($A988&lt;&gt;"",COUNTIF(INV_ID,$A988)&gt;1),"⚠ this Unit ID already exists",IF(AND($H988&lt;&gt;"",COUNTIF(INV_Serial,$H988)&gt;1),"⚠ this serial already exists",IF(COUNTIFS(INV_Product,$B988,INV_No,$C988)&gt;1,"⚠ piece number reused",""))))</f>
        <v/>
      </c>
      <c r="P988" s="5" t="n"/>
    </row>
    <row r="989">
      <c r="A989" s="8">
        <f>IF(OR($B989="",$C989=""),"",IFERROR(INDEX(PM_Short,MATCH($B989,PM_ID,0))&amp;"-"&amp;TEXT($C989,"00"),"?? no such product"))</f>
        <v/>
      </c>
      <c r="B989" s="5" t="n"/>
      <c r="C989" s="5" t="n"/>
      <c r="D989" s="8">
        <f>IF($B989="","",IFERROR(INDEX(PM_Category,MATCH($B989,PM_ID,0)),""))</f>
        <v/>
      </c>
      <c r="E989" s="8">
        <f>IF($B989="","",IFERROR(INDEX(PM_Subcategory,MATCH($B989,PM_ID,0)),""))</f>
        <v/>
      </c>
      <c r="F989" s="8">
        <f>IF($B989="","",IFERROR(INDEX(PM_Brand,MATCH($B989,PM_ID,0)),""))</f>
        <v/>
      </c>
      <c r="G989" s="8">
        <f>IF($B989="","",IFERROR(INDEX(PM_Model,MATCH($B989,PM_ID,0)),""))</f>
        <v/>
      </c>
      <c r="H989" s="5" t="n"/>
      <c r="I989" s="10" t="n"/>
      <c r="J989" s="9" t="n"/>
      <c r="K989" s="5" t="n"/>
      <c r="L989" s="5" t="n"/>
      <c r="M989" s="5" t="n"/>
      <c r="N989" s="5" t="n"/>
      <c r="O989" s="8">
        <f>IF($B989="","",IF(AND($A989&lt;&gt;"",COUNTIF(INV_ID,$A989)&gt;1),"⚠ this Unit ID already exists",IF(AND($H989&lt;&gt;"",COUNTIF(INV_Serial,$H989)&gt;1),"⚠ this serial already exists",IF(COUNTIFS(INV_Product,$B989,INV_No,$C989)&gt;1,"⚠ piece number reused",""))))</f>
        <v/>
      </c>
      <c r="P989" s="5" t="n"/>
    </row>
    <row r="990">
      <c r="A990" s="8">
        <f>IF(OR($B990="",$C990=""),"",IFERROR(INDEX(PM_Short,MATCH($B990,PM_ID,0))&amp;"-"&amp;TEXT($C990,"00"),"?? no such product"))</f>
        <v/>
      </c>
      <c r="B990" s="5" t="n"/>
      <c r="C990" s="5" t="n"/>
      <c r="D990" s="8">
        <f>IF($B990="","",IFERROR(INDEX(PM_Category,MATCH($B990,PM_ID,0)),""))</f>
        <v/>
      </c>
      <c r="E990" s="8">
        <f>IF($B990="","",IFERROR(INDEX(PM_Subcategory,MATCH($B990,PM_ID,0)),""))</f>
        <v/>
      </c>
      <c r="F990" s="8">
        <f>IF($B990="","",IFERROR(INDEX(PM_Brand,MATCH($B990,PM_ID,0)),""))</f>
        <v/>
      </c>
      <c r="G990" s="8">
        <f>IF($B990="","",IFERROR(INDEX(PM_Model,MATCH($B990,PM_ID,0)),""))</f>
        <v/>
      </c>
      <c r="H990" s="5" t="n"/>
      <c r="I990" s="10" t="n"/>
      <c r="J990" s="9" t="n"/>
      <c r="K990" s="5" t="n"/>
      <c r="L990" s="5" t="n"/>
      <c r="M990" s="5" t="n"/>
      <c r="N990" s="5" t="n"/>
      <c r="O990" s="8">
        <f>IF($B990="","",IF(AND($A990&lt;&gt;"",COUNTIF(INV_ID,$A990)&gt;1),"⚠ this Unit ID already exists",IF(AND($H990&lt;&gt;"",COUNTIF(INV_Serial,$H990)&gt;1),"⚠ this serial already exists",IF(COUNTIFS(INV_Product,$B990,INV_No,$C990)&gt;1,"⚠ piece number reused",""))))</f>
        <v/>
      </c>
      <c r="P990" s="5" t="n"/>
    </row>
    <row r="991">
      <c r="A991" s="8">
        <f>IF(OR($B991="",$C991=""),"",IFERROR(INDEX(PM_Short,MATCH($B991,PM_ID,0))&amp;"-"&amp;TEXT($C991,"00"),"?? no such product"))</f>
        <v/>
      </c>
      <c r="B991" s="5" t="n"/>
      <c r="C991" s="5" t="n"/>
      <c r="D991" s="8">
        <f>IF($B991="","",IFERROR(INDEX(PM_Category,MATCH($B991,PM_ID,0)),""))</f>
        <v/>
      </c>
      <c r="E991" s="8">
        <f>IF($B991="","",IFERROR(INDEX(PM_Subcategory,MATCH($B991,PM_ID,0)),""))</f>
        <v/>
      </c>
      <c r="F991" s="8">
        <f>IF($B991="","",IFERROR(INDEX(PM_Brand,MATCH($B991,PM_ID,0)),""))</f>
        <v/>
      </c>
      <c r="G991" s="8">
        <f>IF($B991="","",IFERROR(INDEX(PM_Model,MATCH($B991,PM_ID,0)),""))</f>
        <v/>
      </c>
      <c r="H991" s="5" t="n"/>
      <c r="I991" s="10" t="n"/>
      <c r="J991" s="9" t="n"/>
      <c r="K991" s="5" t="n"/>
      <c r="L991" s="5" t="n"/>
      <c r="M991" s="5" t="n"/>
      <c r="N991" s="5" t="n"/>
      <c r="O991" s="8">
        <f>IF($B991="","",IF(AND($A991&lt;&gt;"",COUNTIF(INV_ID,$A991)&gt;1),"⚠ this Unit ID already exists",IF(AND($H991&lt;&gt;"",COUNTIF(INV_Serial,$H991)&gt;1),"⚠ this serial already exists",IF(COUNTIFS(INV_Product,$B991,INV_No,$C991)&gt;1,"⚠ piece number reused",""))))</f>
        <v/>
      </c>
      <c r="P991" s="5" t="n"/>
    </row>
    <row r="992">
      <c r="A992" s="8">
        <f>IF(OR($B992="",$C992=""),"",IFERROR(INDEX(PM_Short,MATCH($B992,PM_ID,0))&amp;"-"&amp;TEXT($C992,"00"),"?? no such product"))</f>
        <v/>
      </c>
      <c r="B992" s="5" t="n"/>
      <c r="C992" s="5" t="n"/>
      <c r="D992" s="8">
        <f>IF($B992="","",IFERROR(INDEX(PM_Category,MATCH($B992,PM_ID,0)),""))</f>
        <v/>
      </c>
      <c r="E992" s="8">
        <f>IF($B992="","",IFERROR(INDEX(PM_Subcategory,MATCH($B992,PM_ID,0)),""))</f>
        <v/>
      </c>
      <c r="F992" s="8">
        <f>IF($B992="","",IFERROR(INDEX(PM_Brand,MATCH($B992,PM_ID,0)),""))</f>
        <v/>
      </c>
      <c r="G992" s="8">
        <f>IF($B992="","",IFERROR(INDEX(PM_Model,MATCH($B992,PM_ID,0)),""))</f>
        <v/>
      </c>
      <c r="H992" s="5" t="n"/>
      <c r="I992" s="10" t="n"/>
      <c r="J992" s="9" t="n"/>
      <c r="K992" s="5" t="n"/>
      <c r="L992" s="5" t="n"/>
      <c r="M992" s="5" t="n"/>
      <c r="N992" s="5" t="n"/>
      <c r="O992" s="8">
        <f>IF($B992="","",IF(AND($A992&lt;&gt;"",COUNTIF(INV_ID,$A992)&gt;1),"⚠ this Unit ID already exists",IF(AND($H992&lt;&gt;"",COUNTIF(INV_Serial,$H992)&gt;1),"⚠ this serial already exists",IF(COUNTIFS(INV_Product,$B992,INV_No,$C992)&gt;1,"⚠ piece number reused",""))))</f>
        <v/>
      </c>
      <c r="P992" s="5" t="n"/>
    </row>
    <row r="993">
      <c r="A993" s="8">
        <f>IF(OR($B993="",$C993=""),"",IFERROR(INDEX(PM_Short,MATCH($B993,PM_ID,0))&amp;"-"&amp;TEXT($C993,"00"),"?? no such product"))</f>
        <v/>
      </c>
      <c r="B993" s="5" t="n"/>
      <c r="C993" s="5" t="n"/>
      <c r="D993" s="8">
        <f>IF($B993="","",IFERROR(INDEX(PM_Category,MATCH($B993,PM_ID,0)),""))</f>
        <v/>
      </c>
      <c r="E993" s="8">
        <f>IF($B993="","",IFERROR(INDEX(PM_Subcategory,MATCH($B993,PM_ID,0)),""))</f>
        <v/>
      </c>
      <c r="F993" s="8">
        <f>IF($B993="","",IFERROR(INDEX(PM_Brand,MATCH($B993,PM_ID,0)),""))</f>
        <v/>
      </c>
      <c r="G993" s="8">
        <f>IF($B993="","",IFERROR(INDEX(PM_Model,MATCH($B993,PM_ID,0)),""))</f>
        <v/>
      </c>
      <c r="H993" s="5" t="n"/>
      <c r="I993" s="10" t="n"/>
      <c r="J993" s="9" t="n"/>
      <c r="K993" s="5" t="n"/>
      <c r="L993" s="5" t="n"/>
      <c r="M993" s="5" t="n"/>
      <c r="N993" s="5" t="n"/>
      <c r="O993" s="8">
        <f>IF($B993="","",IF(AND($A993&lt;&gt;"",COUNTIF(INV_ID,$A993)&gt;1),"⚠ this Unit ID already exists",IF(AND($H993&lt;&gt;"",COUNTIF(INV_Serial,$H993)&gt;1),"⚠ this serial already exists",IF(COUNTIFS(INV_Product,$B993,INV_No,$C993)&gt;1,"⚠ piece number reused",""))))</f>
        <v/>
      </c>
      <c r="P993" s="5" t="n"/>
    </row>
    <row r="994">
      <c r="A994" s="8">
        <f>IF(OR($B994="",$C994=""),"",IFERROR(INDEX(PM_Short,MATCH($B994,PM_ID,0))&amp;"-"&amp;TEXT($C994,"00"),"?? no such product"))</f>
        <v/>
      </c>
      <c r="B994" s="5" t="n"/>
      <c r="C994" s="5" t="n"/>
      <c r="D994" s="8">
        <f>IF($B994="","",IFERROR(INDEX(PM_Category,MATCH($B994,PM_ID,0)),""))</f>
        <v/>
      </c>
      <c r="E994" s="8">
        <f>IF($B994="","",IFERROR(INDEX(PM_Subcategory,MATCH($B994,PM_ID,0)),""))</f>
        <v/>
      </c>
      <c r="F994" s="8">
        <f>IF($B994="","",IFERROR(INDEX(PM_Brand,MATCH($B994,PM_ID,0)),""))</f>
        <v/>
      </c>
      <c r="G994" s="8">
        <f>IF($B994="","",IFERROR(INDEX(PM_Model,MATCH($B994,PM_ID,0)),""))</f>
        <v/>
      </c>
      <c r="H994" s="5" t="n"/>
      <c r="I994" s="10" t="n"/>
      <c r="J994" s="9" t="n"/>
      <c r="K994" s="5" t="n"/>
      <c r="L994" s="5" t="n"/>
      <c r="M994" s="5" t="n"/>
      <c r="N994" s="5" t="n"/>
      <c r="O994" s="8">
        <f>IF($B994="","",IF(AND($A994&lt;&gt;"",COUNTIF(INV_ID,$A994)&gt;1),"⚠ this Unit ID already exists",IF(AND($H994&lt;&gt;"",COUNTIF(INV_Serial,$H994)&gt;1),"⚠ this serial already exists",IF(COUNTIFS(INV_Product,$B994,INV_No,$C994)&gt;1,"⚠ piece number reused",""))))</f>
        <v/>
      </c>
      <c r="P994" s="5" t="n"/>
    </row>
    <row r="995">
      <c r="A995" s="8">
        <f>IF(OR($B995="",$C995=""),"",IFERROR(INDEX(PM_Short,MATCH($B995,PM_ID,0))&amp;"-"&amp;TEXT($C995,"00"),"?? no such product"))</f>
        <v/>
      </c>
      <c r="B995" s="5" t="n"/>
      <c r="C995" s="5" t="n"/>
      <c r="D995" s="8">
        <f>IF($B995="","",IFERROR(INDEX(PM_Category,MATCH($B995,PM_ID,0)),""))</f>
        <v/>
      </c>
      <c r="E995" s="8">
        <f>IF($B995="","",IFERROR(INDEX(PM_Subcategory,MATCH($B995,PM_ID,0)),""))</f>
        <v/>
      </c>
      <c r="F995" s="8">
        <f>IF($B995="","",IFERROR(INDEX(PM_Brand,MATCH($B995,PM_ID,0)),""))</f>
        <v/>
      </c>
      <c r="G995" s="8">
        <f>IF($B995="","",IFERROR(INDEX(PM_Model,MATCH($B995,PM_ID,0)),""))</f>
        <v/>
      </c>
      <c r="H995" s="5" t="n"/>
      <c r="I995" s="10" t="n"/>
      <c r="J995" s="9" t="n"/>
      <c r="K995" s="5" t="n"/>
      <c r="L995" s="5" t="n"/>
      <c r="M995" s="5" t="n"/>
      <c r="N995" s="5" t="n"/>
      <c r="O995" s="8">
        <f>IF($B995="","",IF(AND($A995&lt;&gt;"",COUNTIF(INV_ID,$A995)&gt;1),"⚠ this Unit ID already exists",IF(AND($H995&lt;&gt;"",COUNTIF(INV_Serial,$H995)&gt;1),"⚠ this serial already exists",IF(COUNTIFS(INV_Product,$B995,INV_No,$C995)&gt;1,"⚠ piece number reused",""))))</f>
        <v/>
      </c>
      <c r="P995" s="5" t="n"/>
    </row>
    <row r="996">
      <c r="A996" s="8">
        <f>IF(OR($B996="",$C996=""),"",IFERROR(INDEX(PM_Short,MATCH($B996,PM_ID,0))&amp;"-"&amp;TEXT($C996,"00"),"?? no such product"))</f>
        <v/>
      </c>
      <c r="B996" s="5" t="n"/>
      <c r="C996" s="5" t="n"/>
      <c r="D996" s="8">
        <f>IF($B996="","",IFERROR(INDEX(PM_Category,MATCH($B996,PM_ID,0)),""))</f>
        <v/>
      </c>
      <c r="E996" s="8">
        <f>IF($B996="","",IFERROR(INDEX(PM_Subcategory,MATCH($B996,PM_ID,0)),""))</f>
        <v/>
      </c>
      <c r="F996" s="8">
        <f>IF($B996="","",IFERROR(INDEX(PM_Brand,MATCH($B996,PM_ID,0)),""))</f>
        <v/>
      </c>
      <c r="G996" s="8">
        <f>IF($B996="","",IFERROR(INDEX(PM_Model,MATCH($B996,PM_ID,0)),""))</f>
        <v/>
      </c>
      <c r="H996" s="5" t="n"/>
      <c r="I996" s="10" t="n"/>
      <c r="J996" s="9" t="n"/>
      <c r="K996" s="5" t="n"/>
      <c r="L996" s="5" t="n"/>
      <c r="M996" s="5" t="n"/>
      <c r="N996" s="5" t="n"/>
      <c r="O996" s="8">
        <f>IF($B996="","",IF(AND($A996&lt;&gt;"",COUNTIF(INV_ID,$A996)&gt;1),"⚠ this Unit ID already exists",IF(AND($H996&lt;&gt;"",COUNTIF(INV_Serial,$H996)&gt;1),"⚠ this serial already exists",IF(COUNTIFS(INV_Product,$B996,INV_No,$C996)&gt;1,"⚠ piece number reused",""))))</f>
        <v/>
      </c>
      <c r="P996" s="5" t="n"/>
    </row>
    <row r="997">
      <c r="A997" s="8">
        <f>IF(OR($B997="",$C997=""),"",IFERROR(INDEX(PM_Short,MATCH($B997,PM_ID,0))&amp;"-"&amp;TEXT($C997,"00"),"?? no such product"))</f>
        <v/>
      </c>
      <c r="B997" s="5" t="n"/>
      <c r="C997" s="5" t="n"/>
      <c r="D997" s="8">
        <f>IF($B997="","",IFERROR(INDEX(PM_Category,MATCH($B997,PM_ID,0)),""))</f>
        <v/>
      </c>
      <c r="E997" s="8">
        <f>IF($B997="","",IFERROR(INDEX(PM_Subcategory,MATCH($B997,PM_ID,0)),""))</f>
        <v/>
      </c>
      <c r="F997" s="8">
        <f>IF($B997="","",IFERROR(INDEX(PM_Brand,MATCH($B997,PM_ID,0)),""))</f>
        <v/>
      </c>
      <c r="G997" s="8">
        <f>IF($B997="","",IFERROR(INDEX(PM_Model,MATCH($B997,PM_ID,0)),""))</f>
        <v/>
      </c>
      <c r="H997" s="5" t="n"/>
      <c r="I997" s="10" t="n"/>
      <c r="J997" s="9" t="n"/>
      <c r="K997" s="5" t="n"/>
      <c r="L997" s="5" t="n"/>
      <c r="M997" s="5" t="n"/>
      <c r="N997" s="5" t="n"/>
      <c r="O997" s="8">
        <f>IF($B997="","",IF(AND($A997&lt;&gt;"",COUNTIF(INV_ID,$A997)&gt;1),"⚠ this Unit ID already exists",IF(AND($H997&lt;&gt;"",COUNTIF(INV_Serial,$H997)&gt;1),"⚠ this serial already exists",IF(COUNTIFS(INV_Product,$B997,INV_No,$C997)&gt;1,"⚠ piece number reused",""))))</f>
        <v/>
      </c>
      <c r="P997" s="5" t="n"/>
    </row>
    <row r="998">
      <c r="A998" s="8">
        <f>IF(OR($B998="",$C998=""),"",IFERROR(INDEX(PM_Short,MATCH($B998,PM_ID,0))&amp;"-"&amp;TEXT($C998,"00"),"?? no such product"))</f>
        <v/>
      </c>
      <c r="B998" s="5" t="n"/>
      <c r="C998" s="5" t="n"/>
      <c r="D998" s="8">
        <f>IF($B998="","",IFERROR(INDEX(PM_Category,MATCH($B998,PM_ID,0)),""))</f>
        <v/>
      </c>
      <c r="E998" s="8">
        <f>IF($B998="","",IFERROR(INDEX(PM_Subcategory,MATCH($B998,PM_ID,0)),""))</f>
        <v/>
      </c>
      <c r="F998" s="8">
        <f>IF($B998="","",IFERROR(INDEX(PM_Brand,MATCH($B998,PM_ID,0)),""))</f>
        <v/>
      </c>
      <c r="G998" s="8">
        <f>IF($B998="","",IFERROR(INDEX(PM_Model,MATCH($B998,PM_ID,0)),""))</f>
        <v/>
      </c>
      <c r="H998" s="5" t="n"/>
      <c r="I998" s="10" t="n"/>
      <c r="J998" s="9" t="n"/>
      <c r="K998" s="5" t="n"/>
      <c r="L998" s="5" t="n"/>
      <c r="M998" s="5" t="n"/>
      <c r="N998" s="5" t="n"/>
      <c r="O998" s="8">
        <f>IF($B998="","",IF(AND($A998&lt;&gt;"",COUNTIF(INV_ID,$A998)&gt;1),"⚠ this Unit ID already exists",IF(AND($H998&lt;&gt;"",COUNTIF(INV_Serial,$H998)&gt;1),"⚠ this serial already exists",IF(COUNTIFS(INV_Product,$B998,INV_No,$C998)&gt;1,"⚠ piece number reused",""))))</f>
        <v/>
      </c>
      <c r="P998" s="5" t="n"/>
    </row>
    <row r="999">
      <c r="A999" s="8">
        <f>IF(OR($B999="",$C999=""),"",IFERROR(INDEX(PM_Short,MATCH($B999,PM_ID,0))&amp;"-"&amp;TEXT($C999,"00"),"?? no such product"))</f>
        <v/>
      </c>
      <c r="B999" s="5" t="n"/>
      <c r="C999" s="5" t="n"/>
      <c r="D999" s="8">
        <f>IF($B999="","",IFERROR(INDEX(PM_Category,MATCH($B999,PM_ID,0)),""))</f>
        <v/>
      </c>
      <c r="E999" s="8">
        <f>IF($B999="","",IFERROR(INDEX(PM_Subcategory,MATCH($B999,PM_ID,0)),""))</f>
        <v/>
      </c>
      <c r="F999" s="8">
        <f>IF($B999="","",IFERROR(INDEX(PM_Brand,MATCH($B999,PM_ID,0)),""))</f>
        <v/>
      </c>
      <c r="G999" s="8">
        <f>IF($B999="","",IFERROR(INDEX(PM_Model,MATCH($B999,PM_ID,0)),""))</f>
        <v/>
      </c>
      <c r="H999" s="5" t="n"/>
      <c r="I999" s="10" t="n"/>
      <c r="J999" s="9" t="n"/>
      <c r="K999" s="5" t="n"/>
      <c r="L999" s="5" t="n"/>
      <c r="M999" s="5" t="n"/>
      <c r="N999" s="5" t="n"/>
      <c r="O999" s="8">
        <f>IF($B999="","",IF(AND($A999&lt;&gt;"",COUNTIF(INV_ID,$A999)&gt;1),"⚠ this Unit ID already exists",IF(AND($H999&lt;&gt;"",COUNTIF(INV_Serial,$H999)&gt;1),"⚠ this serial already exists",IF(COUNTIFS(INV_Product,$B999,INV_No,$C999)&gt;1,"⚠ piece number reused",""))))</f>
        <v/>
      </c>
      <c r="P999" s="5" t="n"/>
    </row>
    <row r="1000">
      <c r="A1000" s="8">
        <f>IF(OR($B1000="",$C1000=""),"",IFERROR(INDEX(PM_Short,MATCH($B1000,PM_ID,0))&amp;"-"&amp;TEXT($C1000,"00"),"?? no such product"))</f>
        <v/>
      </c>
      <c r="B1000" s="5" t="n"/>
      <c r="C1000" s="5" t="n"/>
      <c r="D1000" s="8">
        <f>IF($B1000="","",IFERROR(INDEX(PM_Category,MATCH($B1000,PM_ID,0)),""))</f>
        <v/>
      </c>
      <c r="E1000" s="8">
        <f>IF($B1000="","",IFERROR(INDEX(PM_Subcategory,MATCH($B1000,PM_ID,0)),""))</f>
        <v/>
      </c>
      <c r="F1000" s="8">
        <f>IF($B1000="","",IFERROR(INDEX(PM_Brand,MATCH($B1000,PM_ID,0)),""))</f>
        <v/>
      </c>
      <c r="G1000" s="8">
        <f>IF($B1000="","",IFERROR(INDEX(PM_Model,MATCH($B1000,PM_ID,0)),""))</f>
        <v/>
      </c>
      <c r="H1000" s="5" t="n"/>
      <c r="I1000" s="10" t="n"/>
      <c r="J1000" s="9" t="n"/>
      <c r="K1000" s="5" t="n"/>
      <c r="L1000" s="5" t="n"/>
      <c r="M1000" s="5" t="n"/>
      <c r="N1000" s="5" t="n"/>
      <c r="O1000" s="8">
        <f>IF($B1000="","",IF(AND($A1000&lt;&gt;"",COUNTIF(INV_ID,$A1000)&gt;1),"⚠ this Unit ID already exists",IF(AND($H1000&lt;&gt;"",COUNTIF(INV_Serial,$H1000)&gt;1),"⚠ this serial already exists",IF(COUNTIFS(INV_Product,$B1000,INV_No,$C1000)&gt;1,"⚠ piece number reused",""))))</f>
        <v/>
      </c>
      <c r="P1000" s="5" t="n"/>
    </row>
    <row r="1001">
      <c r="A1001" s="8">
        <f>IF(OR($B1001="",$C1001=""),"",IFERROR(INDEX(PM_Short,MATCH($B1001,PM_ID,0))&amp;"-"&amp;TEXT($C1001,"00"),"?? no such product"))</f>
        <v/>
      </c>
      <c r="B1001" s="5" t="n"/>
      <c r="C1001" s="5" t="n"/>
      <c r="D1001" s="8">
        <f>IF($B1001="","",IFERROR(INDEX(PM_Category,MATCH($B1001,PM_ID,0)),""))</f>
        <v/>
      </c>
      <c r="E1001" s="8">
        <f>IF($B1001="","",IFERROR(INDEX(PM_Subcategory,MATCH($B1001,PM_ID,0)),""))</f>
        <v/>
      </c>
      <c r="F1001" s="8">
        <f>IF($B1001="","",IFERROR(INDEX(PM_Brand,MATCH($B1001,PM_ID,0)),""))</f>
        <v/>
      </c>
      <c r="G1001" s="8">
        <f>IF($B1001="","",IFERROR(INDEX(PM_Model,MATCH($B1001,PM_ID,0)),""))</f>
        <v/>
      </c>
      <c r="H1001" s="5" t="n"/>
      <c r="I1001" s="10" t="n"/>
      <c r="J1001" s="9" t="n"/>
      <c r="K1001" s="5" t="n"/>
      <c r="L1001" s="5" t="n"/>
      <c r="M1001" s="5" t="n"/>
      <c r="N1001" s="5" t="n"/>
      <c r="O1001" s="8">
        <f>IF($B1001="","",IF(AND($A1001&lt;&gt;"",COUNTIF(INV_ID,$A1001)&gt;1),"⚠ this Unit ID already exists",IF(AND($H1001&lt;&gt;"",COUNTIF(INV_Serial,$H1001)&gt;1),"⚠ this serial already exists",IF(COUNTIFS(INV_Product,$B1001,INV_No,$C1001)&gt;1,"⚠ piece number reused",""))))</f>
        <v/>
      </c>
      <c r="P1001" s="5" t="n"/>
    </row>
    <row r="1002">
      <c r="A1002" s="8">
        <f>IF(OR($B1002="",$C1002=""),"",IFERROR(INDEX(PM_Short,MATCH($B1002,PM_ID,0))&amp;"-"&amp;TEXT($C1002,"00"),"?? no such product"))</f>
        <v/>
      </c>
      <c r="B1002" s="5" t="n"/>
      <c r="C1002" s="5" t="n"/>
      <c r="D1002" s="8">
        <f>IF($B1002="","",IFERROR(INDEX(PM_Category,MATCH($B1002,PM_ID,0)),""))</f>
        <v/>
      </c>
      <c r="E1002" s="8">
        <f>IF($B1002="","",IFERROR(INDEX(PM_Subcategory,MATCH($B1002,PM_ID,0)),""))</f>
        <v/>
      </c>
      <c r="F1002" s="8">
        <f>IF($B1002="","",IFERROR(INDEX(PM_Brand,MATCH($B1002,PM_ID,0)),""))</f>
        <v/>
      </c>
      <c r="G1002" s="8">
        <f>IF($B1002="","",IFERROR(INDEX(PM_Model,MATCH($B1002,PM_ID,0)),""))</f>
        <v/>
      </c>
      <c r="H1002" s="5" t="n"/>
      <c r="I1002" s="10" t="n"/>
      <c r="J1002" s="9" t="n"/>
      <c r="K1002" s="5" t="n"/>
      <c r="L1002" s="5" t="n"/>
      <c r="M1002" s="5" t="n"/>
      <c r="N1002" s="5" t="n"/>
      <c r="O1002" s="8">
        <f>IF($B1002="","",IF(AND($A1002&lt;&gt;"",COUNTIF(INV_ID,$A1002)&gt;1),"⚠ this Unit ID already exists",IF(AND($H1002&lt;&gt;"",COUNTIF(INV_Serial,$H1002)&gt;1),"⚠ this serial already exists",IF(COUNTIFS(INV_Product,$B1002,INV_No,$C1002)&gt;1,"⚠ piece number reused",""))))</f>
        <v/>
      </c>
      <c r="P1002" s="5" t="n"/>
    </row>
    <row r="1003">
      <c r="A1003" s="8">
        <f>IF(OR($B1003="",$C1003=""),"",IFERROR(INDEX(PM_Short,MATCH($B1003,PM_ID,0))&amp;"-"&amp;TEXT($C1003,"00"),"?? no such product"))</f>
        <v/>
      </c>
      <c r="B1003" s="5" t="n"/>
      <c r="C1003" s="5" t="n"/>
      <c r="D1003" s="8">
        <f>IF($B1003="","",IFERROR(INDEX(PM_Category,MATCH($B1003,PM_ID,0)),""))</f>
        <v/>
      </c>
      <c r="E1003" s="8">
        <f>IF($B1003="","",IFERROR(INDEX(PM_Subcategory,MATCH($B1003,PM_ID,0)),""))</f>
        <v/>
      </c>
      <c r="F1003" s="8">
        <f>IF($B1003="","",IFERROR(INDEX(PM_Brand,MATCH($B1003,PM_ID,0)),""))</f>
        <v/>
      </c>
      <c r="G1003" s="8">
        <f>IF($B1003="","",IFERROR(INDEX(PM_Model,MATCH($B1003,PM_ID,0)),""))</f>
        <v/>
      </c>
      <c r="H1003" s="5" t="n"/>
      <c r="I1003" s="10" t="n"/>
      <c r="J1003" s="9" t="n"/>
      <c r="K1003" s="5" t="n"/>
      <c r="L1003" s="5" t="n"/>
      <c r="M1003" s="5" t="n"/>
      <c r="N1003" s="5" t="n"/>
      <c r="O1003" s="8">
        <f>IF($B1003="","",IF(AND($A1003&lt;&gt;"",COUNTIF(INV_ID,$A1003)&gt;1),"⚠ this Unit ID already exists",IF(AND($H1003&lt;&gt;"",COUNTIF(INV_Serial,$H1003)&gt;1),"⚠ this serial already exists",IF(COUNTIFS(INV_Product,$B1003,INV_No,$C1003)&gt;1,"⚠ piece number reused",""))))</f>
        <v/>
      </c>
      <c r="P1003" s="5" t="n"/>
    </row>
    <row r="1004">
      <c r="A1004" s="8">
        <f>IF(OR($B1004="",$C1004=""),"",IFERROR(INDEX(PM_Short,MATCH($B1004,PM_ID,0))&amp;"-"&amp;TEXT($C1004,"00"),"?? no such product"))</f>
        <v/>
      </c>
      <c r="B1004" s="5" t="n"/>
      <c r="C1004" s="5" t="n"/>
      <c r="D1004" s="8">
        <f>IF($B1004="","",IFERROR(INDEX(PM_Category,MATCH($B1004,PM_ID,0)),""))</f>
        <v/>
      </c>
      <c r="E1004" s="8">
        <f>IF($B1004="","",IFERROR(INDEX(PM_Subcategory,MATCH($B1004,PM_ID,0)),""))</f>
        <v/>
      </c>
      <c r="F1004" s="8">
        <f>IF($B1004="","",IFERROR(INDEX(PM_Brand,MATCH($B1004,PM_ID,0)),""))</f>
        <v/>
      </c>
      <c r="G1004" s="8">
        <f>IF($B1004="","",IFERROR(INDEX(PM_Model,MATCH($B1004,PM_ID,0)),""))</f>
        <v/>
      </c>
      <c r="H1004" s="5" t="n"/>
      <c r="I1004" s="10" t="n"/>
      <c r="J1004" s="9" t="n"/>
      <c r="K1004" s="5" t="n"/>
      <c r="L1004" s="5" t="n"/>
      <c r="M1004" s="5" t="n"/>
      <c r="N1004" s="5" t="n"/>
      <c r="O1004" s="8">
        <f>IF($B1004="","",IF(AND($A1004&lt;&gt;"",COUNTIF(INV_ID,$A1004)&gt;1),"⚠ this Unit ID already exists",IF(AND($H1004&lt;&gt;"",COUNTIF(INV_Serial,$H1004)&gt;1),"⚠ this serial already exists",IF(COUNTIFS(INV_Product,$B1004,INV_No,$C1004)&gt;1,"⚠ piece number reused",""))))</f>
        <v/>
      </c>
      <c r="P1004" s="5" t="n"/>
    </row>
    <row r="1005">
      <c r="A1005" s="8">
        <f>IF(OR($B1005="",$C1005=""),"",IFERROR(INDEX(PM_Short,MATCH($B1005,PM_ID,0))&amp;"-"&amp;TEXT($C1005,"00"),"?? no such product"))</f>
        <v/>
      </c>
      <c r="B1005" s="5" t="n"/>
      <c r="C1005" s="5" t="n"/>
      <c r="D1005" s="8">
        <f>IF($B1005="","",IFERROR(INDEX(PM_Category,MATCH($B1005,PM_ID,0)),""))</f>
        <v/>
      </c>
      <c r="E1005" s="8">
        <f>IF($B1005="","",IFERROR(INDEX(PM_Subcategory,MATCH($B1005,PM_ID,0)),""))</f>
        <v/>
      </c>
      <c r="F1005" s="8">
        <f>IF($B1005="","",IFERROR(INDEX(PM_Brand,MATCH($B1005,PM_ID,0)),""))</f>
        <v/>
      </c>
      <c r="G1005" s="8">
        <f>IF($B1005="","",IFERROR(INDEX(PM_Model,MATCH($B1005,PM_ID,0)),""))</f>
        <v/>
      </c>
      <c r="H1005" s="5" t="n"/>
      <c r="I1005" s="10" t="n"/>
      <c r="J1005" s="9" t="n"/>
      <c r="K1005" s="5" t="n"/>
      <c r="L1005" s="5" t="n"/>
      <c r="M1005" s="5" t="n"/>
      <c r="N1005" s="5" t="n"/>
      <c r="O1005" s="8">
        <f>IF($B1005="","",IF(AND($A1005&lt;&gt;"",COUNTIF(INV_ID,$A1005)&gt;1),"⚠ this Unit ID already exists",IF(AND($H1005&lt;&gt;"",COUNTIF(INV_Serial,$H1005)&gt;1),"⚠ this serial already exists",IF(COUNTIFS(INV_Product,$B1005,INV_No,$C1005)&gt;1,"⚠ piece number reused",""))))</f>
        <v/>
      </c>
      <c r="P1005" s="5" t="n"/>
    </row>
    <row r="1006">
      <c r="A1006" s="8">
        <f>IF(OR($B1006="",$C1006=""),"",IFERROR(INDEX(PM_Short,MATCH($B1006,PM_ID,0))&amp;"-"&amp;TEXT($C1006,"00"),"?? no such product"))</f>
        <v/>
      </c>
      <c r="B1006" s="5" t="n"/>
      <c r="C1006" s="5" t="n"/>
      <c r="D1006" s="8">
        <f>IF($B1006="","",IFERROR(INDEX(PM_Category,MATCH($B1006,PM_ID,0)),""))</f>
        <v/>
      </c>
      <c r="E1006" s="8">
        <f>IF($B1006="","",IFERROR(INDEX(PM_Subcategory,MATCH($B1006,PM_ID,0)),""))</f>
        <v/>
      </c>
      <c r="F1006" s="8">
        <f>IF($B1006="","",IFERROR(INDEX(PM_Brand,MATCH($B1006,PM_ID,0)),""))</f>
        <v/>
      </c>
      <c r="G1006" s="8">
        <f>IF($B1006="","",IFERROR(INDEX(PM_Model,MATCH($B1006,PM_ID,0)),""))</f>
        <v/>
      </c>
      <c r="H1006" s="5" t="n"/>
      <c r="I1006" s="10" t="n"/>
      <c r="J1006" s="9" t="n"/>
      <c r="K1006" s="5" t="n"/>
      <c r="L1006" s="5" t="n"/>
      <c r="M1006" s="5" t="n"/>
      <c r="N1006" s="5" t="n"/>
      <c r="O1006" s="8">
        <f>IF($B1006="","",IF(AND($A1006&lt;&gt;"",COUNTIF(INV_ID,$A1006)&gt;1),"⚠ this Unit ID already exists",IF(AND($H1006&lt;&gt;"",COUNTIF(INV_Serial,$H1006)&gt;1),"⚠ this serial already exists",IF(COUNTIFS(INV_Product,$B1006,INV_No,$C1006)&gt;1,"⚠ piece number reused",""))))</f>
        <v/>
      </c>
      <c r="P1006" s="5" t="n"/>
    </row>
    <row r="1007">
      <c r="A1007" s="8">
        <f>IF(OR($B1007="",$C1007=""),"",IFERROR(INDEX(PM_Short,MATCH($B1007,PM_ID,0))&amp;"-"&amp;TEXT($C1007,"00"),"?? no such product"))</f>
        <v/>
      </c>
      <c r="B1007" s="5" t="n"/>
      <c r="C1007" s="5" t="n"/>
      <c r="D1007" s="8">
        <f>IF($B1007="","",IFERROR(INDEX(PM_Category,MATCH($B1007,PM_ID,0)),""))</f>
        <v/>
      </c>
      <c r="E1007" s="8">
        <f>IF($B1007="","",IFERROR(INDEX(PM_Subcategory,MATCH($B1007,PM_ID,0)),""))</f>
        <v/>
      </c>
      <c r="F1007" s="8">
        <f>IF($B1007="","",IFERROR(INDEX(PM_Brand,MATCH($B1007,PM_ID,0)),""))</f>
        <v/>
      </c>
      <c r="G1007" s="8">
        <f>IF($B1007="","",IFERROR(INDEX(PM_Model,MATCH($B1007,PM_ID,0)),""))</f>
        <v/>
      </c>
      <c r="H1007" s="5" t="n"/>
      <c r="I1007" s="10" t="n"/>
      <c r="J1007" s="9" t="n"/>
      <c r="K1007" s="5" t="n"/>
      <c r="L1007" s="5" t="n"/>
      <c r="M1007" s="5" t="n"/>
      <c r="N1007" s="5" t="n"/>
      <c r="O1007" s="8">
        <f>IF($B1007="","",IF(AND($A1007&lt;&gt;"",COUNTIF(INV_ID,$A1007)&gt;1),"⚠ this Unit ID already exists",IF(AND($H1007&lt;&gt;"",COUNTIF(INV_Serial,$H1007)&gt;1),"⚠ this serial already exists",IF(COUNTIFS(INV_Product,$B1007,INV_No,$C1007)&gt;1,"⚠ piece number reused",""))))</f>
        <v/>
      </c>
      <c r="P1007" s="5" t="n"/>
    </row>
    <row r="1008">
      <c r="A1008" s="8">
        <f>IF(OR($B1008="",$C1008=""),"",IFERROR(INDEX(PM_Short,MATCH($B1008,PM_ID,0))&amp;"-"&amp;TEXT($C1008,"00"),"?? no such product"))</f>
        <v/>
      </c>
      <c r="B1008" s="5" t="n"/>
      <c r="C1008" s="5" t="n"/>
      <c r="D1008" s="8">
        <f>IF($B1008="","",IFERROR(INDEX(PM_Category,MATCH($B1008,PM_ID,0)),""))</f>
        <v/>
      </c>
      <c r="E1008" s="8">
        <f>IF($B1008="","",IFERROR(INDEX(PM_Subcategory,MATCH($B1008,PM_ID,0)),""))</f>
        <v/>
      </c>
      <c r="F1008" s="8">
        <f>IF($B1008="","",IFERROR(INDEX(PM_Brand,MATCH($B1008,PM_ID,0)),""))</f>
        <v/>
      </c>
      <c r="G1008" s="8">
        <f>IF($B1008="","",IFERROR(INDEX(PM_Model,MATCH($B1008,PM_ID,0)),""))</f>
        <v/>
      </c>
      <c r="H1008" s="5" t="n"/>
      <c r="I1008" s="10" t="n"/>
      <c r="J1008" s="9" t="n"/>
      <c r="K1008" s="5" t="n"/>
      <c r="L1008" s="5" t="n"/>
      <c r="M1008" s="5" t="n"/>
      <c r="N1008" s="5" t="n"/>
      <c r="O1008" s="8">
        <f>IF($B1008="","",IF(AND($A1008&lt;&gt;"",COUNTIF(INV_ID,$A1008)&gt;1),"⚠ this Unit ID already exists",IF(AND($H1008&lt;&gt;"",COUNTIF(INV_Serial,$H1008)&gt;1),"⚠ this serial already exists",IF(COUNTIFS(INV_Product,$B1008,INV_No,$C1008)&gt;1,"⚠ piece number reused",""))))</f>
        <v/>
      </c>
      <c r="P1008" s="5" t="n"/>
    </row>
    <row r="1009">
      <c r="A1009" s="8">
        <f>IF(OR($B1009="",$C1009=""),"",IFERROR(INDEX(PM_Short,MATCH($B1009,PM_ID,0))&amp;"-"&amp;TEXT($C1009,"00"),"?? no such product"))</f>
        <v/>
      </c>
      <c r="B1009" s="5" t="n"/>
      <c r="C1009" s="5" t="n"/>
      <c r="D1009" s="8">
        <f>IF($B1009="","",IFERROR(INDEX(PM_Category,MATCH($B1009,PM_ID,0)),""))</f>
        <v/>
      </c>
      <c r="E1009" s="8">
        <f>IF($B1009="","",IFERROR(INDEX(PM_Subcategory,MATCH($B1009,PM_ID,0)),""))</f>
        <v/>
      </c>
      <c r="F1009" s="8">
        <f>IF($B1009="","",IFERROR(INDEX(PM_Brand,MATCH($B1009,PM_ID,0)),""))</f>
        <v/>
      </c>
      <c r="G1009" s="8">
        <f>IF($B1009="","",IFERROR(INDEX(PM_Model,MATCH($B1009,PM_ID,0)),""))</f>
        <v/>
      </c>
      <c r="H1009" s="5" t="n"/>
      <c r="I1009" s="10" t="n"/>
      <c r="J1009" s="9" t="n"/>
      <c r="K1009" s="5" t="n"/>
      <c r="L1009" s="5" t="n"/>
      <c r="M1009" s="5" t="n"/>
      <c r="N1009" s="5" t="n"/>
      <c r="O1009" s="8">
        <f>IF($B1009="","",IF(AND($A1009&lt;&gt;"",COUNTIF(INV_ID,$A1009)&gt;1),"⚠ this Unit ID already exists",IF(AND($H1009&lt;&gt;"",COUNTIF(INV_Serial,$H1009)&gt;1),"⚠ this serial already exists",IF(COUNTIFS(INV_Product,$B1009,INV_No,$C1009)&gt;1,"⚠ piece number reused",""))))</f>
        <v/>
      </c>
      <c r="P1009" s="5" t="n"/>
    </row>
    <row r="1010">
      <c r="A1010" s="8">
        <f>IF(OR($B1010="",$C1010=""),"",IFERROR(INDEX(PM_Short,MATCH($B1010,PM_ID,0))&amp;"-"&amp;TEXT($C1010,"00"),"?? no such product"))</f>
        <v/>
      </c>
      <c r="B1010" s="5" t="n"/>
      <c r="C1010" s="5" t="n"/>
      <c r="D1010" s="8">
        <f>IF($B1010="","",IFERROR(INDEX(PM_Category,MATCH($B1010,PM_ID,0)),""))</f>
        <v/>
      </c>
      <c r="E1010" s="8">
        <f>IF($B1010="","",IFERROR(INDEX(PM_Subcategory,MATCH($B1010,PM_ID,0)),""))</f>
        <v/>
      </c>
      <c r="F1010" s="8">
        <f>IF($B1010="","",IFERROR(INDEX(PM_Brand,MATCH($B1010,PM_ID,0)),""))</f>
        <v/>
      </c>
      <c r="G1010" s="8">
        <f>IF($B1010="","",IFERROR(INDEX(PM_Model,MATCH($B1010,PM_ID,0)),""))</f>
        <v/>
      </c>
      <c r="H1010" s="5" t="n"/>
      <c r="I1010" s="10" t="n"/>
      <c r="J1010" s="9" t="n"/>
      <c r="K1010" s="5" t="n"/>
      <c r="L1010" s="5" t="n"/>
      <c r="M1010" s="5" t="n"/>
      <c r="N1010" s="5" t="n"/>
      <c r="O1010" s="8">
        <f>IF($B1010="","",IF(AND($A1010&lt;&gt;"",COUNTIF(INV_ID,$A1010)&gt;1),"⚠ this Unit ID already exists",IF(AND($H1010&lt;&gt;"",COUNTIF(INV_Serial,$H1010)&gt;1),"⚠ this serial already exists",IF(COUNTIFS(INV_Product,$B1010,INV_No,$C1010)&gt;1,"⚠ piece number reused",""))))</f>
        <v/>
      </c>
      <c r="P1010" s="5" t="n"/>
    </row>
    <row r="1011">
      <c r="A1011" s="8">
        <f>IF(OR($B1011="",$C1011=""),"",IFERROR(INDEX(PM_Short,MATCH($B1011,PM_ID,0))&amp;"-"&amp;TEXT($C1011,"00"),"?? no such product"))</f>
        <v/>
      </c>
      <c r="B1011" s="5" t="n"/>
      <c r="C1011" s="5" t="n"/>
      <c r="D1011" s="8">
        <f>IF($B1011="","",IFERROR(INDEX(PM_Category,MATCH($B1011,PM_ID,0)),""))</f>
        <v/>
      </c>
      <c r="E1011" s="8">
        <f>IF($B1011="","",IFERROR(INDEX(PM_Subcategory,MATCH($B1011,PM_ID,0)),""))</f>
        <v/>
      </c>
      <c r="F1011" s="8">
        <f>IF($B1011="","",IFERROR(INDEX(PM_Brand,MATCH($B1011,PM_ID,0)),""))</f>
        <v/>
      </c>
      <c r="G1011" s="8">
        <f>IF($B1011="","",IFERROR(INDEX(PM_Model,MATCH($B1011,PM_ID,0)),""))</f>
        <v/>
      </c>
      <c r="H1011" s="5" t="n"/>
      <c r="I1011" s="10" t="n"/>
      <c r="J1011" s="9" t="n"/>
      <c r="K1011" s="5" t="n"/>
      <c r="L1011" s="5" t="n"/>
      <c r="M1011" s="5" t="n"/>
      <c r="N1011" s="5" t="n"/>
      <c r="O1011" s="8">
        <f>IF($B1011="","",IF(AND($A1011&lt;&gt;"",COUNTIF(INV_ID,$A1011)&gt;1),"⚠ this Unit ID already exists",IF(AND($H1011&lt;&gt;"",COUNTIF(INV_Serial,$H1011)&gt;1),"⚠ this serial already exists",IF(COUNTIFS(INV_Product,$B1011,INV_No,$C1011)&gt;1,"⚠ piece number reused",""))))</f>
        <v/>
      </c>
      <c r="P1011" s="5" t="n"/>
    </row>
    <row r="1012">
      <c r="A1012" s="8">
        <f>IF(OR($B1012="",$C1012=""),"",IFERROR(INDEX(PM_Short,MATCH($B1012,PM_ID,0))&amp;"-"&amp;TEXT($C1012,"00"),"?? no such product"))</f>
        <v/>
      </c>
      <c r="B1012" s="5" t="n"/>
      <c r="C1012" s="5" t="n"/>
      <c r="D1012" s="8">
        <f>IF($B1012="","",IFERROR(INDEX(PM_Category,MATCH($B1012,PM_ID,0)),""))</f>
        <v/>
      </c>
      <c r="E1012" s="8">
        <f>IF($B1012="","",IFERROR(INDEX(PM_Subcategory,MATCH($B1012,PM_ID,0)),""))</f>
        <v/>
      </c>
      <c r="F1012" s="8">
        <f>IF($B1012="","",IFERROR(INDEX(PM_Brand,MATCH($B1012,PM_ID,0)),""))</f>
        <v/>
      </c>
      <c r="G1012" s="8">
        <f>IF($B1012="","",IFERROR(INDEX(PM_Model,MATCH($B1012,PM_ID,0)),""))</f>
        <v/>
      </c>
      <c r="H1012" s="5" t="n"/>
      <c r="I1012" s="10" t="n"/>
      <c r="J1012" s="9" t="n"/>
      <c r="K1012" s="5" t="n"/>
      <c r="L1012" s="5" t="n"/>
      <c r="M1012" s="5" t="n"/>
      <c r="N1012" s="5" t="n"/>
      <c r="O1012" s="8">
        <f>IF($B1012="","",IF(AND($A1012&lt;&gt;"",COUNTIF(INV_ID,$A1012)&gt;1),"⚠ this Unit ID already exists",IF(AND($H1012&lt;&gt;"",COUNTIF(INV_Serial,$H1012)&gt;1),"⚠ this serial already exists",IF(COUNTIFS(INV_Product,$B1012,INV_No,$C1012)&gt;1,"⚠ piece number reused",""))))</f>
        <v/>
      </c>
      <c r="P1012" s="5" t="n"/>
    </row>
    <row r="1013">
      <c r="A1013" s="8">
        <f>IF(OR($B1013="",$C1013=""),"",IFERROR(INDEX(PM_Short,MATCH($B1013,PM_ID,0))&amp;"-"&amp;TEXT($C1013,"00"),"?? no such product"))</f>
        <v/>
      </c>
      <c r="B1013" s="5" t="n"/>
      <c r="C1013" s="5" t="n"/>
      <c r="D1013" s="8">
        <f>IF($B1013="","",IFERROR(INDEX(PM_Category,MATCH($B1013,PM_ID,0)),""))</f>
        <v/>
      </c>
      <c r="E1013" s="8">
        <f>IF($B1013="","",IFERROR(INDEX(PM_Subcategory,MATCH($B1013,PM_ID,0)),""))</f>
        <v/>
      </c>
      <c r="F1013" s="8">
        <f>IF($B1013="","",IFERROR(INDEX(PM_Brand,MATCH($B1013,PM_ID,0)),""))</f>
        <v/>
      </c>
      <c r="G1013" s="8">
        <f>IF($B1013="","",IFERROR(INDEX(PM_Model,MATCH($B1013,PM_ID,0)),""))</f>
        <v/>
      </c>
      <c r="H1013" s="5" t="n"/>
      <c r="I1013" s="10" t="n"/>
      <c r="J1013" s="9" t="n"/>
      <c r="K1013" s="5" t="n"/>
      <c r="L1013" s="5" t="n"/>
      <c r="M1013" s="5" t="n"/>
      <c r="N1013" s="5" t="n"/>
      <c r="O1013" s="8">
        <f>IF($B1013="","",IF(AND($A1013&lt;&gt;"",COUNTIF(INV_ID,$A1013)&gt;1),"⚠ this Unit ID already exists",IF(AND($H1013&lt;&gt;"",COUNTIF(INV_Serial,$H1013)&gt;1),"⚠ this serial already exists",IF(COUNTIFS(INV_Product,$B1013,INV_No,$C1013)&gt;1,"⚠ piece number reused",""))))</f>
        <v/>
      </c>
      <c r="P1013" s="5" t="n"/>
    </row>
    <row r="1014">
      <c r="A1014" s="8">
        <f>IF(OR($B1014="",$C1014=""),"",IFERROR(INDEX(PM_Short,MATCH($B1014,PM_ID,0))&amp;"-"&amp;TEXT($C1014,"00"),"?? no such product"))</f>
        <v/>
      </c>
      <c r="B1014" s="5" t="n"/>
      <c r="C1014" s="5" t="n"/>
      <c r="D1014" s="8">
        <f>IF($B1014="","",IFERROR(INDEX(PM_Category,MATCH($B1014,PM_ID,0)),""))</f>
        <v/>
      </c>
      <c r="E1014" s="8">
        <f>IF($B1014="","",IFERROR(INDEX(PM_Subcategory,MATCH($B1014,PM_ID,0)),""))</f>
        <v/>
      </c>
      <c r="F1014" s="8">
        <f>IF($B1014="","",IFERROR(INDEX(PM_Brand,MATCH($B1014,PM_ID,0)),""))</f>
        <v/>
      </c>
      <c r="G1014" s="8">
        <f>IF($B1014="","",IFERROR(INDEX(PM_Model,MATCH($B1014,PM_ID,0)),""))</f>
        <v/>
      </c>
      <c r="H1014" s="5" t="n"/>
      <c r="I1014" s="10" t="n"/>
      <c r="J1014" s="9" t="n"/>
      <c r="K1014" s="5" t="n"/>
      <c r="L1014" s="5" t="n"/>
      <c r="M1014" s="5" t="n"/>
      <c r="N1014" s="5" t="n"/>
      <c r="O1014" s="8">
        <f>IF($B1014="","",IF(AND($A1014&lt;&gt;"",COUNTIF(INV_ID,$A1014)&gt;1),"⚠ this Unit ID already exists",IF(AND($H1014&lt;&gt;"",COUNTIF(INV_Serial,$H1014)&gt;1),"⚠ this serial already exists",IF(COUNTIFS(INV_Product,$B1014,INV_No,$C1014)&gt;1,"⚠ piece number reused",""))))</f>
        <v/>
      </c>
      <c r="P1014" s="5" t="n"/>
    </row>
    <row r="1015">
      <c r="A1015" s="8">
        <f>IF(OR($B1015="",$C1015=""),"",IFERROR(INDEX(PM_Short,MATCH($B1015,PM_ID,0))&amp;"-"&amp;TEXT($C1015,"00"),"?? no such product"))</f>
        <v/>
      </c>
      <c r="B1015" s="5" t="n"/>
      <c r="C1015" s="5" t="n"/>
      <c r="D1015" s="8">
        <f>IF($B1015="","",IFERROR(INDEX(PM_Category,MATCH($B1015,PM_ID,0)),""))</f>
        <v/>
      </c>
      <c r="E1015" s="8">
        <f>IF($B1015="","",IFERROR(INDEX(PM_Subcategory,MATCH($B1015,PM_ID,0)),""))</f>
        <v/>
      </c>
      <c r="F1015" s="8">
        <f>IF($B1015="","",IFERROR(INDEX(PM_Brand,MATCH($B1015,PM_ID,0)),""))</f>
        <v/>
      </c>
      <c r="G1015" s="8">
        <f>IF($B1015="","",IFERROR(INDEX(PM_Model,MATCH($B1015,PM_ID,0)),""))</f>
        <v/>
      </c>
      <c r="H1015" s="5" t="n"/>
      <c r="I1015" s="10" t="n"/>
      <c r="J1015" s="9" t="n"/>
      <c r="K1015" s="5" t="n"/>
      <c r="L1015" s="5" t="n"/>
      <c r="M1015" s="5" t="n"/>
      <c r="N1015" s="5" t="n"/>
      <c r="O1015" s="8">
        <f>IF($B1015="","",IF(AND($A1015&lt;&gt;"",COUNTIF(INV_ID,$A1015)&gt;1),"⚠ this Unit ID already exists",IF(AND($H1015&lt;&gt;"",COUNTIF(INV_Serial,$H1015)&gt;1),"⚠ this serial already exists",IF(COUNTIFS(INV_Product,$B1015,INV_No,$C1015)&gt;1,"⚠ piece number reused",""))))</f>
        <v/>
      </c>
      <c r="P1015" s="5" t="n"/>
    </row>
    <row r="1016">
      <c r="A1016" s="8">
        <f>IF(OR($B1016="",$C1016=""),"",IFERROR(INDEX(PM_Short,MATCH($B1016,PM_ID,0))&amp;"-"&amp;TEXT($C1016,"00"),"?? no such product"))</f>
        <v/>
      </c>
      <c r="B1016" s="5" t="n"/>
      <c r="C1016" s="5" t="n"/>
      <c r="D1016" s="8">
        <f>IF($B1016="","",IFERROR(INDEX(PM_Category,MATCH($B1016,PM_ID,0)),""))</f>
        <v/>
      </c>
      <c r="E1016" s="8">
        <f>IF($B1016="","",IFERROR(INDEX(PM_Subcategory,MATCH($B1016,PM_ID,0)),""))</f>
        <v/>
      </c>
      <c r="F1016" s="8">
        <f>IF($B1016="","",IFERROR(INDEX(PM_Brand,MATCH($B1016,PM_ID,0)),""))</f>
        <v/>
      </c>
      <c r="G1016" s="8">
        <f>IF($B1016="","",IFERROR(INDEX(PM_Model,MATCH($B1016,PM_ID,0)),""))</f>
        <v/>
      </c>
      <c r="H1016" s="5" t="n"/>
      <c r="I1016" s="10" t="n"/>
      <c r="J1016" s="9" t="n"/>
      <c r="K1016" s="5" t="n"/>
      <c r="L1016" s="5" t="n"/>
      <c r="M1016" s="5" t="n"/>
      <c r="N1016" s="5" t="n"/>
      <c r="O1016" s="8">
        <f>IF($B1016="","",IF(AND($A1016&lt;&gt;"",COUNTIF(INV_ID,$A1016)&gt;1),"⚠ this Unit ID already exists",IF(AND($H1016&lt;&gt;"",COUNTIF(INV_Serial,$H1016)&gt;1),"⚠ this serial already exists",IF(COUNTIFS(INV_Product,$B1016,INV_No,$C1016)&gt;1,"⚠ piece number reused",""))))</f>
        <v/>
      </c>
      <c r="P1016" s="5" t="n"/>
    </row>
    <row r="1017">
      <c r="A1017" s="8">
        <f>IF(OR($B1017="",$C1017=""),"",IFERROR(INDEX(PM_Short,MATCH($B1017,PM_ID,0))&amp;"-"&amp;TEXT($C1017,"00"),"?? no such product"))</f>
        <v/>
      </c>
      <c r="B1017" s="5" t="n"/>
      <c r="C1017" s="5" t="n"/>
      <c r="D1017" s="8">
        <f>IF($B1017="","",IFERROR(INDEX(PM_Category,MATCH($B1017,PM_ID,0)),""))</f>
        <v/>
      </c>
      <c r="E1017" s="8">
        <f>IF($B1017="","",IFERROR(INDEX(PM_Subcategory,MATCH($B1017,PM_ID,0)),""))</f>
        <v/>
      </c>
      <c r="F1017" s="8">
        <f>IF($B1017="","",IFERROR(INDEX(PM_Brand,MATCH($B1017,PM_ID,0)),""))</f>
        <v/>
      </c>
      <c r="G1017" s="8">
        <f>IF($B1017="","",IFERROR(INDEX(PM_Model,MATCH($B1017,PM_ID,0)),""))</f>
        <v/>
      </c>
      <c r="H1017" s="5" t="n"/>
      <c r="I1017" s="10" t="n"/>
      <c r="J1017" s="9" t="n"/>
      <c r="K1017" s="5" t="n"/>
      <c r="L1017" s="5" t="n"/>
      <c r="M1017" s="5" t="n"/>
      <c r="N1017" s="5" t="n"/>
      <c r="O1017" s="8">
        <f>IF($B1017="","",IF(AND($A1017&lt;&gt;"",COUNTIF(INV_ID,$A1017)&gt;1),"⚠ this Unit ID already exists",IF(AND($H1017&lt;&gt;"",COUNTIF(INV_Serial,$H1017)&gt;1),"⚠ this serial already exists",IF(COUNTIFS(INV_Product,$B1017,INV_No,$C1017)&gt;1,"⚠ piece number reused",""))))</f>
        <v/>
      </c>
      <c r="P1017" s="5" t="n"/>
    </row>
    <row r="1018">
      <c r="A1018" s="8">
        <f>IF(OR($B1018="",$C1018=""),"",IFERROR(INDEX(PM_Short,MATCH($B1018,PM_ID,0))&amp;"-"&amp;TEXT($C1018,"00"),"?? no such product"))</f>
        <v/>
      </c>
      <c r="B1018" s="5" t="n"/>
      <c r="C1018" s="5" t="n"/>
      <c r="D1018" s="8">
        <f>IF($B1018="","",IFERROR(INDEX(PM_Category,MATCH($B1018,PM_ID,0)),""))</f>
        <v/>
      </c>
      <c r="E1018" s="8">
        <f>IF($B1018="","",IFERROR(INDEX(PM_Subcategory,MATCH($B1018,PM_ID,0)),""))</f>
        <v/>
      </c>
      <c r="F1018" s="8">
        <f>IF($B1018="","",IFERROR(INDEX(PM_Brand,MATCH($B1018,PM_ID,0)),""))</f>
        <v/>
      </c>
      <c r="G1018" s="8">
        <f>IF($B1018="","",IFERROR(INDEX(PM_Model,MATCH($B1018,PM_ID,0)),""))</f>
        <v/>
      </c>
      <c r="H1018" s="5" t="n"/>
      <c r="I1018" s="10" t="n"/>
      <c r="J1018" s="9" t="n"/>
      <c r="K1018" s="5" t="n"/>
      <c r="L1018" s="5" t="n"/>
      <c r="M1018" s="5" t="n"/>
      <c r="N1018" s="5" t="n"/>
      <c r="O1018" s="8">
        <f>IF($B1018="","",IF(AND($A1018&lt;&gt;"",COUNTIF(INV_ID,$A1018)&gt;1),"⚠ this Unit ID already exists",IF(AND($H1018&lt;&gt;"",COUNTIF(INV_Serial,$H1018)&gt;1),"⚠ this serial already exists",IF(COUNTIFS(INV_Product,$B1018,INV_No,$C1018)&gt;1,"⚠ piece number reused",""))))</f>
        <v/>
      </c>
      <c r="P1018" s="5" t="n"/>
    </row>
    <row r="1019">
      <c r="A1019" s="8">
        <f>IF(OR($B1019="",$C1019=""),"",IFERROR(INDEX(PM_Short,MATCH($B1019,PM_ID,0))&amp;"-"&amp;TEXT($C1019,"00"),"?? no such product"))</f>
        <v/>
      </c>
      <c r="B1019" s="5" t="n"/>
      <c r="C1019" s="5" t="n"/>
      <c r="D1019" s="8">
        <f>IF($B1019="","",IFERROR(INDEX(PM_Category,MATCH($B1019,PM_ID,0)),""))</f>
        <v/>
      </c>
      <c r="E1019" s="8">
        <f>IF($B1019="","",IFERROR(INDEX(PM_Subcategory,MATCH($B1019,PM_ID,0)),""))</f>
        <v/>
      </c>
      <c r="F1019" s="8">
        <f>IF($B1019="","",IFERROR(INDEX(PM_Brand,MATCH($B1019,PM_ID,0)),""))</f>
        <v/>
      </c>
      <c r="G1019" s="8">
        <f>IF($B1019="","",IFERROR(INDEX(PM_Model,MATCH($B1019,PM_ID,0)),""))</f>
        <v/>
      </c>
      <c r="H1019" s="5" t="n"/>
      <c r="I1019" s="10" t="n"/>
      <c r="J1019" s="9" t="n"/>
      <c r="K1019" s="5" t="n"/>
      <c r="L1019" s="5" t="n"/>
      <c r="M1019" s="5" t="n"/>
      <c r="N1019" s="5" t="n"/>
      <c r="O1019" s="8">
        <f>IF($B1019="","",IF(AND($A1019&lt;&gt;"",COUNTIF(INV_ID,$A1019)&gt;1),"⚠ this Unit ID already exists",IF(AND($H1019&lt;&gt;"",COUNTIF(INV_Serial,$H1019)&gt;1),"⚠ this serial already exists",IF(COUNTIFS(INV_Product,$B1019,INV_No,$C1019)&gt;1,"⚠ piece number reused",""))))</f>
        <v/>
      </c>
      <c r="P1019" s="5" t="n"/>
    </row>
    <row r="1020">
      <c r="A1020" s="8">
        <f>IF(OR($B1020="",$C1020=""),"",IFERROR(INDEX(PM_Short,MATCH($B1020,PM_ID,0))&amp;"-"&amp;TEXT($C1020,"00"),"?? no such product"))</f>
        <v/>
      </c>
      <c r="B1020" s="5" t="n"/>
      <c r="C1020" s="5" t="n"/>
      <c r="D1020" s="8">
        <f>IF($B1020="","",IFERROR(INDEX(PM_Category,MATCH($B1020,PM_ID,0)),""))</f>
        <v/>
      </c>
      <c r="E1020" s="8">
        <f>IF($B1020="","",IFERROR(INDEX(PM_Subcategory,MATCH($B1020,PM_ID,0)),""))</f>
        <v/>
      </c>
      <c r="F1020" s="8">
        <f>IF($B1020="","",IFERROR(INDEX(PM_Brand,MATCH($B1020,PM_ID,0)),""))</f>
        <v/>
      </c>
      <c r="G1020" s="8">
        <f>IF($B1020="","",IFERROR(INDEX(PM_Model,MATCH($B1020,PM_ID,0)),""))</f>
        <v/>
      </c>
      <c r="H1020" s="5" t="n"/>
      <c r="I1020" s="10" t="n"/>
      <c r="J1020" s="9" t="n"/>
      <c r="K1020" s="5" t="n"/>
      <c r="L1020" s="5" t="n"/>
      <c r="M1020" s="5" t="n"/>
      <c r="N1020" s="5" t="n"/>
      <c r="O1020" s="8">
        <f>IF($B1020="","",IF(AND($A1020&lt;&gt;"",COUNTIF(INV_ID,$A1020)&gt;1),"⚠ this Unit ID already exists",IF(AND($H1020&lt;&gt;"",COUNTIF(INV_Serial,$H1020)&gt;1),"⚠ this serial already exists",IF(COUNTIFS(INV_Product,$B1020,INV_No,$C1020)&gt;1,"⚠ piece number reused",""))))</f>
        <v/>
      </c>
      <c r="P1020" s="5" t="n"/>
    </row>
    <row r="1021">
      <c r="A1021" s="8">
        <f>IF(OR($B1021="",$C1021=""),"",IFERROR(INDEX(PM_Short,MATCH($B1021,PM_ID,0))&amp;"-"&amp;TEXT($C1021,"00"),"?? no such product"))</f>
        <v/>
      </c>
      <c r="B1021" s="5" t="n"/>
      <c r="C1021" s="5" t="n"/>
      <c r="D1021" s="8">
        <f>IF($B1021="","",IFERROR(INDEX(PM_Category,MATCH($B1021,PM_ID,0)),""))</f>
        <v/>
      </c>
      <c r="E1021" s="8">
        <f>IF($B1021="","",IFERROR(INDEX(PM_Subcategory,MATCH($B1021,PM_ID,0)),""))</f>
        <v/>
      </c>
      <c r="F1021" s="8">
        <f>IF($B1021="","",IFERROR(INDEX(PM_Brand,MATCH($B1021,PM_ID,0)),""))</f>
        <v/>
      </c>
      <c r="G1021" s="8">
        <f>IF($B1021="","",IFERROR(INDEX(PM_Model,MATCH($B1021,PM_ID,0)),""))</f>
        <v/>
      </c>
      <c r="H1021" s="5" t="n"/>
      <c r="I1021" s="10" t="n"/>
      <c r="J1021" s="9" t="n"/>
      <c r="K1021" s="5" t="n"/>
      <c r="L1021" s="5" t="n"/>
      <c r="M1021" s="5" t="n"/>
      <c r="N1021" s="5" t="n"/>
      <c r="O1021" s="8">
        <f>IF($B1021="","",IF(AND($A1021&lt;&gt;"",COUNTIF(INV_ID,$A1021)&gt;1),"⚠ this Unit ID already exists",IF(AND($H1021&lt;&gt;"",COUNTIF(INV_Serial,$H1021)&gt;1),"⚠ this serial already exists",IF(COUNTIFS(INV_Product,$B1021,INV_No,$C1021)&gt;1,"⚠ piece number reused",""))))</f>
        <v/>
      </c>
      <c r="P1021" s="5" t="n"/>
    </row>
    <row r="1022">
      <c r="A1022" s="8">
        <f>IF(OR($B1022="",$C1022=""),"",IFERROR(INDEX(PM_Short,MATCH($B1022,PM_ID,0))&amp;"-"&amp;TEXT($C1022,"00"),"?? no such product"))</f>
        <v/>
      </c>
      <c r="B1022" s="5" t="n"/>
      <c r="C1022" s="5" t="n"/>
      <c r="D1022" s="8">
        <f>IF($B1022="","",IFERROR(INDEX(PM_Category,MATCH($B1022,PM_ID,0)),""))</f>
        <v/>
      </c>
      <c r="E1022" s="8">
        <f>IF($B1022="","",IFERROR(INDEX(PM_Subcategory,MATCH($B1022,PM_ID,0)),""))</f>
        <v/>
      </c>
      <c r="F1022" s="8">
        <f>IF($B1022="","",IFERROR(INDEX(PM_Brand,MATCH($B1022,PM_ID,0)),""))</f>
        <v/>
      </c>
      <c r="G1022" s="8">
        <f>IF($B1022="","",IFERROR(INDEX(PM_Model,MATCH($B1022,PM_ID,0)),""))</f>
        <v/>
      </c>
      <c r="H1022" s="5" t="n"/>
      <c r="I1022" s="10" t="n"/>
      <c r="J1022" s="9" t="n"/>
      <c r="K1022" s="5" t="n"/>
      <c r="L1022" s="5" t="n"/>
      <c r="M1022" s="5" t="n"/>
      <c r="N1022" s="5" t="n"/>
      <c r="O1022" s="8">
        <f>IF($B1022="","",IF(AND($A1022&lt;&gt;"",COUNTIF(INV_ID,$A1022)&gt;1),"⚠ this Unit ID already exists",IF(AND($H1022&lt;&gt;"",COUNTIF(INV_Serial,$H1022)&gt;1),"⚠ this serial already exists",IF(COUNTIFS(INV_Product,$B1022,INV_No,$C1022)&gt;1,"⚠ piece number reused",""))))</f>
        <v/>
      </c>
      <c r="P1022" s="5" t="n"/>
    </row>
    <row r="1023">
      <c r="A1023" s="8">
        <f>IF(OR($B1023="",$C1023=""),"",IFERROR(INDEX(PM_Short,MATCH($B1023,PM_ID,0))&amp;"-"&amp;TEXT($C1023,"00"),"?? no such product"))</f>
        <v/>
      </c>
      <c r="B1023" s="5" t="n"/>
      <c r="C1023" s="5" t="n"/>
      <c r="D1023" s="8">
        <f>IF($B1023="","",IFERROR(INDEX(PM_Category,MATCH($B1023,PM_ID,0)),""))</f>
        <v/>
      </c>
      <c r="E1023" s="8">
        <f>IF($B1023="","",IFERROR(INDEX(PM_Subcategory,MATCH($B1023,PM_ID,0)),""))</f>
        <v/>
      </c>
      <c r="F1023" s="8">
        <f>IF($B1023="","",IFERROR(INDEX(PM_Brand,MATCH($B1023,PM_ID,0)),""))</f>
        <v/>
      </c>
      <c r="G1023" s="8">
        <f>IF($B1023="","",IFERROR(INDEX(PM_Model,MATCH($B1023,PM_ID,0)),""))</f>
        <v/>
      </c>
      <c r="H1023" s="5" t="n"/>
      <c r="I1023" s="10" t="n"/>
      <c r="J1023" s="9" t="n"/>
      <c r="K1023" s="5" t="n"/>
      <c r="L1023" s="5" t="n"/>
      <c r="M1023" s="5" t="n"/>
      <c r="N1023" s="5" t="n"/>
      <c r="O1023" s="8">
        <f>IF($B1023="","",IF(AND($A1023&lt;&gt;"",COUNTIF(INV_ID,$A1023)&gt;1),"⚠ this Unit ID already exists",IF(AND($H1023&lt;&gt;"",COUNTIF(INV_Serial,$H1023)&gt;1),"⚠ this serial already exists",IF(COUNTIFS(INV_Product,$B1023,INV_No,$C1023)&gt;1,"⚠ piece number reused",""))))</f>
        <v/>
      </c>
      <c r="P1023" s="5" t="n"/>
    </row>
    <row r="1024">
      <c r="A1024" s="8">
        <f>IF(OR($B1024="",$C1024=""),"",IFERROR(INDEX(PM_Short,MATCH($B1024,PM_ID,0))&amp;"-"&amp;TEXT($C1024,"00"),"?? no such product"))</f>
        <v/>
      </c>
      <c r="B1024" s="5" t="n"/>
      <c r="C1024" s="5" t="n"/>
      <c r="D1024" s="8">
        <f>IF($B1024="","",IFERROR(INDEX(PM_Category,MATCH($B1024,PM_ID,0)),""))</f>
        <v/>
      </c>
      <c r="E1024" s="8">
        <f>IF($B1024="","",IFERROR(INDEX(PM_Subcategory,MATCH($B1024,PM_ID,0)),""))</f>
        <v/>
      </c>
      <c r="F1024" s="8">
        <f>IF($B1024="","",IFERROR(INDEX(PM_Brand,MATCH($B1024,PM_ID,0)),""))</f>
        <v/>
      </c>
      <c r="G1024" s="8">
        <f>IF($B1024="","",IFERROR(INDEX(PM_Model,MATCH($B1024,PM_ID,0)),""))</f>
        <v/>
      </c>
      <c r="H1024" s="5" t="n"/>
      <c r="I1024" s="10" t="n"/>
      <c r="J1024" s="9" t="n"/>
      <c r="K1024" s="5" t="n"/>
      <c r="L1024" s="5" t="n"/>
      <c r="M1024" s="5" t="n"/>
      <c r="N1024" s="5" t="n"/>
      <c r="O1024" s="8">
        <f>IF($B1024="","",IF(AND($A1024&lt;&gt;"",COUNTIF(INV_ID,$A1024)&gt;1),"⚠ this Unit ID already exists",IF(AND($H1024&lt;&gt;"",COUNTIF(INV_Serial,$H1024)&gt;1),"⚠ this serial already exists",IF(COUNTIFS(INV_Product,$B1024,INV_No,$C1024)&gt;1,"⚠ piece number reused",""))))</f>
        <v/>
      </c>
      <c r="P1024" s="5" t="n"/>
    </row>
    <row r="1025">
      <c r="A1025" s="8">
        <f>IF(OR($B1025="",$C1025=""),"",IFERROR(INDEX(PM_Short,MATCH($B1025,PM_ID,0))&amp;"-"&amp;TEXT($C1025,"00"),"?? no such product"))</f>
        <v/>
      </c>
      <c r="B1025" s="5" t="n"/>
      <c r="C1025" s="5" t="n"/>
      <c r="D1025" s="8">
        <f>IF($B1025="","",IFERROR(INDEX(PM_Category,MATCH($B1025,PM_ID,0)),""))</f>
        <v/>
      </c>
      <c r="E1025" s="8">
        <f>IF($B1025="","",IFERROR(INDEX(PM_Subcategory,MATCH($B1025,PM_ID,0)),""))</f>
        <v/>
      </c>
      <c r="F1025" s="8">
        <f>IF($B1025="","",IFERROR(INDEX(PM_Brand,MATCH($B1025,PM_ID,0)),""))</f>
        <v/>
      </c>
      <c r="G1025" s="8">
        <f>IF($B1025="","",IFERROR(INDEX(PM_Model,MATCH($B1025,PM_ID,0)),""))</f>
        <v/>
      </c>
      <c r="H1025" s="5" t="n"/>
      <c r="I1025" s="10" t="n"/>
      <c r="J1025" s="9" t="n"/>
      <c r="K1025" s="5" t="n"/>
      <c r="L1025" s="5" t="n"/>
      <c r="M1025" s="5" t="n"/>
      <c r="N1025" s="5" t="n"/>
      <c r="O1025" s="8">
        <f>IF($B1025="","",IF(AND($A1025&lt;&gt;"",COUNTIF(INV_ID,$A1025)&gt;1),"⚠ this Unit ID already exists",IF(AND($H1025&lt;&gt;"",COUNTIF(INV_Serial,$H1025)&gt;1),"⚠ this serial already exists",IF(COUNTIFS(INV_Product,$B1025,INV_No,$C1025)&gt;1,"⚠ piece number reused",""))))</f>
        <v/>
      </c>
      <c r="P1025" s="5" t="n"/>
    </row>
    <row r="1026">
      <c r="A1026" s="8">
        <f>IF(OR($B1026="",$C1026=""),"",IFERROR(INDEX(PM_Short,MATCH($B1026,PM_ID,0))&amp;"-"&amp;TEXT($C1026,"00"),"?? no such product"))</f>
        <v/>
      </c>
      <c r="B1026" s="5" t="n"/>
      <c r="C1026" s="5" t="n"/>
      <c r="D1026" s="8">
        <f>IF($B1026="","",IFERROR(INDEX(PM_Category,MATCH($B1026,PM_ID,0)),""))</f>
        <v/>
      </c>
      <c r="E1026" s="8">
        <f>IF($B1026="","",IFERROR(INDEX(PM_Subcategory,MATCH($B1026,PM_ID,0)),""))</f>
        <v/>
      </c>
      <c r="F1026" s="8">
        <f>IF($B1026="","",IFERROR(INDEX(PM_Brand,MATCH($B1026,PM_ID,0)),""))</f>
        <v/>
      </c>
      <c r="G1026" s="8">
        <f>IF($B1026="","",IFERROR(INDEX(PM_Model,MATCH($B1026,PM_ID,0)),""))</f>
        <v/>
      </c>
      <c r="H1026" s="5" t="n"/>
      <c r="I1026" s="10" t="n"/>
      <c r="J1026" s="9" t="n"/>
      <c r="K1026" s="5" t="n"/>
      <c r="L1026" s="5" t="n"/>
      <c r="M1026" s="5" t="n"/>
      <c r="N1026" s="5" t="n"/>
      <c r="O1026" s="8">
        <f>IF($B1026="","",IF(AND($A1026&lt;&gt;"",COUNTIF(INV_ID,$A1026)&gt;1),"⚠ this Unit ID already exists",IF(AND($H1026&lt;&gt;"",COUNTIF(INV_Serial,$H1026)&gt;1),"⚠ this serial already exists",IF(COUNTIFS(INV_Product,$B1026,INV_No,$C1026)&gt;1,"⚠ piece number reused",""))))</f>
        <v/>
      </c>
      <c r="P1026" s="5" t="n"/>
    </row>
    <row r="1027">
      <c r="A1027" s="8">
        <f>IF(OR($B1027="",$C1027=""),"",IFERROR(INDEX(PM_Short,MATCH($B1027,PM_ID,0))&amp;"-"&amp;TEXT($C1027,"00"),"?? no such product"))</f>
        <v/>
      </c>
      <c r="B1027" s="5" t="n"/>
      <c r="C1027" s="5" t="n"/>
      <c r="D1027" s="8">
        <f>IF($B1027="","",IFERROR(INDEX(PM_Category,MATCH($B1027,PM_ID,0)),""))</f>
        <v/>
      </c>
      <c r="E1027" s="8">
        <f>IF($B1027="","",IFERROR(INDEX(PM_Subcategory,MATCH($B1027,PM_ID,0)),""))</f>
        <v/>
      </c>
      <c r="F1027" s="8">
        <f>IF($B1027="","",IFERROR(INDEX(PM_Brand,MATCH($B1027,PM_ID,0)),""))</f>
        <v/>
      </c>
      <c r="G1027" s="8">
        <f>IF($B1027="","",IFERROR(INDEX(PM_Model,MATCH($B1027,PM_ID,0)),""))</f>
        <v/>
      </c>
      <c r="H1027" s="5" t="n"/>
      <c r="I1027" s="10" t="n"/>
      <c r="J1027" s="9" t="n"/>
      <c r="K1027" s="5" t="n"/>
      <c r="L1027" s="5" t="n"/>
      <c r="M1027" s="5" t="n"/>
      <c r="N1027" s="5" t="n"/>
      <c r="O1027" s="8">
        <f>IF($B1027="","",IF(AND($A1027&lt;&gt;"",COUNTIF(INV_ID,$A1027)&gt;1),"⚠ this Unit ID already exists",IF(AND($H1027&lt;&gt;"",COUNTIF(INV_Serial,$H1027)&gt;1),"⚠ this serial already exists",IF(COUNTIFS(INV_Product,$B1027,INV_No,$C1027)&gt;1,"⚠ piece number reused",""))))</f>
        <v/>
      </c>
      <c r="P1027" s="5" t="n"/>
    </row>
    <row r="1028">
      <c r="A1028" s="8">
        <f>IF(OR($B1028="",$C1028=""),"",IFERROR(INDEX(PM_Short,MATCH($B1028,PM_ID,0))&amp;"-"&amp;TEXT($C1028,"00"),"?? no such product"))</f>
        <v/>
      </c>
      <c r="B1028" s="5" t="n"/>
      <c r="C1028" s="5" t="n"/>
      <c r="D1028" s="8">
        <f>IF($B1028="","",IFERROR(INDEX(PM_Category,MATCH($B1028,PM_ID,0)),""))</f>
        <v/>
      </c>
      <c r="E1028" s="8">
        <f>IF($B1028="","",IFERROR(INDEX(PM_Subcategory,MATCH($B1028,PM_ID,0)),""))</f>
        <v/>
      </c>
      <c r="F1028" s="8">
        <f>IF($B1028="","",IFERROR(INDEX(PM_Brand,MATCH($B1028,PM_ID,0)),""))</f>
        <v/>
      </c>
      <c r="G1028" s="8">
        <f>IF($B1028="","",IFERROR(INDEX(PM_Model,MATCH($B1028,PM_ID,0)),""))</f>
        <v/>
      </c>
      <c r="H1028" s="5" t="n"/>
      <c r="I1028" s="10" t="n"/>
      <c r="J1028" s="9" t="n"/>
      <c r="K1028" s="5" t="n"/>
      <c r="L1028" s="5" t="n"/>
      <c r="M1028" s="5" t="n"/>
      <c r="N1028" s="5" t="n"/>
      <c r="O1028" s="8">
        <f>IF($B1028="","",IF(AND($A1028&lt;&gt;"",COUNTIF(INV_ID,$A1028)&gt;1),"⚠ this Unit ID already exists",IF(AND($H1028&lt;&gt;"",COUNTIF(INV_Serial,$H1028)&gt;1),"⚠ this serial already exists",IF(COUNTIFS(INV_Product,$B1028,INV_No,$C1028)&gt;1,"⚠ piece number reused",""))))</f>
        <v/>
      </c>
      <c r="P1028" s="5" t="n"/>
    </row>
    <row r="1029">
      <c r="A1029" s="8">
        <f>IF(OR($B1029="",$C1029=""),"",IFERROR(INDEX(PM_Short,MATCH($B1029,PM_ID,0))&amp;"-"&amp;TEXT($C1029,"00"),"?? no such product"))</f>
        <v/>
      </c>
      <c r="B1029" s="5" t="n"/>
      <c r="C1029" s="5" t="n"/>
      <c r="D1029" s="8">
        <f>IF($B1029="","",IFERROR(INDEX(PM_Category,MATCH($B1029,PM_ID,0)),""))</f>
        <v/>
      </c>
      <c r="E1029" s="8">
        <f>IF($B1029="","",IFERROR(INDEX(PM_Subcategory,MATCH($B1029,PM_ID,0)),""))</f>
        <v/>
      </c>
      <c r="F1029" s="8">
        <f>IF($B1029="","",IFERROR(INDEX(PM_Brand,MATCH($B1029,PM_ID,0)),""))</f>
        <v/>
      </c>
      <c r="G1029" s="8">
        <f>IF($B1029="","",IFERROR(INDEX(PM_Model,MATCH($B1029,PM_ID,0)),""))</f>
        <v/>
      </c>
      <c r="H1029" s="5" t="n"/>
      <c r="I1029" s="10" t="n"/>
      <c r="J1029" s="9" t="n"/>
      <c r="K1029" s="5" t="n"/>
      <c r="L1029" s="5" t="n"/>
      <c r="M1029" s="5" t="n"/>
      <c r="N1029" s="5" t="n"/>
      <c r="O1029" s="8">
        <f>IF($B1029="","",IF(AND($A1029&lt;&gt;"",COUNTIF(INV_ID,$A1029)&gt;1),"⚠ this Unit ID already exists",IF(AND($H1029&lt;&gt;"",COUNTIF(INV_Serial,$H1029)&gt;1),"⚠ this serial already exists",IF(COUNTIFS(INV_Product,$B1029,INV_No,$C1029)&gt;1,"⚠ piece number reused",""))))</f>
        <v/>
      </c>
      <c r="P1029" s="5" t="n"/>
    </row>
    <row r="1030">
      <c r="A1030" s="8">
        <f>IF(OR($B1030="",$C1030=""),"",IFERROR(INDEX(PM_Short,MATCH($B1030,PM_ID,0))&amp;"-"&amp;TEXT($C1030,"00"),"?? no such product"))</f>
        <v/>
      </c>
      <c r="B1030" s="5" t="n"/>
      <c r="C1030" s="5" t="n"/>
      <c r="D1030" s="8">
        <f>IF($B1030="","",IFERROR(INDEX(PM_Category,MATCH($B1030,PM_ID,0)),""))</f>
        <v/>
      </c>
      <c r="E1030" s="8">
        <f>IF($B1030="","",IFERROR(INDEX(PM_Subcategory,MATCH($B1030,PM_ID,0)),""))</f>
        <v/>
      </c>
      <c r="F1030" s="8">
        <f>IF($B1030="","",IFERROR(INDEX(PM_Brand,MATCH($B1030,PM_ID,0)),""))</f>
        <v/>
      </c>
      <c r="G1030" s="8">
        <f>IF($B1030="","",IFERROR(INDEX(PM_Model,MATCH($B1030,PM_ID,0)),""))</f>
        <v/>
      </c>
      <c r="H1030" s="5" t="n"/>
      <c r="I1030" s="10" t="n"/>
      <c r="J1030" s="9" t="n"/>
      <c r="K1030" s="5" t="n"/>
      <c r="L1030" s="5" t="n"/>
      <c r="M1030" s="5" t="n"/>
      <c r="N1030" s="5" t="n"/>
      <c r="O1030" s="8">
        <f>IF($B1030="","",IF(AND($A1030&lt;&gt;"",COUNTIF(INV_ID,$A1030)&gt;1),"⚠ this Unit ID already exists",IF(AND($H1030&lt;&gt;"",COUNTIF(INV_Serial,$H1030)&gt;1),"⚠ this serial already exists",IF(COUNTIFS(INV_Product,$B1030,INV_No,$C1030)&gt;1,"⚠ piece number reused",""))))</f>
        <v/>
      </c>
      <c r="P1030" s="5" t="n"/>
    </row>
    <row r="1031">
      <c r="A1031" s="8">
        <f>IF(OR($B1031="",$C1031=""),"",IFERROR(INDEX(PM_Short,MATCH($B1031,PM_ID,0))&amp;"-"&amp;TEXT($C1031,"00"),"?? no such product"))</f>
        <v/>
      </c>
      <c r="B1031" s="5" t="n"/>
      <c r="C1031" s="5" t="n"/>
      <c r="D1031" s="8">
        <f>IF($B1031="","",IFERROR(INDEX(PM_Category,MATCH($B1031,PM_ID,0)),""))</f>
        <v/>
      </c>
      <c r="E1031" s="8">
        <f>IF($B1031="","",IFERROR(INDEX(PM_Subcategory,MATCH($B1031,PM_ID,0)),""))</f>
        <v/>
      </c>
      <c r="F1031" s="8">
        <f>IF($B1031="","",IFERROR(INDEX(PM_Brand,MATCH($B1031,PM_ID,0)),""))</f>
        <v/>
      </c>
      <c r="G1031" s="8">
        <f>IF($B1031="","",IFERROR(INDEX(PM_Model,MATCH($B1031,PM_ID,0)),""))</f>
        <v/>
      </c>
      <c r="H1031" s="5" t="n"/>
      <c r="I1031" s="10" t="n"/>
      <c r="J1031" s="9" t="n"/>
      <c r="K1031" s="5" t="n"/>
      <c r="L1031" s="5" t="n"/>
      <c r="M1031" s="5" t="n"/>
      <c r="N1031" s="5" t="n"/>
      <c r="O1031" s="8">
        <f>IF($B1031="","",IF(AND($A1031&lt;&gt;"",COUNTIF(INV_ID,$A1031)&gt;1),"⚠ this Unit ID already exists",IF(AND($H1031&lt;&gt;"",COUNTIF(INV_Serial,$H1031)&gt;1),"⚠ this serial already exists",IF(COUNTIFS(INV_Product,$B1031,INV_No,$C1031)&gt;1,"⚠ piece number reused",""))))</f>
        <v/>
      </c>
      <c r="P1031" s="5" t="n"/>
    </row>
    <row r="1032">
      <c r="A1032" s="8">
        <f>IF(OR($B1032="",$C1032=""),"",IFERROR(INDEX(PM_Short,MATCH($B1032,PM_ID,0))&amp;"-"&amp;TEXT($C1032,"00"),"?? no such product"))</f>
        <v/>
      </c>
      <c r="B1032" s="5" t="n"/>
      <c r="C1032" s="5" t="n"/>
      <c r="D1032" s="8">
        <f>IF($B1032="","",IFERROR(INDEX(PM_Category,MATCH($B1032,PM_ID,0)),""))</f>
        <v/>
      </c>
      <c r="E1032" s="8">
        <f>IF($B1032="","",IFERROR(INDEX(PM_Subcategory,MATCH($B1032,PM_ID,0)),""))</f>
        <v/>
      </c>
      <c r="F1032" s="8">
        <f>IF($B1032="","",IFERROR(INDEX(PM_Brand,MATCH($B1032,PM_ID,0)),""))</f>
        <v/>
      </c>
      <c r="G1032" s="8">
        <f>IF($B1032="","",IFERROR(INDEX(PM_Model,MATCH($B1032,PM_ID,0)),""))</f>
        <v/>
      </c>
      <c r="H1032" s="5" t="n"/>
      <c r="I1032" s="10" t="n"/>
      <c r="J1032" s="9" t="n"/>
      <c r="K1032" s="5" t="n"/>
      <c r="L1032" s="5" t="n"/>
      <c r="M1032" s="5" t="n"/>
      <c r="N1032" s="5" t="n"/>
      <c r="O1032" s="8">
        <f>IF($B1032="","",IF(AND($A1032&lt;&gt;"",COUNTIF(INV_ID,$A1032)&gt;1),"⚠ this Unit ID already exists",IF(AND($H1032&lt;&gt;"",COUNTIF(INV_Serial,$H1032)&gt;1),"⚠ this serial already exists",IF(COUNTIFS(INV_Product,$B1032,INV_No,$C1032)&gt;1,"⚠ piece number reused",""))))</f>
        <v/>
      </c>
      <c r="P1032" s="5" t="n"/>
    </row>
    <row r="1033">
      <c r="A1033" s="8">
        <f>IF(OR($B1033="",$C1033=""),"",IFERROR(INDEX(PM_Short,MATCH($B1033,PM_ID,0))&amp;"-"&amp;TEXT($C1033,"00"),"?? no such product"))</f>
        <v/>
      </c>
      <c r="B1033" s="5" t="n"/>
      <c r="C1033" s="5" t="n"/>
      <c r="D1033" s="8">
        <f>IF($B1033="","",IFERROR(INDEX(PM_Category,MATCH($B1033,PM_ID,0)),""))</f>
        <v/>
      </c>
      <c r="E1033" s="8">
        <f>IF($B1033="","",IFERROR(INDEX(PM_Subcategory,MATCH($B1033,PM_ID,0)),""))</f>
        <v/>
      </c>
      <c r="F1033" s="8">
        <f>IF($B1033="","",IFERROR(INDEX(PM_Brand,MATCH($B1033,PM_ID,0)),""))</f>
        <v/>
      </c>
      <c r="G1033" s="8">
        <f>IF($B1033="","",IFERROR(INDEX(PM_Model,MATCH($B1033,PM_ID,0)),""))</f>
        <v/>
      </c>
      <c r="H1033" s="5" t="n"/>
      <c r="I1033" s="10" t="n"/>
      <c r="J1033" s="9" t="n"/>
      <c r="K1033" s="5" t="n"/>
      <c r="L1033" s="5" t="n"/>
      <c r="M1033" s="5" t="n"/>
      <c r="N1033" s="5" t="n"/>
      <c r="O1033" s="8">
        <f>IF($B1033="","",IF(AND($A1033&lt;&gt;"",COUNTIF(INV_ID,$A1033)&gt;1),"⚠ this Unit ID already exists",IF(AND($H1033&lt;&gt;"",COUNTIF(INV_Serial,$H1033)&gt;1),"⚠ this serial already exists",IF(COUNTIFS(INV_Product,$B1033,INV_No,$C1033)&gt;1,"⚠ piece number reused",""))))</f>
        <v/>
      </c>
      <c r="P1033" s="5" t="n"/>
    </row>
    <row r="1034">
      <c r="A1034" s="8">
        <f>IF(OR($B1034="",$C1034=""),"",IFERROR(INDEX(PM_Short,MATCH($B1034,PM_ID,0))&amp;"-"&amp;TEXT($C1034,"00"),"?? no such product"))</f>
        <v/>
      </c>
      <c r="B1034" s="5" t="n"/>
      <c r="C1034" s="5" t="n"/>
      <c r="D1034" s="8">
        <f>IF($B1034="","",IFERROR(INDEX(PM_Category,MATCH($B1034,PM_ID,0)),""))</f>
        <v/>
      </c>
      <c r="E1034" s="8">
        <f>IF($B1034="","",IFERROR(INDEX(PM_Subcategory,MATCH($B1034,PM_ID,0)),""))</f>
        <v/>
      </c>
      <c r="F1034" s="8">
        <f>IF($B1034="","",IFERROR(INDEX(PM_Brand,MATCH($B1034,PM_ID,0)),""))</f>
        <v/>
      </c>
      <c r="G1034" s="8">
        <f>IF($B1034="","",IFERROR(INDEX(PM_Model,MATCH($B1034,PM_ID,0)),""))</f>
        <v/>
      </c>
      <c r="H1034" s="5" t="n"/>
      <c r="I1034" s="10" t="n"/>
      <c r="J1034" s="9" t="n"/>
      <c r="K1034" s="5" t="n"/>
      <c r="L1034" s="5" t="n"/>
      <c r="M1034" s="5" t="n"/>
      <c r="N1034" s="5" t="n"/>
      <c r="O1034" s="8">
        <f>IF($B1034="","",IF(AND($A1034&lt;&gt;"",COUNTIF(INV_ID,$A1034)&gt;1),"⚠ this Unit ID already exists",IF(AND($H1034&lt;&gt;"",COUNTIF(INV_Serial,$H1034)&gt;1),"⚠ this serial already exists",IF(COUNTIFS(INV_Product,$B1034,INV_No,$C1034)&gt;1,"⚠ piece number reused",""))))</f>
        <v/>
      </c>
      <c r="P1034" s="5" t="n"/>
    </row>
    <row r="1035">
      <c r="A1035" s="8">
        <f>IF(OR($B1035="",$C1035=""),"",IFERROR(INDEX(PM_Short,MATCH($B1035,PM_ID,0))&amp;"-"&amp;TEXT($C1035,"00"),"?? no such product"))</f>
        <v/>
      </c>
      <c r="B1035" s="5" t="n"/>
      <c r="C1035" s="5" t="n"/>
      <c r="D1035" s="8">
        <f>IF($B1035="","",IFERROR(INDEX(PM_Category,MATCH($B1035,PM_ID,0)),""))</f>
        <v/>
      </c>
      <c r="E1035" s="8">
        <f>IF($B1035="","",IFERROR(INDEX(PM_Subcategory,MATCH($B1035,PM_ID,0)),""))</f>
        <v/>
      </c>
      <c r="F1035" s="8">
        <f>IF($B1035="","",IFERROR(INDEX(PM_Brand,MATCH($B1035,PM_ID,0)),""))</f>
        <v/>
      </c>
      <c r="G1035" s="8">
        <f>IF($B1035="","",IFERROR(INDEX(PM_Model,MATCH($B1035,PM_ID,0)),""))</f>
        <v/>
      </c>
      <c r="H1035" s="5" t="n"/>
      <c r="I1035" s="10" t="n"/>
      <c r="J1035" s="9" t="n"/>
      <c r="K1035" s="5" t="n"/>
      <c r="L1035" s="5" t="n"/>
      <c r="M1035" s="5" t="n"/>
      <c r="N1035" s="5" t="n"/>
      <c r="O1035" s="8">
        <f>IF($B1035="","",IF(AND($A1035&lt;&gt;"",COUNTIF(INV_ID,$A1035)&gt;1),"⚠ this Unit ID already exists",IF(AND($H1035&lt;&gt;"",COUNTIF(INV_Serial,$H1035)&gt;1),"⚠ this serial already exists",IF(COUNTIFS(INV_Product,$B1035,INV_No,$C1035)&gt;1,"⚠ piece number reused",""))))</f>
        <v/>
      </c>
      <c r="P1035" s="5" t="n"/>
    </row>
    <row r="1036">
      <c r="A1036" s="8">
        <f>IF(OR($B1036="",$C1036=""),"",IFERROR(INDEX(PM_Short,MATCH($B1036,PM_ID,0))&amp;"-"&amp;TEXT($C1036,"00"),"?? no such product"))</f>
        <v/>
      </c>
      <c r="B1036" s="5" t="n"/>
      <c r="C1036" s="5" t="n"/>
      <c r="D1036" s="8">
        <f>IF($B1036="","",IFERROR(INDEX(PM_Category,MATCH($B1036,PM_ID,0)),""))</f>
        <v/>
      </c>
      <c r="E1036" s="8">
        <f>IF($B1036="","",IFERROR(INDEX(PM_Subcategory,MATCH($B1036,PM_ID,0)),""))</f>
        <v/>
      </c>
      <c r="F1036" s="8">
        <f>IF($B1036="","",IFERROR(INDEX(PM_Brand,MATCH($B1036,PM_ID,0)),""))</f>
        <v/>
      </c>
      <c r="G1036" s="8">
        <f>IF($B1036="","",IFERROR(INDEX(PM_Model,MATCH($B1036,PM_ID,0)),""))</f>
        <v/>
      </c>
      <c r="H1036" s="5" t="n"/>
      <c r="I1036" s="10" t="n"/>
      <c r="J1036" s="9" t="n"/>
      <c r="K1036" s="5" t="n"/>
      <c r="L1036" s="5" t="n"/>
      <c r="M1036" s="5" t="n"/>
      <c r="N1036" s="5" t="n"/>
      <c r="O1036" s="8">
        <f>IF($B1036="","",IF(AND($A1036&lt;&gt;"",COUNTIF(INV_ID,$A1036)&gt;1),"⚠ this Unit ID already exists",IF(AND($H1036&lt;&gt;"",COUNTIF(INV_Serial,$H1036)&gt;1),"⚠ this serial already exists",IF(COUNTIFS(INV_Product,$B1036,INV_No,$C1036)&gt;1,"⚠ piece number reused",""))))</f>
        <v/>
      </c>
      <c r="P1036" s="5" t="n"/>
    </row>
    <row r="1037">
      <c r="A1037" s="8">
        <f>IF(OR($B1037="",$C1037=""),"",IFERROR(INDEX(PM_Short,MATCH($B1037,PM_ID,0))&amp;"-"&amp;TEXT($C1037,"00"),"?? no such product"))</f>
        <v/>
      </c>
      <c r="B1037" s="5" t="n"/>
      <c r="C1037" s="5" t="n"/>
      <c r="D1037" s="8">
        <f>IF($B1037="","",IFERROR(INDEX(PM_Category,MATCH($B1037,PM_ID,0)),""))</f>
        <v/>
      </c>
      <c r="E1037" s="8">
        <f>IF($B1037="","",IFERROR(INDEX(PM_Subcategory,MATCH($B1037,PM_ID,0)),""))</f>
        <v/>
      </c>
      <c r="F1037" s="8">
        <f>IF($B1037="","",IFERROR(INDEX(PM_Brand,MATCH($B1037,PM_ID,0)),""))</f>
        <v/>
      </c>
      <c r="G1037" s="8">
        <f>IF($B1037="","",IFERROR(INDEX(PM_Model,MATCH($B1037,PM_ID,0)),""))</f>
        <v/>
      </c>
      <c r="H1037" s="5" t="n"/>
      <c r="I1037" s="10" t="n"/>
      <c r="J1037" s="9" t="n"/>
      <c r="K1037" s="5" t="n"/>
      <c r="L1037" s="5" t="n"/>
      <c r="M1037" s="5" t="n"/>
      <c r="N1037" s="5" t="n"/>
      <c r="O1037" s="8">
        <f>IF($B1037="","",IF(AND($A1037&lt;&gt;"",COUNTIF(INV_ID,$A1037)&gt;1),"⚠ this Unit ID already exists",IF(AND($H1037&lt;&gt;"",COUNTIF(INV_Serial,$H1037)&gt;1),"⚠ this serial already exists",IF(COUNTIFS(INV_Product,$B1037,INV_No,$C1037)&gt;1,"⚠ piece number reused",""))))</f>
        <v/>
      </c>
      <c r="P1037" s="5" t="n"/>
    </row>
    <row r="1038">
      <c r="A1038" s="8">
        <f>IF(OR($B1038="",$C1038=""),"",IFERROR(INDEX(PM_Short,MATCH($B1038,PM_ID,0))&amp;"-"&amp;TEXT($C1038,"00"),"?? no such product"))</f>
        <v/>
      </c>
      <c r="B1038" s="5" t="n"/>
      <c r="C1038" s="5" t="n"/>
      <c r="D1038" s="8">
        <f>IF($B1038="","",IFERROR(INDEX(PM_Category,MATCH($B1038,PM_ID,0)),""))</f>
        <v/>
      </c>
      <c r="E1038" s="8">
        <f>IF($B1038="","",IFERROR(INDEX(PM_Subcategory,MATCH($B1038,PM_ID,0)),""))</f>
        <v/>
      </c>
      <c r="F1038" s="8">
        <f>IF($B1038="","",IFERROR(INDEX(PM_Brand,MATCH($B1038,PM_ID,0)),""))</f>
        <v/>
      </c>
      <c r="G1038" s="8">
        <f>IF($B1038="","",IFERROR(INDEX(PM_Model,MATCH($B1038,PM_ID,0)),""))</f>
        <v/>
      </c>
      <c r="H1038" s="5" t="n"/>
      <c r="I1038" s="10" t="n"/>
      <c r="J1038" s="9" t="n"/>
      <c r="K1038" s="5" t="n"/>
      <c r="L1038" s="5" t="n"/>
      <c r="M1038" s="5" t="n"/>
      <c r="N1038" s="5" t="n"/>
      <c r="O1038" s="8">
        <f>IF($B1038="","",IF(AND($A1038&lt;&gt;"",COUNTIF(INV_ID,$A1038)&gt;1),"⚠ this Unit ID already exists",IF(AND($H1038&lt;&gt;"",COUNTIF(INV_Serial,$H1038)&gt;1),"⚠ this serial already exists",IF(COUNTIFS(INV_Product,$B1038,INV_No,$C1038)&gt;1,"⚠ piece number reused",""))))</f>
        <v/>
      </c>
      <c r="P1038" s="5" t="n"/>
    </row>
    <row r="1039">
      <c r="A1039" s="8">
        <f>IF(OR($B1039="",$C1039=""),"",IFERROR(INDEX(PM_Short,MATCH($B1039,PM_ID,0))&amp;"-"&amp;TEXT($C1039,"00"),"?? no such product"))</f>
        <v/>
      </c>
      <c r="B1039" s="5" t="n"/>
      <c r="C1039" s="5" t="n"/>
      <c r="D1039" s="8">
        <f>IF($B1039="","",IFERROR(INDEX(PM_Category,MATCH($B1039,PM_ID,0)),""))</f>
        <v/>
      </c>
      <c r="E1039" s="8">
        <f>IF($B1039="","",IFERROR(INDEX(PM_Subcategory,MATCH($B1039,PM_ID,0)),""))</f>
        <v/>
      </c>
      <c r="F1039" s="8">
        <f>IF($B1039="","",IFERROR(INDEX(PM_Brand,MATCH($B1039,PM_ID,0)),""))</f>
        <v/>
      </c>
      <c r="G1039" s="8">
        <f>IF($B1039="","",IFERROR(INDEX(PM_Model,MATCH($B1039,PM_ID,0)),""))</f>
        <v/>
      </c>
      <c r="H1039" s="5" t="n"/>
      <c r="I1039" s="10" t="n"/>
      <c r="J1039" s="9" t="n"/>
      <c r="K1039" s="5" t="n"/>
      <c r="L1039" s="5" t="n"/>
      <c r="M1039" s="5" t="n"/>
      <c r="N1039" s="5" t="n"/>
      <c r="O1039" s="8">
        <f>IF($B1039="","",IF(AND($A1039&lt;&gt;"",COUNTIF(INV_ID,$A1039)&gt;1),"⚠ this Unit ID already exists",IF(AND($H1039&lt;&gt;"",COUNTIF(INV_Serial,$H1039)&gt;1),"⚠ this serial already exists",IF(COUNTIFS(INV_Product,$B1039,INV_No,$C1039)&gt;1,"⚠ piece number reused",""))))</f>
        <v/>
      </c>
      <c r="P1039" s="5" t="n"/>
    </row>
    <row r="1040">
      <c r="A1040" s="8">
        <f>IF(OR($B1040="",$C1040=""),"",IFERROR(INDEX(PM_Short,MATCH($B1040,PM_ID,0))&amp;"-"&amp;TEXT($C1040,"00"),"?? no such product"))</f>
        <v/>
      </c>
      <c r="B1040" s="5" t="n"/>
      <c r="C1040" s="5" t="n"/>
      <c r="D1040" s="8">
        <f>IF($B1040="","",IFERROR(INDEX(PM_Category,MATCH($B1040,PM_ID,0)),""))</f>
        <v/>
      </c>
      <c r="E1040" s="8">
        <f>IF($B1040="","",IFERROR(INDEX(PM_Subcategory,MATCH($B1040,PM_ID,0)),""))</f>
        <v/>
      </c>
      <c r="F1040" s="8">
        <f>IF($B1040="","",IFERROR(INDEX(PM_Brand,MATCH($B1040,PM_ID,0)),""))</f>
        <v/>
      </c>
      <c r="G1040" s="8">
        <f>IF($B1040="","",IFERROR(INDEX(PM_Model,MATCH($B1040,PM_ID,0)),""))</f>
        <v/>
      </c>
      <c r="H1040" s="5" t="n"/>
      <c r="I1040" s="10" t="n"/>
      <c r="J1040" s="9" t="n"/>
      <c r="K1040" s="5" t="n"/>
      <c r="L1040" s="5" t="n"/>
      <c r="M1040" s="5" t="n"/>
      <c r="N1040" s="5" t="n"/>
      <c r="O1040" s="8">
        <f>IF($B1040="","",IF(AND($A1040&lt;&gt;"",COUNTIF(INV_ID,$A1040)&gt;1),"⚠ this Unit ID already exists",IF(AND($H1040&lt;&gt;"",COUNTIF(INV_Serial,$H1040)&gt;1),"⚠ this serial already exists",IF(COUNTIFS(INV_Product,$B1040,INV_No,$C1040)&gt;1,"⚠ piece number reused",""))))</f>
        <v/>
      </c>
      <c r="P1040" s="5" t="n"/>
    </row>
    <row r="1041">
      <c r="A1041" s="8">
        <f>IF(OR($B1041="",$C1041=""),"",IFERROR(INDEX(PM_Short,MATCH($B1041,PM_ID,0))&amp;"-"&amp;TEXT($C1041,"00"),"?? no such product"))</f>
        <v/>
      </c>
      <c r="B1041" s="5" t="n"/>
      <c r="C1041" s="5" t="n"/>
      <c r="D1041" s="8">
        <f>IF($B1041="","",IFERROR(INDEX(PM_Category,MATCH($B1041,PM_ID,0)),""))</f>
        <v/>
      </c>
      <c r="E1041" s="8">
        <f>IF($B1041="","",IFERROR(INDEX(PM_Subcategory,MATCH($B1041,PM_ID,0)),""))</f>
        <v/>
      </c>
      <c r="F1041" s="8">
        <f>IF($B1041="","",IFERROR(INDEX(PM_Brand,MATCH($B1041,PM_ID,0)),""))</f>
        <v/>
      </c>
      <c r="G1041" s="8">
        <f>IF($B1041="","",IFERROR(INDEX(PM_Model,MATCH($B1041,PM_ID,0)),""))</f>
        <v/>
      </c>
      <c r="H1041" s="5" t="n"/>
      <c r="I1041" s="10" t="n"/>
      <c r="J1041" s="9" t="n"/>
      <c r="K1041" s="5" t="n"/>
      <c r="L1041" s="5" t="n"/>
      <c r="M1041" s="5" t="n"/>
      <c r="N1041" s="5" t="n"/>
      <c r="O1041" s="8">
        <f>IF($B1041="","",IF(AND($A1041&lt;&gt;"",COUNTIF(INV_ID,$A1041)&gt;1),"⚠ this Unit ID already exists",IF(AND($H1041&lt;&gt;"",COUNTIF(INV_Serial,$H1041)&gt;1),"⚠ this serial already exists",IF(COUNTIFS(INV_Product,$B1041,INV_No,$C1041)&gt;1,"⚠ piece number reused",""))))</f>
        <v/>
      </c>
      <c r="P1041" s="5" t="n"/>
    </row>
    <row r="1042">
      <c r="A1042" s="8">
        <f>IF(OR($B1042="",$C1042=""),"",IFERROR(INDEX(PM_Short,MATCH($B1042,PM_ID,0))&amp;"-"&amp;TEXT($C1042,"00"),"?? no such product"))</f>
        <v/>
      </c>
      <c r="B1042" s="5" t="n"/>
      <c r="C1042" s="5" t="n"/>
      <c r="D1042" s="8">
        <f>IF($B1042="","",IFERROR(INDEX(PM_Category,MATCH($B1042,PM_ID,0)),""))</f>
        <v/>
      </c>
      <c r="E1042" s="8">
        <f>IF($B1042="","",IFERROR(INDEX(PM_Subcategory,MATCH($B1042,PM_ID,0)),""))</f>
        <v/>
      </c>
      <c r="F1042" s="8">
        <f>IF($B1042="","",IFERROR(INDEX(PM_Brand,MATCH($B1042,PM_ID,0)),""))</f>
        <v/>
      </c>
      <c r="G1042" s="8">
        <f>IF($B1042="","",IFERROR(INDEX(PM_Model,MATCH($B1042,PM_ID,0)),""))</f>
        <v/>
      </c>
      <c r="H1042" s="5" t="n"/>
      <c r="I1042" s="10" t="n"/>
      <c r="J1042" s="9" t="n"/>
      <c r="K1042" s="5" t="n"/>
      <c r="L1042" s="5" t="n"/>
      <c r="M1042" s="5" t="n"/>
      <c r="N1042" s="5" t="n"/>
      <c r="O1042" s="8">
        <f>IF($B1042="","",IF(AND($A1042&lt;&gt;"",COUNTIF(INV_ID,$A1042)&gt;1),"⚠ this Unit ID already exists",IF(AND($H1042&lt;&gt;"",COUNTIF(INV_Serial,$H1042)&gt;1),"⚠ this serial already exists",IF(COUNTIFS(INV_Product,$B1042,INV_No,$C1042)&gt;1,"⚠ piece number reused",""))))</f>
        <v/>
      </c>
      <c r="P1042" s="5" t="n"/>
    </row>
    <row r="1043">
      <c r="A1043" s="8">
        <f>IF(OR($B1043="",$C1043=""),"",IFERROR(INDEX(PM_Short,MATCH($B1043,PM_ID,0))&amp;"-"&amp;TEXT($C1043,"00"),"?? no such product"))</f>
        <v/>
      </c>
      <c r="B1043" s="5" t="n"/>
      <c r="C1043" s="5" t="n"/>
      <c r="D1043" s="8">
        <f>IF($B1043="","",IFERROR(INDEX(PM_Category,MATCH($B1043,PM_ID,0)),""))</f>
        <v/>
      </c>
      <c r="E1043" s="8">
        <f>IF($B1043="","",IFERROR(INDEX(PM_Subcategory,MATCH($B1043,PM_ID,0)),""))</f>
        <v/>
      </c>
      <c r="F1043" s="8">
        <f>IF($B1043="","",IFERROR(INDEX(PM_Brand,MATCH($B1043,PM_ID,0)),""))</f>
        <v/>
      </c>
      <c r="G1043" s="8">
        <f>IF($B1043="","",IFERROR(INDEX(PM_Model,MATCH($B1043,PM_ID,0)),""))</f>
        <v/>
      </c>
      <c r="H1043" s="5" t="n"/>
      <c r="I1043" s="10" t="n"/>
      <c r="J1043" s="9" t="n"/>
      <c r="K1043" s="5" t="n"/>
      <c r="L1043" s="5" t="n"/>
      <c r="M1043" s="5" t="n"/>
      <c r="N1043" s="5" t="n"/>
      <c r="O1043" s="8">
        <f>IF($B1043="","",IF(AND($A1043&lt;&gt;"",COUNTIF(INV_ID,$A1043)&gt;1),"⚠ this Unit ID already exists",IF(AND($H1043&lt;&gt;"",COUNTIF(INV_Serial,$H1043)&gt;1),"⚠ this serial already exists",IF(COUNTIFS(INV_Product,$B1043,INV_No,$C1043)&gt;1,"⚠ piece number reused",""))))</f>
        <v/>
      </c>
      <c r="P1043" s="5" t="n"/>
    </row>
    <row r="1044">
      <c r="A1044" s="8">
        <f>IF(OR($B1044="",$C1044=""),"",IFERROR(INDEX(PM_Short,MATCH($B1044,PM_ID,0))&amp;"-"&amp;TEXT($C1044,"00"),"?? no such product"))</f>
        <v/>
      </c>
      <c r="B1044" s="5" t="n"/>
      <c r="C1044" s="5" t="n"/>
      <c r="D1044" s="8">
        <f>IF($B1044="","",IFERROR(INDEX(PM_Category,MATCH($B1044,PM_ID,0)),""))</f>
        <v/>
      </c>
      <c r="E1044" s="8">
        <f>IF($B1044="","",IFERROR(INDEX(PM_Subcategory,MATCH($B1044,PM_ID,0)),""))</f>
        <v/>
      </c>
      <c r="F1044" s="8">
        <f>IF($B1044="","",IFERROR(INDEX(PM_Brand,MATCH($B1044,PM_ID,0)),""))</f>
        <v/>
      </c>
      <c r="G1044" s="8">
        <f>IF($B1044="","",IFERROR(INDEX(PM_Model,MATCH($B1044,PM_ID,0)),""))</f>
        <v/>
      </c>
      <c r="H1044" s="5" t="n"/>
      <c r="I1044" s="10" t="n"/>
      <c r="J1044" s="9" t="n"/>
      <c r="K1044" s="5" t="n"/>
      <c r="L1044" s="5" t="n"/>
      <c r="M1044" s="5" t="n"/>
      <c r="N1044" s="5" t="n"/>
      <c r="O1044" s="8">
        <f>IF($B1044="","",IF(AND($A1044&lt;&gt;"",COUNTIF(INV_ID,$A1044)&gt;1),"⚠ this Unit ID already exists",IF(AND($H1044&lt;&gt;"",COUNTIF(INV_Serial,$H1044)&gt;1),"⚠ this serial already exists",IF(COUNTIFS(INV_Product,$B1044,INV_No,$C1044)&gt;1,"⚠ piece number reused",""))))</f>
        <v/>
      </c>
      <c r="P1044" s="5" t="n"/>
    </row>
    <row r="1045">
      <c r="A1045" s="8">
        <f>IF(OR($B1045="",$C1045=""),"",IFERROR(INDEX(PM_Short,MATCH($B1045,PM_ID,0))&amp;"-"&amp;TEXT($C1045,"00"),"?? no such product"))</f>
        <v/>
      </c>
      <c r="B1045" s="5" t="n"/>
      <c r="C1045" s="5" t="n"/>
      <c r="D1045" s="8">
        <f>IF($B1045="","",IFERROR(INDEX(PM_Category,MATCH($B1045,PM_ID,0)),""))</f>
        <v/>
      </c>
      <c r="E1045" s="8">
        <f>IF($B1045="","",IFERROR(INDEX(PM_Subcategory,MATCH($B1045,PM_ID,0)),""))</f>
        <v/>
      </c>
      <c r="F1045" s="8">
        <f>IF($B1045="","",IFERROR(INDEX(PM_Brand,MATCH($B1045,PM_ID,0)),""))</f>
        <v/>
      </c>
      <c r="G1045" s="8">
        <f>IF($B1045="","",IFERROR(INDEX(PM_Model,MATCH($B1045,PM_ID,0)),""))</f>
        <v/>
      </c>
      <c r="H1045" s="5" t="n"/>
      <c r="I1045" s="10" t="n"/>
      <c r="J1045" s="9" t="n"/>
      <c r="K1045" s="5" t="n"/>
      <c r="L1045" s="5" t="n"/>
      <c r="M1045" s="5" t="n"/>
      <c r="N1045" s="5" t="n"/>
      <c r="O1045" s="8">
        <f>IF($B1045="","",IF(AND($A1045&lt;&gt;"",COUNTIF(INV_ID,$A1045)&gt;1),"⚠ this Unit ID already exists",IF(AND($H1045&lt;&gt;"",COUNTIF(INV_Serial,$H1045)&gt;1),"⚠ this serial already exists",IF(COUNTIFS(INV_Product,$B1045,INV_No,$C1045)&gt;1,"⚠ piece number reused",""))))</f>
        <v/>
      </c>
      <c r="P1045" s="5" t="n"/>
    </row>
    <row r="1046">
      <c r="A1046" s="8">
        <f>IF(OR($B1046="",$C1046=""),"",IFERROR(INDEX(PM_Short,MATCH($B1046,PM_ID,0))&amp;"-"&amp;TEXT($C1046,"00"),"?? no such product"))</f>
        <v/>
      </c>
      <c r="B1046" s="5" t="n"/>
      <c r="C1046" s="5" t="n"/>
      <c r="D1046" s="8">
        <f>IF($B1046="","",IFERROR(INDEX(PM_Category,MATCH($B1046,PM_ID,0)),""))</f>
        <v/>
      </c>
      <c r="E1046" s="8">
        <f>IF($B1046="","",IFERROR(INDEX(PM_Subcategory,MATCH($B1046,PM_ID,0)),""))</f>
        <v/>
      </c>
      <c r="F1046" s="8">
        <f>IF($B1046="","",IFERROR(INDEX(PM_Brand,MATCH($B1046,PM_ID,0)),""))</f>
        <v/>
      </c>
      <c r="G1046" s="8">
        <f>IF($B1046="","",IFERROR(INDEX(PM_Model,MATCH($B1046,PM_ID,0)),""))</f>
        <v/>
      </c>
      <c r="H1046" s="5" t="n"/>
      <c r="I1046" s="10" t="n"/>
      <c r="J1046" s="9" t="n"/>
      <c r="K1046" s="5" t="n"/>
      <c r="L1046" s="5" t="n"/>
      <c r="M1046" s="5" t="n"/>
      <c r="N1046" s="5" t="n"/>
      <c r="O1046" s="8">
        <f>IF($B1046="","",IF(AND($A1046&lt;&gt;"",COUNTIF(INV_ID,$A1046)&gt;1),"⚠ this Unit ID already exists",IF(AND($H1046&lt;&gt;"",COUNTIF(INV_Serial,$H1046)&gt;1),"⚠ this serial already exists",IF(COUNTIFS(INV_Product,$B1046,INV_No,$C1046)&gt;1,"⚠ piece number reused",""))))</f>
        <v/>
      </c>
      <c r="P1046" s="5" t="n"/>
    </row>
    <row r="1047">
      <c r="A1047" s="8">
        <f>IF(OR($B1047="",$C1047=""),"",IFERROR(INDEX(PM_Short,MATCH($B1047,PM_ID,0))&amp;"-"&amp;TEXT($C1047,"00"),"?? no such product"))</f>
        <v/>
      </c>
      <c r="B1047" s="5" t="n"/>
      <c r="C1047" s="5" t="n"/>
      <c r="D1047" s="8">
        <f>IF($B1047="","",IFERROR(INDEX(PM_Category,MATCH($B1047,PM_ID,0)),""))</f>
        <v/>
      </c>
      <c r="E1047" s="8">
        <f>IF($B1047="","",IFERROR(INDEX(PM_Subcategory,MATCH($B1047,PM_ID,0)),""))</f>
        <v/>
      </c>
      <c r="F1047" s="8">
        <f>IF($B1047="","",IFERROR(INDEX(PM_Brand,MATCH($B1047,PM_ID,0)),""))</f>
        <v/>
      </c>
      <c r="G1047" s="8">
        <f>IF($B1047="","",IFERROR(INDEX(PM_Model,MATCH($B1047,PM_ID,0)),""))</f>
        <v/>
      </c>
      <c r="H1047" s="5" t="n"/>
      <c r="I1047" s="10" t="n"/>
      <c r="J1047" s="9" t="n"/>
      <c r="K1047" s="5" t="n"/>
      <c r="L1047" s="5" t="n"/>
      <c r="M1047" s="5" t="n"/>
      <c r="N1047" s="5" t="n"/>
      <c r="O1047" s="8">
        <f>IF($B1047="","",IF(AND($A1047&lt;&gt;"",COUNTIF(INV_ID,$A1047)&gt;1),"⚠ this Unit ID already exists",IF(AND($H1047&lt;&gt;"",COUNTIF(INV_Serial,$H1047)&gt;1),"⚠ this serial already exists",IF(COUNTIFS(INV_Product,$B1047,INV_No,$C1047)&gt;1,"⚠ piece number reused",""))))</f>
        <v/>
      </c>
      <c r="P1047" s="5" t="n"/>
    </row>
    <row r="1048">
      <c r="A1048" s="8">
        <f>IF(OR($B1048="",$C1048=""),"",IFERROR(INDEX(PM_Short,MATCH($B1048,PM_ID,0))&amp;"-"&amp;TEXT($C1048,"00"),"?? no such product"))</f>
        <v/>
      </c>
      <c r="B1048" s="5" t="n"/>
      <c r="C1048" s="5" t="n"/>
      <c r="D1048" s="8">
        <f>IF($B1048="","",IFERROR(INDEX(PM_Category,MATCH($B1048,PM_ID,0)),""))</f>
        <v/>
      </c>
      <c r="E1048" s="8">
        <f>IF($B1048="","",IFERROR(INDEX(PM_Subcategory,MATCH($B1048,PM_ID,0)),""))</f>
        <v/>
      </c>
      <c r="F1048" s="8">
        <f>IF($B1048="","",IFERROR(INDEX(PM_Brand,MATCH($B1048,PM_ID,0)),""))</f>
        <v/>
      </c>
      <c r="G1048" s="8">
        <f>IF($B1048="","",IFERROR(INDEX(PM_Model,MATCH($B1048,PM_ID,0)),""))</f>
        <v/>
      </c>
      <c r="H1048" s="5" t="n"/>
      <c r="I1048" s="10" t="n"/>
      <c r="J1048" s="9" t="n"/>
      <c r="K1048" s="5" t="n"/>
      <c r="L1048" s="5" t="n"/>
      <c r="M1048" s="5" t="n"/>
      <c r="N1048" s="5" t="n"/>
      <c r="O1048" s="8">
        <f>IF($B1048="","",IF(AND($A1048&lt;&gt;"",COUNTIF(INV_ID,$A1048)&gt;1),"⚠ this Unit ID already exists",IF(AND($H1048&lt;&gt;"",COUNTIF(INV_Serial,$H1048)&gt;1),"⚠ this serial already exists",IF(COUNTIFS(INV_Product,$B1048,INV_No,$C1048)&gt;1,"⚠ piece number reused",""))))</f>
        <v/>
      </c>
      <c r="P1048" s="5" t="n"/>
    </row>
    <row r="1049">
      <c r="A1049" s="8">
        <f>IF(OR($B1049="",$C1049=""),"",IFERROR(INDEX(PM_Short,MATCH($B1049,PM_ID,0))&amp;"-"&amp;TEXT($C1049,"00"),"?? no such product"))</f>
        <v/>
      </c>
      <c r="B1049" s="5" t="n"/>
      <c r="C1049" s="5" t="n"/>
      <c r="D1049" s="8">
        <f>IF($B1049="","",IFERROR(INDEX(PM_Category,MATCH($B1049,PM_ID,0)),""))</f>
        <v/>
      </c>
      <c r="E1049" s="8">
        <f>IF($B1049="","",IFERROR(INDEX(PM_Subcategory,MATCH($B1049,PM_ID,0)),""))</f>
        <v/>
      </c>
      <c r="F1049" s="8">
        <f>IF($B1049="","",IFERROR(INDEX(PM_Brand,MATCH($B1049,PM_ID,0)),""))</f>
        <v/>
      </c>
      <c r="G1049" s="8">
        <f>IF($B1049="","",IFERROR(INDEX(PM_Model,MATCH($B1049,PM_ID,0)),""))</f>
        <v/>
      </c>
      <c r="H1049" s="5" t="n"/>
      <c r="I1049" s="10" t="n"/>
      <c r="J1049" s="9" t="n"/>
      <c r="K1049" s="5" t="n"/>
      <c r="L1049" s="5" t="n"/>
      <c r="M1049" s="5" t="n"/>
      <c r="N1049" s="5" t="n"/>
      <c r="O1049" s="8">
        <f>IF($B1049="","",IF(AND($A1049&lt;&gt;"",COUNTIF(INV_ID,$A1049)&gt;1),"⚠ this Unit ID already exists",IF(AND($H1049&lt;&gt;"",COUNTIF(INV_Serial,$H1049)&gt;1),"⚠ this serial already exists",IF(COUNTIFS(INV_Product,$B1049,INV_No,$C1049)&gt;1,"⚠ piece number reused",""))))</f>
        <v/>
      </c>
      <c r="P1049" s="5" t="n"/>
    </row>
    <row r="1050">
      <c r="A1050" s="8">
        <f>IF(OR($B1050="",$C1050=""),"",IFERROR(INDEX(PM_Short,MATCH($B1050,PM_ID,0))&amp;"-"&amp;TEXT($C1050,"00"),"?? no such product"))</f>
        <v/>
      </c>
      <c r="B1050" s="5" t="n"/>
      <c r="C1050" s="5" t="n"/>
      <c r="D1050" s="8">
        <f>IF($B1050="","",IFERROR(INDEX(PM_Category,MATCH($B1050,PM_ID,0)),""))</f>
        <v/>
      </c>
      <c r="E1050" s="8">
        <f>IF($B1050="","",IFERROR(INDEX(PM_Subcategory,MATCH($B1050,PM_ID,0)),""))</f>
        <v/>
      </c>
      <c r="F1050" s="8">
        <f>IF($B1050="","",IFERROR(INDEX(PM_Brand,MATCH($B1050,PM_ID,0)),""))</f>
        <v/>
      </c>
      <c r="G1050" s="8">
        <f>IF($B1050="","",IFERROR(INDEX(PM_Model,MATCH($B1050,PM_ID,0)),""))</f>
        <v/>
      </c>
      <c r="H1050" s="5" t="n"/>
      <c r="I1050" s="10" t="n"/>
      <c r="J1050" s="9" t="n"/>
      <c r="K1050" s="5" t="n"/>
      <c r="L1050" s="5" t="n"/>
      <c r="M1050" s="5" t="n"/>
      <c r="N1050" s="5" t="n"/>
      <c r="O1050" s="8">
        <f>IF($B1050="","",IF(AND($A1050&lt;&gt;"",COUNTIF(INV_ID,$A1050)&gt;1),"⚠ this Unit ID already exists",IF(AND($H1050&lt;&gt;"",COUNTIF(INV_Serial,$H1050)&gt;1),"⚠ this serial already exists",IF(COUNTIFS(INV_Product,$B1050,INV_No,$C1050)&gt;1,"⚠ piece number reused",""))))</f>
        <v/>
      </c>
      <c r="P1050" s="5" t="n"/>
    </row>
    <row r="1051">
      <c r="A1051" s="8">
        <f>IF(OR($B1051="",$C1051=""),"",IFERROR(INDEX(PM_Short,MATCH($B1051,PM_ID,0))&amp;"-"&amp;TEXT($C1051,"00"),"?? no such product"))</f>
        <v/>
      </c>
      <c r="B1051" s="5" t="n"/>
      <c r="C1051" s="5" t="n"/>
      <c r="D1051" s="8">
        <f>IF($B1051="","",IFERROR(INDEX(PM_Category,MATCH($B1051,PM_ID,0)),""))</f>
        <v/>
      </c>
      <c r="E1051" s="8">
        <f>IF($B1051="","",IFERROR(INDEX(PM_Subcategory,MATCH($B1051,PM_ID,0)),""))</f>
        <v/>
      </c>
      <c r="F1051" s="8">
        <f>IF($B1051="","",IFERROR(INDEX(PM_Brand,MATCH($B1051,PM_ID,0)),""))</f>
        <v/>
      </c>
      <c r="G1051" s="8">
        <f>IF($B1051="","",IFERROR(INDEX(PM_Model,MATCH($B1051,PM_ID,0)),""))</f>
        <v/>
      </c>
      <c r="H1051" s="5" t="n"/>
      <c r="I1051" s="10" t="n"/>
      <c r="J1051" s="9" t="n"/>
      <c r="K1051" s="5" t="n"/>
      <c r="L1051" s="5" t="n"/>
      <c r="M1051" s="5" t="n"/>
      <c r="N1051" s="5" t="n"/>
      <c r="O1051" s="8">
        <f>IF($B1051="","",IF(AND($A1051&lt;&gt;"",COUNTIF(INV_ID,$A1051)&gt;1),"⚠ this Unit ID already exists",IF(AND($H1051&lt;&gt;"",COUNTIF(INV_Serial,$H1051)&gt;1),"⚠ this serial already exists",IF(COUNTIFS(INV_Product,$B1051,INV_No,$C1051)&gt;1,"⚠ piece number reused",""))))</f>
        <v/>
      </c>
      <c r="P1051" s="5" t="n"/>
    </row>
    <row r="1052">
      <c r="A1052" s="8">
        <f>IF(OR($B1052="",$C1052=""),"",IFERROR(INDEX(PM_Short,MATCH($B1052,PM_ID,0))&amp;"-"&amp;TEXT($C1052,"00"),"?? no such product"))</f>
        <v/>
      </c>
      <c r="B1052" s="5" t="n"/>
      <c r="C1052" s="5" t="n"/>
      <c r="D1052" s="8">
        <f>IF($B1052="","",IFERROR(INDEX(PM_Category,MATCH($B1052,PM_ID,0)),""))</f>
        <v/>
      </c>
      <c r="E1052" s="8">
        <f>IF($B1052="","",IFERROR(INDEX(PM_Subcategory,MATCH($B1052,PM_ID,0)),""))</f>
        <v/>
      </c>
      <c r="F1052" s="8">
        <f>IF($B1052="","",IFERROR(INDEX(PM_Brand,MATCH($B1052,PM_ID,0)),""))</f>
        <v/>
      </c>
      <c r="G1052" s="8">
        <f>IF($B1052="","",IFERROR(INDEX(PM_Model,MATCH($B1052,PM_ID,0)),""))</f>
        <v/>
      </c>
      <c r="H1052" s="5" t="n"/>
      <c r="I1052" s="10" t="n"/>
      <c r="J1052" s="9" t="n"/>
      <c r="K1052" s="5" t="n"/>
      <c r="L1052" s="5" t="n"/>
      <c r="M1052" s="5" t="n"/>
      <c r="N1052" s="5" t="n"/>
      <c r="O1052" s="8">
        <f>IF($B1052="","",IF(AND($A1052&lt;&gt;"",COUNTIF(INV_ID,$A1052)&gt;1),"⚠ this Unit ID already exists",IF(AND($H1052&lt;&gt;"",COUNTIF(INV_Serial,$H1052)&gt;1),"⚠ this serial already exists",IF(COUNTIFS(INV_Product,$B1052,INV_No,$C1052)&gt;1,"⚠ piece number reused",""))))</f>
        <v/>
      </c>
      <c r="P1052" s="5" t="n"/>
    </row>
    <row r="1053">
      <c r="A1053" s="8">
        <f>IF(OR($B1053="",$C1053=""),"",IFERROR(INDEX(PM_Short,MATCH($B1053,PM_ID,0))&amp;"-"&amp;TEXT($C1053,"00"),"?? no such product"))</f>
        <v/>
      </c>
      <c r="B1053" s="5" t="n"/>
      <c r="C1053" s="5" t="n"/>
      <c r="D1053" s="8">
        <f>IF($B1053="","",IFERROR(INDEX(PM_Category,MATCH($B1053,PM_ID,0)),""))</f>
        <v/>
      </c>
      <c r="E1053" s="8">
        <f>IF($B1053="","",IFERROR(INDEX(PM_Subcategory,MATCH($B1053,PM_ID,0)),""))</f>
        <v/>
      </c>
      <c r="F1053" s="8">
        <f>IF($B1053="","",IFERROR(INDEX(PM_Brand,MATCH($B1053,PM_ID,0)),""))</f>
        <v/>
      </c>
      <c r="G1053" s="8">
        <f>IF($B1053="","",IFERROR(INDEX(PM_Model,MATCH($B1053,PM_ID,0)),""))</f>
        <v/>
      </c>
      <c r="H1053" s="5" t="n"/>
      <c r="I1053" s="10" t="n"/>
      <c r="J1053" s="9" t="n"/>
      <c r="K1053" s="5" t="n"/>
      <c r="L1053" s="5" t="n"/>
      <c r="M1053" s="5" t="n"/>
      <c r="N1053" s="5" t="n"/>
      <c r="O1053" s="8">
        <f>IF($B1053="","",IF(AND($A1053&lt;&gt;"",COUNTIF(INV_ID,$A1053)&gt;1),"⚠ this Unit ID already exists",IF(AND($H1053&lt;&gt;"",COUNTIF(INV_Serial,$H1053)&gt;1),"⚠ this serial already exists",IF(COUNTIFS(INV_Product,$B1053,INV_No,$C1053)&gt;1,"⚠ piece number reused",""))))</f>
        <v/>
      </c>
      <c r="P1053" s="5" t="n"/>
    </row>
    <row r="1054">
      <c r="A1054" s="8">
        <f>IF(OR($B1054="",$C1054=""),"",IFERROR(INDEX(PM_Short,MATCH($B1054,PM_ID,0))&amp;"-"&amp;TEXT($C1054,"00"),"?? no such product"))</f>
        <v/>
      </c>
      <c r="B1054" s="5" t="n"/>
      <c r="C1054" s="5" t="n"/>
      <c r="D1054" s="8">
        <f>IF($B1054="","",IFERROR(INDEX(PM_Category,MATCH($B1054,PM_ID,0)),""))</f>
        <v/>
      </c>
      <c r="E1054" s="8">
        <f>IF($B1054="","",IFERROR(INDEX(PM_Subcategory,MATCH($B1054,PM_ID,0)),""))</f>
        <v/>
      </c>
      <c r="F1054" s="8">
        <f>IF($B1054="","",IFERROR(INDEX(PM_Brand,MATCH($B1054,PM_ID,0)),""))</f>
        <v/>
      </c>
      <c r="G1054" s="8">
        <f>IF($B1054="","",IFERROR(INDEX(PM_Model,MATCH($B1054,PM_ID,0)),""))</f>
        <v/>
      </c>
      <c r="H1054" s="5" t="n"/>
      <c r="I1054" s="10" t="n"/>
      <c r="J1054" s="9" t="n"/>
      <c r="K1054" s="5" t="n"/>
      <c r="L1054" s="5" t="n"/>
      <c r="M1054" s="5" t="n"/>
      <c r="N1054" s="5" t="n"/>
      <c r="O1054" s="8">
        <f>IF($B1054="","",IF(AND($A1054&lt;&gt;"",COUNTIF(INV_ID,$A1054)&gt;1),"⚠ this Unit ID already exists",IF(AND($H1054&lt;&gt;"",COUNTIF(INV_Serial,$H1054)&gt;1),"⚠ this serial already exists",IF(COUNTIFS(INV_Product,$B1054,INV_No,$C1054)&gt;1,"⚠ piece number reused",""))))</f>
        <v/>
      </c>
      <c r="P1054" s="5" t="n"/>
    </row>
    <row r="1055">
      <c r="A1055" s="8">
        <f>IF(OR($B1055="",$C1055=""),"",IFERROR(INDEX(PM_Short,MATCH($B1055,PM_ID,0))&amp;"-"&amp;TEXT($C1055,"00"),"?? no such product"))</f>
        <v/>
      </c>
      <c r="B1055" s="5" t="n"/>
      <c r="C1055" s="5" t="n"/>
      <c r="D1055" s="8">
        <f>IF($B1055="","",IFERROR(INDEX(PM_Category,MATCH($B1055,PM_ID,0)),""))</f>
        <v/>
      </c>
      <c r="E1055" s="8">
        <f>IF($B1055="","",IFERROR(INDEX(PM_Subcategory,MATCH($B1055,PM_ID,0)),""))</f>
        <v/>
      </c>
      <c r="F1055" s="8">
        <f>IF($B1055="","",IFERROR(INDEX(PM_Brand,MATCH($B1055,PM_ID,0)),""))</f>
        <v/>
      </c>
      <c r="G1055" s="8">
        <f>IF($B1055="","",IFERROR(INDEX(PM_Model,MATCH($B1055,PM_ID,0)),""))</f>
        <v/>
      </c>
      <c r="H1055" s="5" t="n"/>
      <c r="I1055" s="10" t="n"/>
      <c r="J1055" s="9" t="n"/>
      <c r="K1055" s="5" t="n"/>
      <c r="L1055" s="5" t="n"/>
      <c r="M1055" s="5" t="n"/>
      <c r="N1055" s="5" t="n"/>
      <c r="O1055" s="8">
        <f>IF($B1055="","",IF(AND($A1055&lt;&gt;"",COUNTIF(INV_ID,$A1055)&gt;1),"⚠ this Unit ID already exists",IF(AND($H1055&lt;&gt;"",COUNTIF(INV_Serial,$H1055)&gt;1),"⚠ this serial already exists",IF(COUNTIFS(INV_Product,$B1055,INV_No,$C1055)&gt;1,"⚠ piece number reused",""))))</f>
        <v/>
      </c>
      <c r="P1055" s="5" t="n"/>
    </row>
    <row r="1056">
      <c r="A1056" s="8">
        <f>IF(OR($B1056="",$C1056=""),"",IFERROR(INDEX(PM_Short,MATCH($B1056,PM_ID,0))&amp;"-"&amp;TEXT($C1056,"00"),"?? no such product"))</f>
        <v/>
      </c>
      <c r="B1056" s="5" t="n"/>
      <c r="C1056" s="5" t="n"/>
      <c r="D1056" s="8">
        <f>IF($B1056="","",IFERROR(INDEX(PM_Category,MATCH($B1056,PM_ID,0)),""))</f>
        <v/>
      </c>
      <c r="E1056" s="8">
        <f>IF($B1056="","",IFERROR(INDEX(PM_Subcategory,MATCH($B1056,PM_ID,0)),""))</f>
        <v/>
      </c>
      <c r="F1056" s="8">
        <f>IF($B1056="","",IFERROR(INDEX(PM_Brand,MATCH($B1056,PM_ID,0)),""))</f>
        <v/>
      </c>
      <c r="G1056" s="8">
        <f>IF($B1056="","",IFERROR(INDEX(PM_Model,MATCH($B1056,PM_ID,0)),""))</f>
        <v/>
      </c>
      <c r="H1056" s="5" t="n"/>
      <c r="I1056" s="10" t="n"/>
      <c r="J1056" s="9" t="n"/>
      <c r="K1056" s="5" t="n"/>
      <c r="L1056" s="5" t="n"/>
      <c r="M1056" s="5" t="n"/>
      <c r="N1056" s="5" t="n"/>
      <c r="O1056" s="8">
        <f>IF($B1056="","",IF(AND($A1056&lt;&gt;"",COUNTIF(INV_ID,$A1056)&gt;1),"⚠ this Unit ID already exists",IF(AND($H1056&lt;&gt;"",COUNTIF(INV_Serial,$H1056)&gt;1),"⚠ this serial already exists",IF(COUNTIFS(INV_Product,$B1056,INV_No,$C1056)&gt;1,"⚠ piece number reused",""))))</f>
        <v/>
      </c>
      <c r="P1056" s="5" t="n"/>
    </row>
    <row r="1057">
      <c r="A1057" s="8">
        <f>IF(OR($B1057="",$C1057=""),"",IFERROR(INDEX(PM_Short,MATCH($B1057,PM_ID,0))&amp;"-"&amp;TEXT($C1057,"00"),"?? no such product"))</f>
        <v/>
      </c>
      <c r="B1057" s="5" t="n"/>
      <c r="C1057" s="5" t="n"/>
      <c r="D1057" s="8">
        <f>IF($B1057="","",IFERROR(INDEX(PM_Category,MATCH($B1057,PM_ID,0)),""))</f>
        <v/>
      </c>
      <c r="E1057" s="8">
        <f>IF($B1057="","",IFERROR(INDEX(PM_Subcategory,MATCH($B1057,PM_ID,0)),""))</f>
        <v/>
      </c>
      <c r="F1057" s="8">
        <f>IF($B1057="","",IFERROR(INDEX(PM_Brand,MATCH($B1057,PM_ID,0)),""))</f>
        <v/>
      </c>
      <c r="G1057" s="8">
        <f>IF($B1057="","",IFERROR(INDEX(PM_Model,MATCH($B1057,PM_ID,0)),""))</f>
        <v/>
      </c>
      <c r="H1057" s="5" t="n"/>
      <c r="I1057" s="10" t="n"/>
      <c r="J1057" s="9" t="n"/>
      <c r="K1057" s="5" t="n"/>
      <c r="L1057" s="5" t="n"/>
      <c r="M1057" s="5" t="n"/>
      <c r="N1057" s="5" t="n"/>
      <c r="O1057" s="8">
        <f>IF($B1057="","",IF(AND($A1057&lt;&gt;"",COUNTIF(INV_ID,$A1057)&gt;1),"⚠ this Unit ID already exists",IF(AND($H1057&lt;&gt;"",COUNTIF(INV_Serial,$H1057)&gt;1),"⚠ this serial already exists",IF(COUNTIFS(INV_Product,$B1057,INV_No,$C1057)&gt;1,"⚠ piece number reused",""))))</f>
        <v/>
      </c>
      <c r="P1057" s="5" t="n"/>
    </row>
    <row r="1058">
      <c r="A1058" s="8">
        <f>IF(OR($B1058="",$C1058=""),"",IFERROR(INDEX(PM_Short,MATCH($B1058,PM_ID,0))&amp;"-"&amp;TEXT($C1058,"00"),"?? no such product"))</f>
        <v/>
      </c>
      <c r="B1058" s="5" t="n"/>
      <c r="C1058" s="5" t="n"/>
      <c r="D1058" s="8">
        <f>IF($B1058="","",IFERROR(INDEX(PM_Category,MATCH($B1058,PM_ID,0)),""))</f>
        <v/>
      </c>
      <c r="E1058" s="8">
        <f>IF($B1058="","",IFERROR(INDEX(PM_Subcategory,MATCH($B1058,PM_ID,0)),""))</f>
        <v/>
      </c>
      <c r="F1058" s="8">
        <f>IF($B1058="","",IFERROR(INDEX(PM_Brand,MATCH($B1058,PM_ID,0)),""))</f>
        <v/>
      </c>
      <c r="G1058" s="8">
        <f>IF($B1058="","",IFERROR(INDEX(PM_Model,MATCH($B1058,PM_ID,0)),""))</f>
        <v/>
      </c>
      <c r="H1058" s="5" t="n"/>
      <c r="I1058" s="10" t="n"/>
      <c r="J1058" s="9" t="n"/>
      <c r="K1058" s="5" t="n"/>
      <c r="L1058" s="5" t="n"/>
      <c r="M1058" s="5" t="n"/>
      <c r="N1058" s="5" t="n"/>
      <c r="O1058" s="8">
        <f>IF($B1058="","",IF(AND($A1058&lt;&gt;"",COUNTIF(INV_ID,$A1058)&gt;1),"⚠ this Unit ID already exists",IF(AND($H1058&lt;&gt;"",COUNTIF(INV_Serial,$H1058)&gt;1),"⚠ this serial already exists",IF(COUNTIFS(INV_Product,$B1058,INV_No,$C1058)&gt;1,"⚠ piece number reused",""))))</f>
        <v/>
      </c>
      <c r="P1058" s="5" t="n"/>
    </row>
    <row r="1059">
      <c r="A1059" s="8">
        <f>IF(OR($B1059="",$C1059=""),"",IFERROR(INDEX(PM_Short,MATCH($B1059,PM_ID,0))&amp;"-"&amp;TEXT($C1059,"00"),"?? no such product"))</f>
        <v/>
      </c>
      <c r="B1059" s="5" t="n"/>
      <c r="C1059" s="5" t="n"/>
      <c r="D1059" s="8">
        <f>IF($B1059="","",IFERROR(INDEX(PM_Category,MATCH($B1059,PM_ID,0)),""))</f>
        <v/>
      </c>
      <c r="E1059" s="8">
        <f>IF($B1059="","",IFERROR(INDEX(PM_Subcategory,MATCH($B1059,PM_ID,0)),""))</f>
        <v/>
      </c>
      <c r="F1059" s="8">
        <f>IF($B1059="","",IFERROR(INDEX(PM_Brand,MATCH($B1059,PM_ID,0)),""))</f>
        <v/>
      </c>
      <c r="G1059" s="8">
        <f>IF($B1059="","",IFERROR(INDEX(PM_Model,MATCH($B1059,PM_ID,0)),""))</f>
        <v/>
      </c>
      <c r="H1059" s="5" t="n"/>
      <c r="I1059" s="10" t="n"/>
      <c r="J1059" s="9" t="n"/>
      <c r="K1059" s="5" t="n"/>
      <c r="L1059" s="5" t="n"/>
      <c r="M1059" s="5" t="n"/>
      <c r="N1059" s="5" t="n"/>
      <c r="O1059" s="8">
        <f>IF($B1059="","",IF(AND($A1059&lt;&gt;"",COUNTIF(INV_ID,$A1059)&gt;1),"⚠ this Unit ID already exists",IF(AND($H1059&lt;&gt;"",COUNTIF(INV_Serial,$H1059)&gt;1),"⚠ this serial already exists",IF(COUNTIFS(INV_Product,$B1059,INV_No,$C1059)&gt;1,"⚠ piece number reused",""))))</f>
        <v/>
      </c>
      <c r="P1059" s="5" t="n"/>
    </row>
    <row r="1060">
      <c r="A1060" s="8">
        <f>IF(OR($B1060="",$C1060=""),"",IFERROR(INDEX(PM_Short,MATCH($B1060,PM_ID,0))&amp;"-"&amp;TEXT($C1060,"00"),"?? no such product"))</f>
        <v/>
      </c>
      <c r="B1060" s="5" t="n"/>
      <c r="C1060" s="5" t="n"/>
      <c r="D1060" s="8">
        <f>IF($B1060="","",IFERROR(INDEX(PM_Category,MATCH($B1060,PM_ID,0)),""))</f>
        <v/>
      </c>
      <c r="E1060" s="8">
        <f>IF($B1060="","",IFERROR(INDEX(PM_Subcategory,MATCH($B1060,PM_ID,0)),""))</f>
        <v/>
      </c>
      <c r="F1060" s="8">
        <f>IF($B1060="","",IFERROR(INDEX(PM_Brand,MATCH($B1060,PM_ID,0)),""))</f>
        <v/>
      </c>
      <c r="G1060" s="8">
        <f>IF($B1060="","",IFERROR(INDEX(PM_Model,MATCH($B1060,PM_ID,0)),""))</f>
        <v/>
      </c>
      <c r="H1060" s="5" t="n"/>
      <c r="I1060" s="10" t="n"/>
      <c r="J1060" s="9" t="n"/>
      <c r="K1060" s="5" t="n"/>
      <c r="L1060" s="5" t="n"/>
      <c r="M1060" s="5" t="n"/>
      <c r="N1060" s="5" t="n"/>
      <c r="O1060" s="8">
        <f>IF($B1060="","",IF(AND($A1060&lt;&gt;"",COUNTIF(INV_ID,$A1060)&gt;1),"⚠ this Unit ID already exists",IF(AND($H1060&lt;&gt;"",COUNTIF(INV_Serial,$H1060)&gt;1),"⚠ this serial already exists",IF(COUNTIFS(INV_Product,$B1060,INV_No,$C1060)&gt;1,"⚠ piece number reused",""))))</f>
        <v/>
      </c>
      <c r="P1060" s="5" t="n"/>
    </row>
    <row r="1061">
      <c r="A1061" s="8">
        <f>IF(OR($B1061="",$C1061=""),"",IFERROR(INDEX(PM_Short,MATCH($B1061,PM_ID,0))&amp;"-"&amp;TEXT($C1061,"00"),"?? no such product"))</f>
        <v/>
      </c>
      <c r="B1061" s="5" t="n"/>
      <c r="C1061" s="5" t="n"/>
      <c r="D1061" s="8">
        <f>IF($B1061="","",IFERROR(INDEX(PM_Category,MATCH($B1061,PM_ID,0)),""))</f>
        <v/>
      </c>
      <c r="E1061" s="8">
        <f>IF($B1061="","",IFERROR(INDEX(PM_Subcategory,MATCH($B1061,PM_ID,0)),""))</f>
        <v/>
      </c>
      <c r="F1061" s="8">
        <f>IF($B1061="","",IFERROR(INDEX(PM_Brand,MATCH($B1061,PM_ID,0)),""))</f>
        <v/>
      </c>
      <c r="G1061" s="8">
        <f>IF($B1061="","",IFERROR(INDEX(PM_Model,MATCH($B1061,PM_ID,0)),""))</f>
        <v/>
      </c>
      <c r="H1061" s="5" t="n"/>
      <c r="I1061" s="10" t="n"/>
      <c r="J1061" s="9" t="n"/>
      <c r="K1061" s="5" t="n"/>
      <c r="L1061" s="5" t="n"/>
      <c r="M1061" s="5" t="n"/>
      <c r="N1061" s="5" t="n"/>
      <c r="O1061" s="8">
        <f>IF($B1061="","",IF(AND($A1061&lt;&gt;"",COUNTIF(INV_ID,$A1061)&gt;1),"⚠ this Unit ID already exists",IF(AND($H1061&lt;&gt;"",COUNTIF(INV_Serial,$H1061)&gt;1),"⚠ this serial already exists",IF(COUNTIFS(INV_Product,$B1061,INV_No,$C1061)&gt;1,"⚠ piece number reused",""))))</f>
        <v/>
      </c>
      <c r="P1061" s="5" t="n"/>
    </row>
    <row r="1062">
      <c r="A1062" s="8">
        <f>IF(OR($B1062="",$C1062=""),"",IFERROR(INDEX(PM_Short,MATCH($B1062,PM_ID,0))&amp;"-"&amp;TEXT($C1062,"00"),"?? no such product"))</f>
        <v/>
      </c>
      <c r="B1062" s="5" t="n"/>
      <c r="C1062" s="5" t="n"/>
      <c r="D1062" s="8">
        <f>IF($B1062="","",IFERROR(INDEX(PM_Category,MATCH($B1062,PM_ID,0)),""))</f>
        <v/>
      </c>
      <c r="E1062" s="8">
        <f>IF($B1062="","",IFERROR(INDEX(PM_Subcategory,MATCH($B1062,PM_ID,0)),""))</f>
        <v/>
      </c>
      <c r="F1062" s="8">
        <f>IF($B1062="","",IFERROR(INDEX(PM_Brand,MATCH($B1062,PM_ID,0)),""))</f>
        <v/>
      </c>
      <c r="G1062" s="8">
        <f>IF($B1062="","",IFERROR(INDEX(PM_Model,MATCH($B1062,PM_ID,0)),""))</f>
        <v/>
      </c>
      <c r="H1062" s="5" t="n"/>
      <c r="I1062" s="10" t="n"/>
      <c r="J1062" s="9" t="n"/>
      <c r="K1062" s="5" t="n"/>
      <c r="L1062" s="5" t="n"/>
      <c r="M1062" s="5" t="n"/>
      <c r="N1062" s="5" t="n"/>
      <c r="O1062" s="8">
        <f>IF($B1062="","",IF(AND($A1062&lt;&gt;"",COUNTIF(INV_ID,$A1062)&gt;1),"⚠ this Unit ID already exists",IF(AND($H1062&lt;&gt;"",COUNTIF(INV_Serial,$H1062)&gt;1),"⚠ this serial already exists",IF(COUNTIFS(INV_Product,$B1062,INV_No,$C1062)&gt;1,"⚠ piece number reused",""))))</f>
        <v/>
      </c>
      <c r="P1062" s="5" t="n"/>
    </row>
    <row r="1063">
      <c r="A1063" s="8">
        <f>IF(OR($B1063="",$C1063=""),"",IFERROR(INDEX(PM_Short,MATCH($B1063,PM_ID,0))&amp;"-"&amp;TEXT($C1063,"00"),"?? no such product"))</f>
        <v/>
      </c>
      <c r="B1063" s="5" t="n"/>
      <c r="C1063" s="5" t="n"/>
      <c r="D1063" s="8">
        <f>IF($B1063="","",IFERROR(INDEX(PM_Category,MATCH($B1063,PM_ID,0)),""))</f>
        <v/>
      </c>
      <c r="E1063" s="8">
        <f>IF($B1063="","",IFERROR(INDEX(PM_Subcategory,MATCH($B1063,PM_ID,0)),""))</f>
        <v/>
      </c>
      <c r="F1063" s="8">
        <f>IF($B1063="","",IFERROR(INDEX(PM_Brand,MATCH($B1063,PM_ID,0)),""))</f>
        <v/>
      </c>
      <c r="G1063" s="8">
        <f>IF($B1063="","",IFERROR(INDEX(PM_Model,MATCH($B1063,PM_ID,0)),""))</f>
        <v/>
      </c>
      <c r="H1063" s="5" t="n"/>
      <c r="I1063" s="10" t="n"/>
      <c r="J1063" s="9" t="n"/>
      <c r="K1063" s="5" t="n"/>
      <c r="L1063" s="5" t="n"/>
      <c r="M1063" s="5" t="n"/>
      <c r="N1063" s="5" t="n"/>
      <c r="O1063" s="8">
        <f>IF($B1063="","",IF(AND($A1063&lt;&gt;"",COUNTIF(INV_ID,$A1063)&gt;1),"⚠ this Unit ID already exists",IF(AND($H1063&lt;&gt;"",COUNTIF(INV_Serial,$H1063)&gt;1),"⚠ this serial already exists",IF(COUNTIFS(INV_Product,$B1063,INV_No,$C1063)&gt;1,"⚠ piece number reused",""))))</f>
        <v/>
      </c>
      <c r="P1063" s="5" t="n"/>
    </row>
    <row r="1064">
      <c r="A1064" s="8">
        <f>IF(OR($B1064="",$C1064=""),"",IFERROR(INDEX(PM_Short,MATCH($B1064,PM_ID,0))&amp;"-"&amp;TEXT($C1064,"00"),"?? no such product"))</f>
        <v/>
      </c>
      <c r="B1064" s="5" t="n"/>
      <c r="C1064" s="5" t="n"/>
      <c r="D1064" s="8">
        <f>IF($B1064="","",IFERROR(INDEX(PM_Category,MATCH($B1064,PM_ID,0)),""))</f>
        <v/>
      </c>
      <c r="E1064" s="8">
        <f>IF($B1064="","",IFERROR(INDEX(PM_Subcategory,MATCH($B1064,PM_ID,0)),""))</f>
        <v/>
      </c>
      <c r="F1064" s="8">
        <f>IF($B1064="","",IFERROR(INDEX(PM_Brand,MATCH($B1064,PM_ID,0)),""))</f>
        <v/>
      </c>
      <c r="G1064" s="8">
        <f>IF($B1064="","",IFERROR(INDEX(PM_Model,MATCH($B1064,PM_ID,0)),""))</f>
        <v/>
      </c>
      <c r="H1064" s="5" t="n"/>
      <c r="I1064" s="10" t="n"/>
      <c r="J1064" s="9" t="n"/>
      <c r="K1064" s="5" t="n"/>
      <c r="L1064" s="5" t="n"/>
      <c r="M1064" s="5" t="n"/>
      <c r="N1064" s="5" t="n"/>
      <c r="O1064" s="8">
        <f>IF($B1064="","",IF(AND($A1064&lt;&gt;"",COUNTIF(INV_ID,$A1064)&gt;1),"⚠ this Unit ID already exists",IF(AND($H1064&lt;&gt;"",COUNTIF(INV_Serial,$H1064)&gt;1),"⚠ this serial already exists",IF(COUNTIFS(INV_Product,$B1064,INV_No,$C1064)&gt;1,"⚠ piece number reused",""))))</f>
        <v/>
      </c>
      <c r="P1064" s="5" t="n"/>
    </row>
    <row r="1065">
      <c r="A1065" s="8">
        <f>IF(OR($B1065="",$C1065=""),"",IFERROR(INDEX(PM_Short,MATCH($B1065,PM_ID,0))&amp;"-"&amp;TEXT($C1065,"00"),"?? no such product"))</f>
        <v/>
      </c>
      <c r="B1065" s="5" t="n"/>
      <c r="C1065" s="5" t="n"/>
      <c r="D1065" s="8">
        <f>IF($B1065="","",IFERROR(INDEX(PM_Category,MATCH($B1065,PM_ID,0)),""))</f>
        <v/>
      </c>
      <c r="E1065" s="8">
        <f>IF($B1065="","",IFERROR(INDEX(PM_Subcategory,MATCH($B1065,PM_ID,0)),""))</f>
        <v/>
      </c>
      <c r="F1065" s="8">
        <f>IF($B1065="","",IFERROR(INDEX(PM_Brand,MATCH($B1065,PM_ID,0)),""))</f>
        <v/>
      </c>
      <c r="G1065" s="8">
        <f>IF($B1065="","",IFERROR(INDEX(PM_Model,MATCH($B1065,PM_ID,0)),""))</f>
        <v/>
      </c>
      <c r="H1065" s="5" t="n"/>
      <c r="I1065" s="10" t="n"/>
      <c r="J1065" s="9" t="n"/>
      <c r="K1065" s="5" t="n"/>
      <c r="L1065" s="5" t="n"/>
      <c r="M1065" s="5" t="n"/>
      <c r="N1065" s="5" t="n"/>
      <c r="O1065" s="8">
        <f>IF($B1065="","",IF(AND($A1065&lt;&gt;"",COUNTIF(INV_ID,$A1065)&gt;1),"⚠ this Unit ID already exists",IF(AND($H1065&lt;&gt;"",COUNTIF(INV_Serial,$H1065)&gt;1),"⚠ this serial already exists",IF(COUNTIFS(INV_Product,$B1065,INV_No,$C1065)&gt;1,"⚠ piece number reused",""))))</f>
        <v/>
      </c>
      <c r="P1065" s="5" t="n"/>
    </row>
    <row r="1066">
      <c r="A1066" s="8">
        <f>IF(OR($B1066="",$C1066=""),"",IFERROR(INDEX(PM_Short,MATCH($B1066,PM_ID,0))&amp;"-"&amp;TEXT($C1066,"00"),"?? no such product"))</f>
        <v/>
      </c>
      <c r="B1066" s="5" t="n"/>
      <c r="C1066" s="5" t="n"/>
      <c r="D1066" s="8">
        <f>IF($B1066="","",IFERROR(INDEX(PM_Category,MATCH($B1066,PM_ID,0)),""))</f>
        <v/>
      </c>
      <c r="E1066" s="8">
        <f>IF($B1066="","",IFERROR(INDEX(PM_Subcategory,MATCH($B1066,PM_ID,0)),""))</f>
        <v/>
      </c>
      <c r="F1066" s="8">
        <f>IF($B1066="","",IFERROR(INDEX(PM_Brand,MATCH($B1066,PM_ID,0)),""))</f>
        <v/>
      </c>
      <c r="G1066" s="8">
        <f>IF($B1066="","",IFERROR(INDEX(PM_Model,MATCH($B1066,PM_ID,0)),""))</f>
        <v/>
      </c>
      <c r="H1066" s="5" t="n"/>
      <c r="I1066" s="10" t="n"/>
      <c r="J1066" s="9" t="n"/>
      <c r="K1066" s="5" t="n"/>
      <c r="L1066" s="5" t="n"/>
      <c r="M1066" s="5" t="n"/>
      <c r="N1066" s="5" t="n"/>
      <c r="O1066" s="8">
        <f>IF($B1066="","",IF(AND($A1066&lt;&gt;"",COUNTIF(INV_ID,$A1066)&gt;1),"⚠ this Unit ID already exists",IF(AND($H1066&lt;&gt;"",COUNTIF(INV_Serial,$H1066)&gt;1),"⚠ this serial already exists",IF(COUNTIFS(INV_Product,$B1066,INV_No,$C1066)&gt;1,"⚠ piece number reused",""))))</f>
        <v/>
      </c>
      <c r="P1066" s="5" t="n"/>
    </row>
    <row r="1067">
      <c r="A1067" s="8">
        <f>IF(OR($B1067="",$C1067=""),"",IFERROR(INDEX(PM_Short,MATCH($B1067,PM_ID,0))&amp;"-"&amp;TEXT($C1067,"00"),"?? no such product"))</f>
        <v/>
      </c>
      <c r="B1067" s="5" t="n"/>
      <c r="C1067" s="5" t="n"/>
      <c r="D1067" s="8">
        <f>IF($B1067="","",IFERROR(INDEX(PM_Category,MATCH($B1067,PM_ID,0)),""))</f>
        <v/>
      </c>
      <c r="E1067" s="8">
        <f>IF($B1067="","",IFERROR(INDEX(PM_Subcategory,MATCH($B1067,PM_ID,0)),""))</f>
        <v/>
      </c>
      <c r="F1067" s="8">
        <f>IF($B1067="","",IFERROR(INDEX(PM_Brand,MATCH($B1067,PM_ID,0)),""))</f>
        <v/>
      </c>
      <c r="G1067" s="8">
        <f>IF($B1067="","",IFERROR(INDEX(PM_Model,MATCH($B1067,PM_ID,0)),""))</f>
        <v/>
      </c>
      <c r="H1067" s="5" t="n"/>
      <c r="I1067" s="10" t="n"/>
      <c r="J1067" s="9" t="n"/>
      <c r="K1067" s="5" t="n"/>
      <c r="L1067" s="5" t="n"/>
      <c r="M1067" s="5" t="n"/>
      <c r="N1067" s="5" t="n"/>
      <c r="O1067" s="8">
        <f>IF($B1067="","",IF(AND($A1067&lt;&gt;"",COUNTIF(INV_ID,$A1067)&gt;1),"⚠ this Unit ID already exists",IF(AND($H1067&lt;&gt;"",COUNTIF(INV_Serial,$H1067)&gt;1),"⚠ this serial already exists",IF(COUNTIFS(INV_Product,$B1067,INV_No,$C1067)&gt;1,"⚠ piece number reused",""))))</f>
        <v/>
      </c>
      <c r="P1067" s="5" t="n"/>
    </row>
    <row r="1068">
      <c r="A1068" s="8">
        <f>IF(OR($B1068="",$C1068=""),"",IFERROR(INDEX(PM_Short,MATCH($B1068,PM_ID,0))&amp;"-"&amp;TEXT($C1068,"00"),"?? no such product"))</f>
        <v/>
      </c>
      <c r="B1068" s="5" t="n"/>
      <c r="C1068" s="5" t="n"/>
      <c r="D1068" s="8">
        <f>IF($B1068="","",IFERROR(INDEX(PM_Category,MATCH($B1068,PM_ID,0)),""))</f>
        <v/>
      </c>
      <c r="E1068" s="8">
        <f>IF($B1068="","",IFERROR(INDEX(PM_Subcategory,MATCH($B1068,PM_ID,0)),""))</f>
        <v/>
      </c>
      <c r="F1068" s="8">
        <f>IF($B1068="","",IFERROR(INDEX(PM_Brand,MATCH($B1068,PM_ID,0)),""))</f>
        <v/>
      </c>
      <c r="G1068" s="8">
        <f>IF($B1068="","",IFERROR(INDEX(PM_Model,MATCH($B1068,PM_ID,0)),""))</f>
        <v/>
      </c>
      <c r="H1068" s="5" t="n"/>
      <c r="I1068" s="10" t="n"/>
      <c r="J1068" s="9" t="n"/>
      <c r="K1068" s="5" t="n"/>
      <c r="L1068" s="5" t="n"/>
      <c r="M1068" s="5" t="n"/>
      <c r="N1068" s="5" t="n"/>
      <c r="O1068" s="8">
        <f>IF($B1068="","",IF(AND($A1068&lt;&gt;"",COUNTIF(INV_ID,$A1068)&gt;1),"⚠ this Unit ID already exists",IF(AND($H1068&lt;&gt;"",COUNTIF(INV_Serial,$H1068)&gt;1),"⚠ this serial already exists",IF(COUNTIFS(INV_Product,$B1068,INV_No,$C1068)&gt;1,"⚠ piece number reused",""))))</f>
        <v/>
      </c>
      <c r="P1068" s="5" t="n"/>
    </row>
    <row r="1069">
      <c r="A1069" s="8">
        <f>IF(OR($B1069="",$C1069=""),"",IFERROR(INDEX(PM_Short,MATCH($B1069,PM_ID,0))&amp;"-"&amp;TEXT($C1069,"00"),"?? no such product"))</f>
        <v/>
      </c>
      <c r="B1069" s="5" t="n"/>
      <c r="C1069" s="5" t="n"/>
      <c r="D1069" s="8">
        <f>IF($B1069="","",IFERROR(INDEX(PM_Category,MATCH($B1069,PM_ID,0)),""))</f>
        <v/>
      </c>
      <c r="E1069" s="8">
        <f>IF($B1069="","",IFERROR(INDEX(PM_Subcategory,MATCH($B1069,PM_ID,0)),""))</f>
        <v/>
      </c>
      <c r="F1069" s="8">
        <f>IF($B1069="","",IFERROR(INDEX(PM_Brand,MATCH($B1069,PM_ID,0)),""))</f>
        <v/>
      </c>
      <c r="G1069" s="8">
        <f>IF($B1069="","",IFERROR(INDEX(PM_Model,MATCH($B1069,PM_ID,0)),""))</f>
        <v/>
      </c>
      <c r="H1069" s="5" t="n"/>
      <c r="I1069" s="10" t="n"/>
      <c r="J1069" s="9" t="n"/>
      <c r="K1069" s="5" t="n"/>
      <c r="L1069" s="5" t="n"/>
      <c r="M1069" s="5" t="n"/>
      <c r="N1069" s="5" t="n"/>
      <c r="O1069" s="8">
        <f>IF($B1069="","",IF(AND($A1069&lt;&gt;"",COUNTIF(INV_ID,$A1069)&gt;1),"⚠ this Unit ID already exists",IF(AND($H1069&lt;&gt;"",COUNTIF(INV_Serial,$H1069)&gt;1),"⚠ this serial already exists",IF(COUNTIFS(INV_Product,$B1069,INV_No,$C1069)&gt;1,"⚠ piece number reused",""))))</f>
        <v/>
      </c>
      <c r="P1069" s="5" t="n"/>
    </row>
    <row r="1070">
      <c r="A1070" s="8">
        <f>IF(OR($B1070="",$C1070=""),"",IFERROR(INDEX(PM_Short,MATCH($B1070,PM_ID,0))&amp;"-"&amp;TEXT($C1070,"00"),"?? no such product"))</f>
        <v/>
      </c>
      <c r="B1070" s="5" t="n"/>
      <c r="C1070" s="5" t="n"/>
      <c r="D1070" s="8">
        <f>IF($B1070="","",IFERROR(INDEX(PM_Category,MATCH($B1070,PM_ID,0)),""))</f>
        <v/>
      </c>
      <c r="E1070" s="8">
        <f>IF($B1070="","",IFERROR(INDEX(PM_Subcategory,MATCH($B1070,PM_ID,0)),""))</f>
        <v/>
      </c>
      <c r="F1070" s="8">
        <f>IF($B1070="","",IFERROR(INDEX(PM_Brand,MATCH($B1070,PM_ID,0)),""))</f>
        <v/>
      </c>
      <c r="G1070" s="8">
        <f>IF($B1070="","",IFERROR(INDEX(PM_Model,MATCH($B1070,PM_ID,0)),""))</f>
        <v/>
      </c>
      <c r="H1070" s="5" t="n"/>
      <c r="I1070" s="10" t="n"/>
      <c r="J1070" s="9" t="n"/>
      <c r="K1070" s="5" t="n"/>
      <c r="L1070" s="5" t="n"/>
      <c r="M1070" s="5" t="n"/>
      <c r="N1070" s="5" t="n"/>
      <c r="O1070" s="8">
        <f>IF($B1070="","",IF(AND($A1070&lt;&gt;"",COUNTIF(INV_ID,$A1070)&gt;1),"⚠ this Unit ID already exists",IF(AND($H1070&lt;&gt;"",COUNTIF(INV_Serial,$H1070)&gt;1),"⚠ this serial already exists",IF(COUNTIFS(INV_Product,$B1070,INV_No,$C1070)&gt;1,"⚠ piece number reused",""))))</f>
        <v/>
      </c>
      <c r="P1070" s="5" t="n"/>
    </row>
    <row r="1071">
      <c r="A1071" s="8">
        <f>IF(OR($B1071="",$C1071=""),"",IFERROR(INDEX(PM_Short,MATCH($B1071,PM_ID,0))&amp;"-"&amp;TEXT($C1071,"00"),"?? no such product"))</f>
        <v/>
      </c>
      <c r="B1071" s="5" t="n"/>
      <c r="C1071" s="5" t="n"/>
      <c r="D1071" s="8">
        <f>IF($B1071="","",IFERROR(INDEX(PM_Category,MATCH($B1071,PM_ID,0)),""))</f>
        <v/>
      </c>
      <c r="E1071" s="8">
        <f>IF($B1071="","",IFERROR(INDEX(PM_Subcategory,MATCH($B1071,PM_ID,0)),""))</f>
        <v/>
      </c>
      <c r="F1071" s="8">
        <f>IF($B1071="","",IFERROR(INDEX(PM_Brand,MATCH($B1071,PM_ID,0)),""))</f>
        <v/>
      </c>
      <c r="G1071" s="8">
        <f>IF($B1071="","",IFERROR(INDEX(PM_Model,MATCH($B1071,PM_ID,0)),""))</f>
        <v/>
      </c>
      <c r="H1071" s="5" t="n"/>
      <c r="I1071" s="10" t="n"/>
      <c r="J1071" s="9" t="n"/>
      <c r="K1071" s="5" t="n"/>
      <c r="L1071" s="5" t="n"/>
      <c r="M1071" s="5" t="n"/>
      <c r="N1071" s="5" t="n"/>
      <c r="O1071" s="8">
        <f>IF($B1071="","",IF(AND($A1071&lt;&gt;"",COUNTIF(INV_ID,$A1071)&gt;1),"⚠ this Unit ID already exists",IF(AND($H1071&lt;&gt;"",COUNTIF(INV_Serial,$H1071)&gt;1),"⚠ this serial already exists",IF(COUNTIFS(INV_Product,$B1071,INV_No,$C1071)&gt;1,"⚠ piece number reused",""))))</f>
        <v/>
      </c>
      <c r="P1071" s="5" t="n"/>
    </row>
    <row r="1072">
      <c r="A1072" s="8">
        <f>IF(OR($B1072="",$C1072=""),"",IFERROR(INDEX(PM_Short,MATCH($B1072,PM_ID,0))&amp;"-"&amp;TEXT($C1072,"00"),"?? no such product"))</f>
        <v/>
      </c>
      <c r="B1072" s="5" t="n"/>
      <c r="C1072" s="5" t="n"/>
      <c r="D1072" s="8">
        <f>IF($B1072="","",IFERROR(INDEX(PM_Category,MATCH($B1072,PM_ID,0)),""))</f>
        <v/>
      </c>
      <c r="E1072" s="8">
        <f>IF($B1072="","",IFERROR(INDEX(PM_Subcategory,MATCH($B1072,PM_ID,0)),""))</f>
        <v/>
      </c>
      <c r="F1072" s="8">
        <f>IF($B1072="","",IFERROR(INDEX(PM_Brand,MATCH($B1072,PM_ID,0)),""))</f>
        <v/>
      </c>
      <c r="G1072" s="8">
        <f>IF($B1072="","",IFERROR(INDEX(PM_Model,MATCH($B1072,PM_ID,0)),""))</f>
        <v/>
      </c>
      <c r="H1072" s="5" t="n"/>
      <c r="I1072" s="10" t="n"/>
      <c r="J1072" s="9" t="n"/>
      <c r="K1072" s="5" t="n"/>
      <c r="L1072" s="5" t="n"/>
      <c r="M1072" s="5" t="n"/>
      <c r="N1072" s="5" t="n"/>
      <c r="O1072" s="8">
        <f>IF($B1072="","",IF(AND($A1072&lt;&gt;"",COUNTIF(INV_ID,$A1072)&gt;1),"⚠ this Unit ID already exists",IF(AND($H1072&lt;&gt;"",COUNTIF(INV_Serial,$H1072)&gt;1),"⚠ this serial already exists",IF(COUNTIFS(INV_Product,$B1072,INV_No,$C1072)&gt;1,"⚠ piece number reused",""))))</f>
        <v/>
      </c>
      <c r="P1072" s="5" t="n"/>
    </row>
    <row r="1073">
      <c r="A1073" s="8">
        <f>IF(OR($B1073="",$C1073=""),"",IFERROR(INDEX(PM_Short,MATCH($B1073,PM_ID,0))&amp;"-"&amp;TEXT($C1073,"00"),"?? no such product"))</f>
        <v/>
      </c>
      <c r="B1073" s="5" t="n"/>
      <c r="C1073" s="5" t="n"/>
      <c r="D1073" s="8">
        <f>IF($B1073="","",IFERROR(INDEX(PM_Category,MATCH($B1073,PM_ID,0)),""))</f>
        <v/>
      </c>
      <c r="E1073" s="8">
        <f>IF($B1073="","",IFERROR(INDEX(PM_Subcategory,MATCH($B1073,PM_ID,0)),""))</f>
        <v/>
      </c>
      <c r="F1073" s="8">
        <f>IF($B1073="","",IFERROR(INDEX(PM_Brand,MATCH($B1073,PM_ID,0)),""))</f>
        <v/>
      </c>
      <c r="G1073" s="8">
        <f>IF($B1073="","",IFERROR(INDEX(PM_Model,MATCH($B1073,PM_ID,0)),""))</f>
        <v/>
      </c>
      <c r="H1073" s="5" t="n"/>
      <c r="I1073" s="10" t="n"/>
      <c r="J1073" s="9" t="n"/>
      <c r="K1073" s="5" t="n"/>
      <c r="L1073" s="5" t="n"/>
      <c r="M1073" s="5" t="n"/>
      <c r="N1073" s="5" t="n"/>
      <c r="O1073" s="8">
        <f>IF($B1073="","",IF(AND($A1073&lt;&gt;"",COUNTIF(INV_ID,$A1073)&gt;1),"⚠ this Unit ID already exists",IF(AND($H1073&lt;&gt;"",COUNTIF(INV_Serial,$H1073)&gt;1),"⚠ this serial already exists",IF(COUNTIFS(INV_Product,$B1073,INV_No,$C1073)&gt;1,"⚠ piece number reused",""))))</f>
        <v/>
      </c>
      <c r="P1073" s="5" t="n"/>
    </row>
    <row r="1074">
      <c r="A1074" s="8">
        <f>IF(OR($B1074="",$C1074=""),"",IFERROR(INDEX(PM_Short,MATCH($B1074,PM_ID,0))&amp;"-"&amp;TEXT($C1074,"00"),"?? no such product"))</f>
        <v/>
      </c>
      <c r="B1074" s="5" t="n"/>
      <c r="C1074" s="5" t="n"/>
      <c r="D1074" s="8">
        <f>IF($B1074="","",IFERROR(INDEX(PM_Category,MATCH($B1074,PM_ID,0)),""))</f>
        <v/>
      </c>
      <c r="E1074" s="8">
        <f>IF($B1074="","",IFERROR(INDEX(PM_Subcategory,MATCH($B1074,PM_ID,0)),""))</f>
        <v/>
      </c>
      <c r="F1074" s="8">
        <f>IF($B1074="","",IFERROR(INDEX(PM_Brand,MATCH($B1074,PM_ID,0)),""))</f>
        <v/>
      </c>
      <c r="G1074" s="8">
        <f>IF($B1074="","",IFERROR(INDEX(PM_Model,MATCH($B1074,PM_ID,0)),""))</f>
        <v/>
      </c>
      <c r="H1074" s="5" t="n"/>
      <c r="I1074" s="10" t="n"/>
      <c r="J1074" s="9" t="n"/>
      <c r="K1074" s="5" t="n"/>
      <c r="L1074" s="5" t="n"/>
      <c r="M1074" s="5" t="n"/>
      <c r="N1074" s="5" t="n"/>
      <c r="O1074" s="8">
        <f>IF($B1074="","",IF(AND($A1074&lt;&gt;"",COUNTIF(INV_ID,$A1074)&gt;1),"⚠ this Unit ID already exists",IF(AND($H1074&lt;&gt;"",COUNTIF(INV_Serial,$H1074)&gt;1),"⚠ this serial already exists",IF(COUNTIFS(INV_Product,$B1074,INV_No,$C1074)&gt;1,"⚠ piece number reused",""))))</f>
        <v/>
      </c>
      <c r="P1074" s="5" t="n"/>
    </row>
    <row r="1075">
      <c r="A1075" s="8">
        <f>IF(OR($B1075="",$C1075=""),"",IFERROR(INDEX(PM_Short,MATCH($B1075,PM_ID,0))&amp;"-"&amp;TEXT($C1075,"00"),"?? no such product"))</f>
        <v/>
      </c>
      <c r="B1075" s="5" t="n"/>
      <c r="C1075" s="5" t="n"/>
      <c r="D1075" s="8">
        <f>IF($B1075="","",IFERROR(INDEX(PM_Category,MATCH($B1075,PM_ID,0)),""))</f>
        <v/>
      </c>
      <c r="E1075" s="8">
        <f>IF($B1075="","",IFERROR(INDEX(PM_Subcategory,MATCH($B1075,PM_ID,0)),""))</f>
        <v/>
      </c>
      <c r="F1075" s="8">
        <f>IF($B1075="","",IFERROR(INDEX(PM_Brand,MATCH($B1075,PM_ID,0)),""))</f>
        <v/>
      </c>
      <c r="G1075" s="8">
        <f>IF($B1075="","",IFERROR(INDEX(PM_Model,MATCH($B1075,PM_ID,0)),""))</f>
        <v/>
      </c>
      <c r="H1075" s="5" t="n"/>
      <c r="I1075" s="10" t="n"/>
      <c r="J1075" s="9" t="n"/>
      <c r="K1075" s="5" t="n"/>
      <c r="L1075" s="5" t="n"/>
      <c r="M1075" s="5" t="n"/>
      <c r="N1075" s="5" t="n"/>
      <c r="O1075" s="8">
        <f>IF($B1075="","",IF(AND($A1075&lt;&gt;"",COUNTIF(INV_ID,$A1075)&gt;1),"⚠ this Unit ID already exists",IF(AND($H1075&lt;&gt;"",COUNTIF(INV_Serial,$H1075)&gt;1),"⚠ this serial already exists",IF(COUNTIFS(INV_Product,$B1075,INV_No,$C1075)&gt;1,"⚠ piece number reused",""))))</f>
        <v/>
      </c>
      <c r="P1075" s="5" t="n"/>
    </row>
    <row r="1076">
      <c r="A1076" s="8">
        <f>IF(OR($B1076="",$C1076=""),"",IFERROR(INDEX(PM_Short,MATCH($B1076,PM_ID,0))&amp;"-"&amp;TEXT($C1076,"00"),"?? no such product"))</f>
        <v/>
      </c>
      <c r="B1076" s="5" t="n"/>
      <c r="C1076" s="5" t="n"/>
      <c r="D1076" s="8">
        <f>IF($B1076="","",IFERROR(INDEX(PM_Category,MATCH($B1076,PM_ID,0)),""))</f>
        <v/>
      </c>
      <c r="E1076" s="8">
        <f>IF($B1076="","",IFERROR(INDEX(PM_Subcategory,MATCH($B1076,PM_ID,0)),""))</f>
        <v/>
      </c>
      <c r="F1076" s="8">
        <f>IF($B1076="","",IFERROR(INDEX(PM_Brand,MATCH($B1076,PM_ID,0)),""))</f>
        <v/>
      </c>
      <c r="G1076" s="8">
        <f>IF($B1076="","",IFERROR(INDEX(PM_Model,MATCH($B1076,PM_ID,0)),""))</f>
        <v/>
      </c>
      <c r="H1076" s="5" t="n"/>
      <c r="I1076" s="10" t="n"/>
      <c r="J1076" s="9" t="n"/>
      <c r="K1076" s="5" t="n"/>
      <c r="L1076" s="5" t="n"/>
      <c r="M1076" s="5" t="n"/>
      <c r="N1076" s="5" t="n"/>
      <c r="O1076" s="8">
        <f>IF($B1076="","",IF(AND($A1076&lt;&gt;"",COUNTIF(INV_ID,$A1076)&gt;1),"⚠ this Unit ID already exists",IF(AND($H1076&lt;&gt;"",COUNTIF(INV_Serial,$H1076)&gt;1),"⚠ this serial already exists",IF(COUNTIFS(INV_Product,$B1076,INV_No,$C1076)&gt;1,"⚠ piece number reused",""))))</f>
        <v/>
      </c>
      <c r="P1076" s="5" t="n"/>
    </row>
    <row r="1077">
      <c r="A1077" s="8">
        <f>IF(OR($B1077="",$C1077=""),"",IFERROR(INDEX(PM_Short,MATCH($B1077,PM_ID,0))&amp;"-"&amp;TEXT($C1077,"00"),"?? no such product"))</f>
        <v/>
      </c>
      <c r="B1077" s="5" t="n"/>
      <c r="C1077" s="5" t="n"/>
      <c r="D1077" s="8">
        <f>IF($B1077="","",IFERROR(INDEX(PM_Category,MATCH($B1077,PM_ID,0)),""))</f>
        <v/>
      </c>
      <c r="E1077" s="8">
        <f>IF($B1077="","",IFERROR(INDEX(PM_Subcategory,MATCH($B1077,PM_ID,0)),""))</f>
        <v/>
      </c>
      <c r="F1077" s="8">
        <f>IF($B1077="","",IFERROR(INDEX(PM_Brand,MATCH($B1077,PM_ID,0)),""))</f>
        <v/>
      </c>
      <c r="G1077" s="8">
        <f>IF($B1077="","",IFERROR(INDEX(PM_Model,MATCH($B1077,PM_ID,0)),""))</f>
        <v/>
      </c>
      <c r="H1077" s="5" t="n"/>
      <c r="I1077" s="10" t="n"/>
      <c r="J1077" s="9" t="n"/>
      <c r="K1077" s="5" t="n"/>
      <c r="L1077" s="5" t="n"/>
      <c r="M1077" s="5" t="n"/>
      <c r="N1077" s="5" t="n"/>
      <c r="O1077" s="8">
        <f>IF($B1077="","",IF(AND($A1077&lt;&gt;"",COUNTIF(INV_ID,$A1077)&gt;1),"⚠ this Unit ID already exists",IF(AND($H1077&lt;&gt;"",COUNTIF(INV_Serial,$H1077)&gt;1),"⚠ this serial already exists",IF(COUNTIFS(INV_Product,$B1077,INV_No,$C1077)&gt;1,"⚠ piece number reused",""))))</f>
        <v/>
      </c>
      <c r="P1077" s="5" t="n"/>
    </row>
    <row r="1078">
      <c r="A1078" s="8">
        <f>IF(OR($B1078="",$C1078=""),"",IFERROR(INDEX(PM_Short,MATCH($B1078,PM_ID,0))&amp;"-"&amp;TEXT($C1078,"00"),"?? no such product"))</f>
        <v/>
      </c>
      <c r="B1078" s="5" t="n"/>
      <c r="C1078" s="5" t="n"/>
      <c r="D1078" s="8">
        <f>IF($B1078="","",IFERROR(INDEX(PM_Category,MATCH($B1078,PM_ID,0)),""))</f>
        <v/>
      </c>
      <c r="E1078" s="8">
        <f>IF($B1078="","",IFERROR(INDEX(PM_Subcategory,MATCH($B1078,PM_ID,0)),""))</f>
        <v/>
      </c>
      <c r="F1078" s="8">
        <f>IF($B1078="","",IFERROR(INDEX(PM_Brand,MATCH($B1078,PM_ID,0)),""))</f>
        <v/>
      </c>
      <c r="G1078" s="8">
        <f>IF($B1078="","",IFERROR(INDEX(PM_Model,MATCH($B1078,PM_ID,0)),""))</f>
        <v/>
      </c>
      <c r="H1078" s="5" t="n"/>
      <c r="I1078" s="10" t="n"/>
      <c r="J1078" s="9" t="n"/>
      <c r="K1078" s="5" t="n"/>
      <c r="L1078" s="5" t="n"/>
      <c r="M1078" s="5" t="n"/>
      <c r="N1078" s="5" t="n"/>
      <c r="O1078" s="8">
        <f>IF($B1078="","",IF(AND($A1078&lt;&gt;"",COUNTIF(INV_ID,$A1078)&gt;1),"⚠ this Unit ID already exists",IF(AND($H1078&lt;&gt;"",COUNTIF(INV_Serial,$H1078)&gt;1),"⚠ this serial already exists",IF(COUNTIFS(INV_Product,$B1078,INV_No,$C1078)&gt;1,"⚠ piece number reused",""))))</f>
        <v/>
      </c>
      <c r="P1078" s="5" t="n"/>
    </row>
    <row r="1079">
      <c r="A1079" s="8">
        <f>IF(OR($B1079="",$C1079=""),"",IFERROR(INDEX(PM_Short,MATCH($B1079,PM_ID,0))&amp;"-"&amp;TEXT($C1079,"00"),"?? no such product"))</f>
        <v/>
      </c>
      <c r="B1079" s="5" t="n"/>
      <c r="C1079" s="5" t="n"/>
      <c r="D1079" s="8">
        <f>IF($B1079="","",IFERROR(INDEX(PM_Category,MATCH($B1079,PM_ID,0)),""))</f>
        <v/>
      </c>
      <c r="E1079" s="8">
        <f>IF($B1079="","",IFERROR(INDEX(PM_Subcategory,MATCH($B1079,PM_ID,0)),""))</f>
        <v/>
      </c>
      <c r="F1079" s="8">
        <f>IF($B1079="","",IFERROR(INDEX(PM_Brand,MATCH($B1079,PM_ID,0)),""))</f>
        <v/>
      </c>
      <c r="G1079" s="8">
        <f>IF($B1079="","",IFERROR(INDEX(PM_Model,MATCH($B1079,PM_ID,0)),""))</f>
        <v/>
      </c>
      <c r="H1079" s="5" t="n"/>
      <c r="I1079" s="10" t="n"/>
      <c r="J1079" s="9" t="n"/>
      <c r="K1079" s="5" t="n"/>
      <c r="L1079" s="5" t="n"/>
      <c r="M1079" s="5" t="n"/>
      <c r="N1079" s="5" t="n"/>
      <c r="O1079" s="8">
        <f>IF($B1079="","",IF(AND($A1079&lt;&gt;"",COUNTIF(INV_ID,$A1079)&gt;1),"⚠ this Unit ID already exists",IF(AND($H1079&lt;&gt;"",COUNTIF(INV_Serial,$H1079)&gt;1),"⚠ this serial already exists",IF(COUNTIFS(INV_Product,$B1079,INV_No,$C1079)&gt;1,"⚠ piece number reused",""))))</f>
        <v/>
      </c>
      <c r="P1079" s="5" t="n"/>
    </row>
    <row r="1080">
      <c r="A1080" s="8">
        <f>IF(OR($B1080="",$C1080=""),"",IFERROR(INDEX(PM_Short,MATCH($B1080,PM_ID,0))&amp;"-"&amp;TEXT($C1080,"00"),"?? no such product"))</f>
        <v/>
      </c>
      <c r="B1080" s="5" t="n"/>
      <c r="C1080" s="5" t="n"/>
      <c r="D1080" s="8">
        <f>IF($B1080="","",IFERROR(INDEX(PM_Category,MATCH($B1080,PM_ID,0)),""))</f>
        <v/>
      </c>
      <c r="E1080" s="8">
        <f>IF($B1080="","",IFERROR(INDEX(PM_Subcategory,MATCH($B1080,PM_ID,0)),""))</f>
        <v/>
      </c>
      <c r="F1080" s="8">
        <f>IF($B1080="","",IFERROR(INDEX(PM_Brand,MATCH($B1080,PM_ID,0)),""))</f>
        <v/>
      </c>
      <c r="G1080" s="8">
        <f>IF($B1080="","",IFERROR(INDEX(PM_Model,MATCH($B1080,PM_ID,0)),""))</f>
        <v/>
      </c>
      <c r="H1080" s="5" t="n"/>
      <c r="I1080" s="10" t="n"/>
      <c r="J1080" s="9" t="n"/>
      <c r="K1080" s="5" t="n"/>
      <c r="L1080" s="5" t="n"/>
      <c r="M1080" s="5" t="n"/>
      <c r="N1080" s="5" t="n"/>
      <c r="O1080" s="8">
        <f>IF($B1080="","",IF(AND($A1080&lt;&gt;"",COUNTIF(INV_ID,$A1080)&gt;1),"⚠ this Unit ID already exists",IF(AND($H1080&lt;&gt;"",COUNTIF(INV_Serial,$H1080)&gt;1),"⚠ this serial already exists",IF(COUNTIFS(INV_Product,$B1080,INV_No,$C1080)&gt;1,"⚠ piece number reused",""))))</f>
        <v/>
      </c>
      <c r="P1080" s="5" t="n"/>
    </row>
    <row r="1081">
      <c r="A1081" s="8">
        <f>IF(OR($B1081="",$C1081=""),"",IFERROR(INDEX(PM_Short,MATCH($B1081,PM_ID,0))&amp;"-"&amp;TEXT($C1081,"00"),"?? no such product"))</f>
        <v/>
      </c>
      <c r="B1081" s="5" t="n"/>
      <c r="C1081" s="5" t="n"/>
      <c r="D1081" s="8">
        <f>IF($B1081="","",IFERROR(INDEX(PM_Category,MATCH($B1081,PM_ID,0)),""))</f>
        <v/>
      </c>
      <c r="E1081" s="8">
        <f>IF($B1081="","",IFERROR(INDEX(PM_Subcategory,MATCH($B1081,PM_ID,0)),""))</f>
        <v/>
      </c>
      <c r="F1081" s="8">
        <f>IF($B1081="","",IFERROR(INDEX(PM_Brand,MATCH($B1081,PM_ID,0)),""))</f>
        <v/>
      </c>
      <c r="G1081" s="8">
        <f>IF($B1081="","",IFERROR(INDEX(PM_Model,MATCH($B1081,PM_ID,0)),""))</f>
        <v/>
      </c>
      <c r="H1081" s="5" t="n"/>
      <c r="I1081" s="10" t="n"/>
      <c r="J1081" s="9" t="n"/>
      <c r="K1081" s="5" t="n"/>
      <c r="L1081" s="5" t="n"/>
      <c r="M1081" s="5" t="n"/>
      <c r="N1081" s="5" t="n"/>
      <c r="O1081" s="8">
        <f>IF($B1081="","",IF(AND($A1081&lt;&gt;"",COUNTIF(INV_ID,$A1081)&gt;1),"⚠ this Unit ID already exists",IF(AND($H1081&lt;&gt;"",COUNTIF(INV_Serial,$H1081)&gt;1),"⚠ this serial already exists",IF(COUNTIFS(INV_Product,$B1081,INV_No,$C1081)&gt;1,"⚠ piece number reused",""))))</f>
        <v/>
      </c>
      <c r="P1081" s="5" t="n"/>
    </row>
    <row r="1082">
      <c r="A1082" s="8">
        <f>IF(OR($B1082="",$C1082=""),"",IFERROR(INDEX(PM_Short,MATCH($B1082,PM_ID,0))&amp;"-"&amp;TEXT($C1082,"00"),"?? no such product"))</f>
        <v/>
      </c>
      <c r="B1082" s="5" t="n"/>
      <c r="C1082" s="5" t="n"/>
      <c r="D1082" s="8">
        <f>IF($B1082="","",IFERROR(INDEX(PM_Category,MATCH($B1082,PM_ID,0)),""))</f>
        <v/>
      </c>
      <c r="E1082" s="8">
        <f>IF($B1082="","",IFERROR(INDEX(PM_Subcategory,MATCH($B1082,PM_ID,0)),""))</f>
        <v/>
      </c>
      <c r="F1082" s="8">
        <f>IF($B1082="","",IFERROR(INDEX(PM_Brand,MATCH($B1082,PM_ID,0)),""))</f>
        <v/>
      </c>
      <c r="G1082" s="8">
        <f>IF($B1082="","",IFERROR(INDEX(PM_Model,MATCH($B1082,PM_ID,0)),""))</f>
        <v/>
      </c>
      <c r="H1082" s="5" t="n"/>
      <c r="I1082" s="10" t="n"/>
      <c r="J1082" s="9" t="n"/>
      <c r="K1082" s="5" t="n"/>
      <c r="L1082" s="5" t="n"/>
      <c r="M1082" s="5" t="n"/>
      <c r="N1082" s="5" t="n"/>
      <c r="O1082" s="8">
        <f>IF($B1082="","",IF(AND($A1082&lt;&gt;"",COUNTIF(INV_ID,$A1082)&gt;1),"⚠ this Unit ID already exists",IF(AND($H1082&lt;&gt;"",COUNTIF(INV_Serial,$H1082)&gt;1),"⚠ this serial already exists",IF(COUNTIFS(INV_Product,$B1082,INV_No,$C1082)&gt;1,"⚠ piece number reused",""))))</f>
        <v/>
      </c>
      <c r="P1082" s="5" t="n"/>
    </row>
    <row r="1083">
      <c r="A1083" s="8">
        <f>IF(OR($B1083="",$C1083=""),"",IFERROR(INDEX(PM_Short,MATCH($B1083,PM_ID,0))&amp;"-"&amp;TEXT($C1083,"00"),"?? no such product"))</f>
        <v/>
      </c>
      <c r="B1083" s="5" t="n"/>
      <c r="C1083" s="5" t="n"/>
      <c r="D1083" s="8">
        <f>IF($B1083="","",IFERROR(INDEX(PM_Category,MATCH($B1083,PM_ID,0)),""))</f>
        <v/>
      </c>
      <c r="E1083" s="8">
        <f>IF($B1083="","",IFERROR(INDEX(PM_Subcategory,MATCH($B1083,PM_ID,0)),""))</f>
        <v/>
      </c>
      <c r="F1083" s="8">
        <f>IF($B1083="","",IFERROR(INDEX(PM_Brand,MATCH($B1083,PM_ID,0)),""))</f>
        <v/>
      </c>
      <c r="G1083" s="8">
        <f>IF($B1083="","",IFERROR(INDEX(PM_Model,MATCH($B1083,PM_ID,0)),""))</f>
        <v/>
      </c>
      <c r="H1083" s="5" t="n"/>
      <c r="I1083" s="10" t="n"/>
      <c r="J1083" s="9" t="n"/>
      <c r="K1083" s="5" t="n"/>
      <c r="L1083" s="5" t="n"/>
      <c r="M1083" s="5" t="n"/>
      <c r="N1083" s="5" t="n"/>
      <c r="O1083" s="8">
        <f>IF($B1083="","",IF(AND($A1083&lt;&gt;"",COUNTIF(INV_ID,$A1083)&gt;1),"⚠ this Unit ID already exists",IF(AND($H1083&lt;&gt;"",COUNTIF(INV_Serial,$H1083)&gt;1),"⚠ this serial already exists",IF(COUNTIFS(INV_Product,$B1083,INV_No,$C1083)&gt;1,"⚠ piece number reused",""))))</f>
        <v/>
      </c>
      <c r="P1083" s="5" t="n"/>
    </row>
    <row r="1084">
      <c r="A1084" s="8">
        <f>IF(OR($B1084="",$C1084=""),"",IFERROR(INDEX(PM_Short,MATCH($B1084,PM_ID,0))&amp;"-"&amp;TEXT($C1084,"00"),"?? no such product"))</f>
        <v/>
      </c>
      <c r="B1084" s="5" t="n"/>
      <c r="C1084" s="5" t="n"/>
      <c r="D1084" s="8">
        <f>IF($B1084="","",IFERROR(INDEX(PM_Category,MATCH($B1084,PM_ID,0)),""))</f>
        <v/>
      </c>
      <c r="E1084" s="8">
        <f>IF($B1084="","",IFERROR(INDEX(PM_Subcategory,MATCH($B1084,PM_ID,0)),""))</f>
        <v/>
      </c>
      <c r="F1084" s="8">
        <f>IF($B1084="","",IFERROR(INDEX(PM_Brand,MATCH($B1084,PM_ID,0)),""))</f>
        <v/>
      </c>
      <c r="G1084" s="8">
        <f>IF($B1084="","",IFERROR(INDEX(PM_Model,MATCH($B1084,PM_ID,0)),""))</f>
        <v/>
      </c>
      <c r="H1084" s="5" t="n"/>
      <c r="I1084" s="10" t="n"/>
      <c r="J1084" s="9" t="n"/>
      <c r="K1084" s="5" t="n"/>
      <c r="L1084" s="5" t="n"/>
      <c r="M1084" s="5" t="n"/>
      <c r="N1084" s="5" t="n"/>
      <c r="O1084" s="8">
        <f>IF($B1084="","",IF(AND($A1084&lt;&gt;"",COUNTIF(INV_ID,$A1084)&gt;1),"⚠ this Unit ID already exists",IF(AND($H1084&lt;&gt;"",COUNTIF(INV_Serial,$H1084)&gt;1),"⚠ this serial already exists",IF(COUNTIFS(INV_Product,$B1084,INV_No,$C1084)&gt;1,"⚠ piece number reused",""))))</f>
        <v/>
      </c>
      <c r="P1084" s="5" t="n"/>
    </row>
    <row r="1085">
      <c r="A1085" s="8">
        <f>IF(OR($B1085="",$C1085=""),"",IFERROR(INDEX(PM_Short,MATCH($B1085,PM_ID,0))&amp;"-"&amp;TEXT($C1085,"00"),"?? no such product"))</f>
        <v/>
      </c>
      <c r="B1085" s="5" t="n"/>
      <c r="C1085" s="5" t="n"/>
      <c r="D1085" s="8">
        <f>IF($B1085="","",IFERROR(INDEX(PM_Category,MATCH($B1085,PM_ID,0)),""))</f>
        <v/>
      </c>
      <c r="E1085" s="8">
        <f>IF($B1085="","",IFERROR(INDEX(PM_Subcategory,MATCH($B1085,PM_ID,0)),""))</f>
        <v/>
      </c>
      <c r="F1085" s="8">
        <f>IF($B1085="","",IFERROR(INDEX(PM_Brand,MATCH($B1085,PM_ID,0)),""))</f>
        <v/>
      </c>
      <c r="G1085" s="8">
        <f>IF($B1085="","",IFERROR(INDEX(PM_Model,MATCH($B1085,PM_ID,0)),""))</f>
        <v/>
      </c>
      <c r="H1085" s="5" t="n"/>
      <c r="I1085" s="10" t="n"/>
      <c r="J1085" s="9" t="n"/>
      <c r="K1085" s="5" t="n"/>
      <c r="L1085" s="5" t="n"/>
      <c r="M1085" s="5" t="n"/>
      <c r="N1085" s="5" t="n"/>
      <c r="O1085" s="8">
        <f>IF($B1085="","",IF(AND($A1085&lt;&gt;"",COUNTIF(INV_ID,$A1085)&gt;1),"⚠ this Unit ID already exists",IF(AND($H1085&lt;&gt;"",COUNTIF(INV_Serial,$H1085)&gt;1),"⚠ this serial already exists",IF(COUNTIFS(INV_Product,$B1085,INV_No,$C1085)&gt;1,"⚠ piece number reused",""))))</f>
        <v/>
      </c>
      <c r="P1085" s="5" t="n"/>
    </row>
    <row r="1086">
      <c r="A1086" s="8">
        <f>IF(OR($B1086="",$C1086=""),"",IFERROR(INDEX(PM_Short,MATCH($B1086,PM_ID,0))&amp;"-"&amp;TEXT($C1086,"00"),"?? no such product"))</f>
        <v/>
      </c>
      <c r="B1086" s="5" t="n"/>
      <c r="C1086" s="5" t="n"/>
      <c r="D1086" s="8">
        <f>IF($B1086="","",IFERROR(INDEX(PM_Category,MATCH($B1086,PM_ID,0)),""))</f>
        <v/>
      </c>
      <c r="E1086" s="8">
        <f>IF($B1086="","",IFERROR(INDEX(PM_Subcategory,MATCH($B1086,PM_ID,0)),""))</f>
        <v/>
      </c>
      <c r="F1086" s="8">
        <f>IF($B1086="","",IFERROR(INDEX(PM_Brand,MATCH($B1086,PM_ID,0)),""))</f>
        <v/>
      </c>
      <c r="G1086" s="8">
        <f>IF($B1086="","",IFERROR(INDEX(PM_Model,MATCH($B1086,PM_ID,0)),""))</f>
        <v/>
      </c>
      <c r="H1086" s="5" t="n"/>
      <c r="I1086" s="10" t="n"/>
      <c r="J1086" s="9" t="n"/>
      <c r="K1086" s="5" t="n"/>
      <c r="L1086" s="5" t="n"/>
      <c r="M1086" s="5" t="n"/>
      <c r="N1086" s="5" t="n"/>
      <c r="O1086" s="8">
        <f>IF($B1086="","",IF(AND($A1086&lt;&gt;"",COUNTIF(INV_ID,$A1086)&gt;1),"⚠ this Unit ID already exists",IF(AND($H1086&lt;&gt;"",COUNTIF(INV_Serial,$H1086)&gt;1),"⚠ this serial already exists",IF(COUNTIFS(INV_Product,$B1086,INV_No,$C1086)&gt;1,"⚠ piece number reused",""))))</f>
        <v/>
      </c>
      <c r="P1086" s="5" t="n"/>
    </row>
    <row r="1087">
      <c r="A1087" s="8">
        <f>IF(OR($B1087="",$C1087=""),"",IFERROR(INDEX(PM_Short,MATCH($B1087,PM_ID,0))&amp;"-"&amp;TEXT($C1087,"00"),"?? no such product"))</f>
        <v/>
      </c>
      <c r="B1087" s="5" t="n"/>
      <c r="C1087" s="5" t="n"/>
      <c r="D1087" s="8">
        <f>IF($B1087="","",IFERROR(INDEX(PM_Category,MATCH($B1087,PM_ID,0)),""))</f>
        <v/>
      </c>
      <c r="E1087" s="8">
        <f>IF($B1087="","",IFERROR(INDEX(PM_Subcategory,MATCH($B1087,PM_ID,0)),""))</f>
        <v/>
      </c>
      <c r="F1087" s="8">
        <f>IF($B1087="","",IFERROR(INDEX(PM_Brand,MATCH($B1087,PM_ID,0)),""))</f>
        <v/>
      </c>
      <c r="G1087" s="8">
        <f>IF($B1087="","",IFERROR(INDEX(PM_Model,MATCH($B1087,PM_ID,0)),""))</f>
        <v/>
      </c>
      <c r="H1087" s="5" t="n"/>
      <c r="I1087" s="10" t="n"/>
      <c r="J1087" s="9" t="n"/>
      <c r="K1087" s="5" t="n"/>
      <c r="L1087" s="5" t="n"/>
      <c r="M1087" s="5" t="n"/>
      <c r="N1087" s="5" t="n"/>
      <c r="O1087" s="8">
        <f>IF($B1087="","",IF(AND($A1087&lt;&gt;"",COUNTIF(INV_ID,$A1087)&gt;1),"⚠ this Unit ID already exists",IF(AND($H1087&lt;&gt;"",COUNTIF(INV_Serial,$H1087)&gt;1),"⚠ this serial already exists",IF(COUNTIFS(INV_Product,$B1087,INV_No,$C1087)&gt;1,"⚠ piece number reused",""))))</f>
        <v/>
      </c>
      <c r="P1087" s="5" t="n"/>
    </row>
    <row r="1088">
      <c r="A1088" s="8">
        <f>IF(OR($B1088="",$C1088=""),"",IFERROR(INDEX(PM_Short,MATCH($B1088,PM_ID,0))&amp;"-"&amp;TEXT($C1088,"00"),"?? no such product"))</f>
        <v/>
      </c>
      <c r="B1088" s="5" t="n"/>
      <c r="C1088" s="5" t="n"/>
      <c r="D1088" s="8">
        <f>IF($B1088="","",IFERROR(INDEX(PM_Category,MATCH($B1088,PM_ID,0)),""))</f>
        <v/>
      </c>
      <c r="E1088" s="8">
        <f>IF($B1088="","",IFERROR(INDEX(PM_Subcategory,MATCH($B1088,PM_ID,0)),""))</f>
        <v/>
      </c>
      <c r="F1088" s="8">
        <f>IF($B1088="","",IFERROR(INDEX(PM_Brand,MATCH($B1088,PM_ID,0)),""))</f>
        <v/>
      </c>
      <c r="G1088" s="8">
        <f>IF($B1088="","",IFERROR(INDEX(PM_Model,MATCH($B1088,PM_ID,0)),""))</f>
        <v/>
      </c>
      <c r="H1088" s="5" t="n"/>
      <c r="I1088" s="10" t="n"/>
      <c r="J1088" s="9" t="n"/>
      <c r="K1088" s="5" t="n"/>
      <c r="L1088" s="5" t="n"/>
      <c r="M1088" s="5" t="n"/>
      <c r="N1088" s="5" t="n"/>
      <c r="O1088" s="8">
        <f>IF($B1088="","",IF(AND($A1088&lt;&gt;"",COUNTIF(INV_ID,$A1088)&gt;1),"⚠ this Unit ID already exists",IF(AND($H1088&lt;&gt;"",COUNTIF(INV_Serial,$H1088)&gt;1),"⚠ this serial already exists",IF(COUNTIFS(INV_Product,$B1088,INV_No,$C1088)&gt;1,"⚠ piece number reused",""))))</f>
        <v/>
      </c>
      <c r="P1088" s="5" t="n"/>
    </row>
    <row r="1089">
      <c r="A1089" s="8">
        <f>IF(OR($B1089="",$C1089=""),"",IFERROR(INDEX(PM_Short,MATCH($B1089,PM_ID,0))&amp;"-"&amp;TEXT($C1089,"00"),"?? no such product"))</f>
        <v/>
      </c>
      <c r="B1089" s="5" t="n"/>
      <c r="C1089" s="5" t="n"/>
      <c r="D1089" s="8">
        <f>IF($B1089="","",IFERROR(INDEX(PM_Category,MATCH($B1089,PM_ID,0)),""))</f>
        <v/>
      </c>
      <c r="E1089" s="8">
        <f>IF($B1089="","",IFERROR(INDEX(PM_Subcategory,MATCH($B1089,PM_ID,0)),""))</f>
        <v/>
      </c>
      <c r="F1089" s="8">
        <f>IF($B1089="","",IFERROR(INDEX(PM_Brand,MATCH($B1089,PM_ID,0)),""))</f>
        <v/>
      </c>
      <c r="G1089" s="8">
        <f>IF($B1089="","",IFERROR(INDEX(PM_Model,MATCH($B1089,PM_ID,0)),""))</f>
        <v/>
      </c>
      <c r="H1089" s="5" t="n"/>
      <c r="I1089" s="10" t="n"/>
      <c r="J1089" s="9" t="n"/>
      <c r="K1089" s="5" t="n"/>
      <c r="L1089" s="5" t="n"/>
      <c r="M1089" s="5" t="n"/>
      <c r="N1089" s="5" t="n"/>
      <c r="O1089" s="8">
        <f>IF($B1089="","",IF(AND($A1089&lt;&gt;"",COUNTIF(INV_ID,$A1089)&gt;1),"⚠ this Unit ID already exists",IF(AND($H1089&lt;&gt;"",COUNTIF(INV_Serial,$H1089)&gt;1),"⚠ this serial already exists",IF(COUNTIFS(INV_Product,$B1089,INV_No,$C1089)&gt;1,"⚠ piece number reused",""))))</f>
        <v/>
      </c>
      <c r="P1089" s="5" t="n"/>
    </row>
    <row r="1090">
      <c r="A1090" s="8">
        <f>IF(OR($B1090="",$C1090=""),"",IFERROR(INDEX(PM_Short,MATCH($B1090,PM_ID,0))&amp;"-"&amp;TEXT($C1090,"00"),"?? no such product"))</f>
        <v/>
      </c>
      <c r="B1090" s="5" t="n"/>
      <c r="C1090" s="5" t="n"/>
      <c r="D1090" s="8">
        <f>IF($B1090="","",IFERROR(INDEX(PM_Category,MATCH($B1090,PM_ID,0)),""))</f>
        <v/>
      </c>
      <c r="E1090" s="8">
        <f>IF($B1090="","",IFERROR(INDEX(PM_Subcategory,MATCH($B1090,PM_ID,0)),""))</f>
        <v/>
      </c>
      <c r="F1090" s="8">
        <f>IF($B1090="","",IFERROR(INDEX(PM_Brand,MATCH($B1090,PM_ID,0)),""))</f>
        <v/>
      </c>
      <c r="G1090" s="8">
        <f>IF($B1090="","",IFERROR(INDEX(PM_Model,MATCH($B1090,PM_ID,0)),""))</f>
        <v/>
      </c>
      <c r="H1090" s="5" t="n"/>
      <c r="I1090" s="10" t="n"/>
      <c r="J1090" s="9" t="n"/>
      <c r="K1090" s="5" t="n"/>
      <c r="L1090" s="5" t="n"/>
      <c r="M1090" s="5" t="n"/>
      <c r="N1090" s="5" t="n"/>
      <c r="O1090" s="8">
        <f>IF($B1090="","",IF(AND($A1090&lt;&gt;"",COUNTIF(INV_ID,$A1090)&gt;1),"⚠ this Unit ID already exists",IF(AND($H1090&lt;&gt;"",COUNTIF(INV_Serial,$H1090)&gt;1),"⚠ this serial already exists",IF(COUNTIFS(INV_Product,$B1090,INV_No,$C1090)&gt;1,"⚠ piece number reused",""))))</f>
        <v/>
      </c>
      <c r="P1090" s="5" t="n"/>
    </row>
    <row r="1091">
      <c r="A1091" s="8">
        <f>IF(OR($B1091="",$C1091=""),"",IFERROR(INDEX(PM_Short,MATCH($B1091,PM_ID,0))&amp;"-"&amp;TEXT($C1091,"00"),"?? no such product"))</f>
        <v/>
      </c>
      <c r="B1091" s="5" t="n"/>
      <c r="C1091" s="5" t="n"/>
      <c r="D1091" s="8">
        <f>IF($B1091="","",IFERROR(INDEX(PM_Category,MATCH($B1091,PM_ID,0)),""))</f>
        <v/>
      </c>
      <c r="E1091" s="8">
        <f>IF($B1091="","",IFERROR(INDEX(PM_Subcategory,MATCH($B1091,PM_ID,0)),""))</f>
        <v/>
      </c>
      <c r="F1091" s="8">
        <f>IF($B1091="","",IFERROR(INDEX(PM_Brand,MATCH($B1091,PM_ID,0)),""))</f>
        <v/>
      </c>
      <c r="G1091" s="8">
        <f>IF($B1091="","",IFERROR(INDEX(PM_Model,MATCH($B1091,PM_ID,0)),""))</f>
        <v/>
      </c>
      <c r="H1091" s="5" t="n"/>
      <c r="I1091" s="10" t="n"/>
      <c r="J1091" s="9" t="n"/>
      <c r="K1091" s="5" t="n"/>
      <c r="L1091" s="5" t="n"/>
      <c r="M1091" s="5" t="n"/>
      <c r="N1091" s="5" t="n"/>
      <c r="O1091" s="8">
        <f>IF($B1091="","",IF(AND($A1091&lt;&gt;"",COUNTIF(INV_ID,$A1091)&gt;1),"⚠ this Unit ID already exists",IF(AND($H1091&lt;&gt;"",COUNTIF(INV_Serial,$H1091)&gt;1),"⚠ this serial already exists",IF(COUNTIFS(INV_Product,$B1091,INV_No,$C1091)&gt;1,"⚠ piece number reused",""))))</f>
        <v/>
      </c>
      <c r="P1091" s="5" t="n"/>
    </row>
    <row r="1092">
      <c r="A1092" s="8">
        <f>IF(OR($B1092="",$C1092=""),"",IFERROR(INDEX(PM_Short,MATCH($B1092,PM_ID,0))&amp;"-"&amp;TEXT($C1092,"00"),"?? no such product"))</f>
        <v/>
      </c>
      <c r="B1092" s="5" t="n"/>
      <c r="C1092" s="5" t="n"/>
      <c r="D1092" s="8">
        <f>IF($B1092="","",IFERROR(INDEX(PM_Category,MATCH($B1092,PM_ID,0)),""))</f>
        <v/>
      </c>
      <c r="E1092" s="8">
        <f>IF($B1092="","",IFERROR(INDEX(PM_Subcategory,MATCH($B1092,PM_ID,0)),""))</f>
        <v/>
      </c>
      <c r="F1092" s="8">
        <f>IF($B1092="","",IFERROR(INDEX(PM_Brand,MATCH($B1092,PM_ID,0)),""))</f>
        <v/>
      </c>
      <c r="G1092" s="8">
        <f>IF($B1092="","",IFERROR(INDEX(PM_Model,MATCH($B1092,PM_ID,0)),""))</f>
        <v/>
      </c>
      <c r="H1092" s="5" t="n"/>
      <c r="I1092" s="10" t="n"/>
      <c r="J1092" s="9" t="n"/>
      <c r="K1092" s="5" t="n"/>
      <c r="L1092" s="5" t="n"/>
      <c r="M1092" s="5" t="n"/>
      <c r="N1092" s="5" t="n"/>
      <c r="O1092" s="8">
        <f>IF($B1092="","",IF(AND($A1092&lt;&gt;"",COUNTIF(INV_ID,$A1092)&gt;1),"⚠ this Unit ID already exists",IF(AND($H1092&lt;&gt;"",COUNTIF(INV_Serial,$H1092)&gt;1),"⚠ this serial already exists",IF(COUNTIFS(INV_Product,$B1092,INV_No,$C1092)&gt;1,"⚠ piece number reused",""))))</f>
        <v/>
      </c>
      <c r="P1092" s="5" t="n"/>
    </row>
    <row r="1093">
      <c r="A1093" s="8">
        <f>IF(OR($B1093="",$C1093=""),"",IFERROR(INDEX(PM_Short,MATCH($B1093,PM_ID,0))&amp;"-"&amp;TEXT($C1093,"00"),"?? no such product"))</f>
        <v/>
      </c>
      <c r="B1093" s="5" t="n"/>
      <c r="C1093" s="5" t="n"/>
      <c r="D1093" s="8">
        <f>IF($B1093="","",IFERROR(INDEX(PM_Category,MATCH($B1093,PM_ID,0)),""))</f>
        <v/>
      </c>
      <c r="E1093" s="8">
        <f>IF($B1093="","",IFERROR(INDEX(PM_Subcategory,MATCH($B1093,PM_ID,0)),""))</f>
        <v/>
      </c>
      <c r="F1093" s="8">
        <f>IF($B1093="","",IFERROR(INDEX(PM_Brand,MATCH($B1093,PM_ID,0)),""))</f>
        <v/>
      </c>
      <c r="G1093" s="8">
        <f>IF($B1093="","",IFERROR(INDEX(PM_Model,MATCH($B1093,PM_ID,0)),""))</f>
        <v/>
      </c>
      <c r="H1093" s="5" t="n"/>
      <c r="I1093" s="10" t="n"/>
      <c r="J1093" s="9" t="n"/>
      <c r="K1093" s="5" t="n"/>
      <c r="L1093" s="5" t="n"/>
      <c r="M1093" s="5" t="n"/>
      <c r="N1093" s="5" t="n"/>
      <c r="O1093" s="8">
        <f>IF($B1093="","",IF(AND($A1093&lt;&gt;"",COUNTIF(INV_ID,$A1093)&gt;1),"⚠ this Unit ID already exists",IF(AND($H1093&lt;&gt;"",COUNTIF(INV_Serial,$H1093)&gt;1),"⚠ this serial already exists",IF(COUNTIFS(INV_Product,$B1093,INV_No,$C1093)&gt;1,"⚠ piece number reused",""))))</f>
        <v/>
      </c>
      <c r="P1093" s="5" t="n"/>
    </row>
    <row r="1094">
      <c r="A1094" s="8">
        <f>IF(OR($B1094="",$C1094=""),"",IFERROR(INDEX(PM_Short,MATCH($B1094,PM_ID,0))&amp;"-"&amp;TEXT($C1094,"00"),"?? no such product"))</f>
        <v/>
      </c>
      <c r="B1094" s="5" t="n"/>
      <c r="C1094" s="5" t="n"/>
      <c r="D1094" s="8">
        <f>IF($B1094="","",IFERROR(INDEX(PM_Category,MATCH($B1094,PM_ID,0)),""))</f>
        <v/>
      </c>
      <c r="E1094" s="8">
        <f>IF($B1094="","",IFERROR(INDEX(PM_Subcategory,MATCH($B1094,PM_ID,0)),""))</f>
        <v/>
      </c>
      <c r="F1094" s="8">
        <f>IF($B1094="","",IFERROR(INDEX(PM_Brand,MATCH($B1094,PM_ID,0)),""))</f>
        <v/>
      </c>
      <c r="G1094" s="8">
        <f>IF($B1094="","",IFERROR(INDEX(PM_Model,MATCH($B1094,PM_ID,0)),""))</f>
        <v/>
      </c>
      <c r="H1094" s="5" t="n"/>
      <c r="I1094" s="10" t="n"/>
      <c r="J1094" s="9" t="n"/>
      <c r="K1094" s="5" t="n"/>
      <c r="L1094" s="5" t="n"/>
      <c r="M1094" s="5" t="n"/>
      <c r="N1094" s="5" t="n"/>
      <c r="O1094" s="8">
        <f>IF($B1094="","",IF(AND($A1094&lt;&gt;"",COUNTIF(INV_ID,$A1094)&gt;1),"⚠ this Unit ID already exists",IF(AND($H1094&lt;&gt;"",COUNTIF(INV_Serial,$H1094)&gt;1),"⚠ this serial already exists",IF(COUNTIFS(INV_Product,$B1094,INV_No,$C1094)&gt;1,"⚠ piece number reused",""))))</f>
        <v/>
      </c>
      <c r="P1094" s="5" t="n"/>
    </row>
    <row r="1095">
      <c r="A1095" s="8">
        <f>IF(OR($B1095="",$C1095=""),"",IFERROR(INDEX(PM_Short,MATCH($B1095,PM_ID,0))&amp;"-"&amp;TEXT($C1095,"00"),"?? no such product"))</f>
        <v/>
      </c>
      <c r="B1095" s="5" t="n"/>
      <c r="C1095" s="5" t="n"/>
      <c r="D1095" s="8">
        <f>IF($B1095="","",IFERROR(INDEX(PM_Category,MATCH($B1095,PM_ID,0)),""))</f>
        <v/>
      </c>
      <c r="E1095" s="8">
        <f>IF($B1095="","",IFERROR(INDEX(PM_Subcategory,MATCH($B1095,PM_ID,0)),""))</f>
        <v/>
      </c>
      <c r="F1095" s="8">
        <f>IF($B1095="","",IFERROR(INDEX(PM_Brand,MATCH($B1095,PM_ID,0)),""))</f>
        <v/>
      </c>
      <c r="G1095" s="8">
        <f>IF($B1095="","",IFERROR(INDEX(PM_Model,MATCH($B1095,PM_ID,0)),""))</f>
        <v/>
      </c>
      <c r="H1095" s="5" t="n"/>
      <c r="I1095" s="10" t="n"/>
      <c r="J1095" s="9" t="n"/>
      <c r="K1095" s="5" t="n"/>
      <c r="L1095" s="5" t="n"/>
      <c r="M1095" s="5" t="n"/>
      <c r="N1095" s="5" t="n"/>
      <c r="O1095" s="8">
        <f>IF($B1095="","",IF(AND($A1095&lt;&gt;"",COUNTIF(INV_ID,$A1095)&gt;1),"⚠ this Unit ID already exists",IF(AND($H1095&lt;&gt;"",COUNTIF(INV_Serial,$H1095)&gt;1),"⚠ this serial already exists",IF(COUNTIFS(INV_Product,$B1095,INV_No,$C1095)&gt;1,"⚠ piece number reused",""))))</f>
        <v/>
      </c>
      <c r="P1095" s="5" t="n"/>
    </row>
    <row r="1096">
      <c r="A1096" s="8">
        <f>IF(OR($B1096="",$C1096=""),"",IFERROR(INDEX(PM_Short,MATCH($B1096,PM_ID,0))&amp;"-"&amp;TEXT($C1096,"00"),"?? no such product"))</f>
        <v/>
      </c>
      <c r="B1096" s="5" t="n"/>
      <c r="C1096" s="5" t="n"/>
      <c r="D1096" s="8">
        <f>IF($B1096="","",IFERROR(INDEX(PM_Category,MATCH($B1096,PM_ID,0)),""))</f>
        <v/>
      </c>
      <c r="E1096" s="8">
        <f>IF($B1096="","",IFERROR(INDEX(PM_Subcategory,MATCH($B1096,PM_ID,0)),""))</f>
        <v/>
      </c>
      <c r="F1096" s="8">
        <f>IF($B1096="","",IFERROR(INDEX(PM_Brand,MATCH($B1096,PM_ID,0)),""))</f>
        <v/>
      </c>
      <c r="G1096" s="8">
        <f>IF($B1096="","",IFERROR(INDEX(PM_Model,MATCH($B1096,PM_ID,0)),""))</f>
        <v/>
      </c>
      <c r="H1096" s="5" t="n"/>
      <c r="I1096" s="10" t="n"/>
      <c r="J1096" s="9" t="n"/>
      <c r="K1096" s="5" t="n"/>
      <c r="L1096" s="5" t="n"/>
      <c r="M1096" s="5" t="n"/>
      <c r="N1096" s="5" t="n"/>
      <c r="O1096" s="8">
        <f>IF($B1096="","",IF(AND($A1096&lt;&gt;"",COUNTIF(INV_ID,$A1096)&gt;1),"⚠ this Unit ID already exists",IF(AND($H1096&lt;&gt;"",COUNTIF(INV_Serial,$H1096)&gt;1),"⚠ this serial already exists",IF(COUNTIFS(INV_Product,$B1096,INV_No,$C1096)&gt;1,"⚠ piece number reused",""))))</f>
        <v/>
      </c>
      <c r="P1096" s="5" t="n"/>
    </row>
    <row r="1097">
      <c r="A1097" s="8">
        <f>IF(OR($B1097="",$C1097=""),"",IFERROR(INDEX(PM_Short,MATCH($B1097,PM_ID,0))&amp;"-"&amp;TEXT($C1097,"00"),"?? no such product"))</f>
        <v/>
      </c>
      <c r="B1097" s="5" t="n"/>
      <c r="C1097" s="5" t="n"/>
      <c r="D1097" s="8">
        <f>IF($B1097="","",IFERROR(INDEX(PM_Category,MATCH($B1097,PM_ID,0)),""))</f>
        <v/>
      </c>
      <c r="E1097" s="8">
        <f>IF($B1097="","",IFERROR(INDEX(PM_Subcategory,MATCH($B1097,PM_ID,0)),""))</f>
        <v/>
      </c>
      <c r="F1097" s="8">
        <f>IF($B1097="","",IFERROR(INDEX(PM_Brand,MATCH($B1097,PM_ID,0)),""))</f>
        <v/>
      </c>
      <c r="G1097" s="8">
        <f>IF($B1097="","",IFERROR(INDEX(PM_Model,MATCH($B1097,PM_ID,0)),""))</f>
        <v/>
      </c>
      <c r="H1097" s="5" t="n"/>
      <c r="I1097" s="10" t="n"/>
      <c r="J1097" s="9" t="n"/>
      <c r="K1097" s="5" t="n"/>
      <c r="L1097" s="5" t="n"/>
      <c r="M1097" s="5" t="n"/>
      <c r="N1097" s="5" t="n"/>
      <c r="O1097" s="8">
        <f>IF($B1097="","",IF(AND($A1097&lt;&gt;"",COUNTIF(INV_ID,$A1097)&gt;1),"⚠ this Unit ID already exists",IF(AND($H1097&lt;&gt;"",COUNTIF(INV_Serial,$H1097)&gt;1),"⚠ this serial already exists",IF(COUNTIFS(INV_Product,$B1097,INV_No,$C1097)&gt;1,"⚠ piece number reused",""))))</f>
        <v/>
      </c>
      <c r="P1097" s="5" t="n"/>
    </row>
    <row r="1098">
      <c r="A1098" s="8">
        <f>IF(OR($B1098="",$C1098=""),"",IFERROR(INDEX(PM_Short,MATCH($B1098,PM_ID,0))&amp;"-"&amp;TEXT($C1098,"00"),"?? no such product"))</f>
        <v/>
      </c>
      <c r="B1098" s="5" t="n"/>
      <c r="C1098" s="5" t="n"/>
      <c r="D1098" s="8">
        <f>IF($B1098="","",IFERROR(INDEX(PM_Category,MATCH($B1098,PM_ID,0)),""))</f>
        <v/>
      </c>
      <c r="E1098" s="8">
        <f>IF($B1098="","",IFERROR(INDEX(PM_Subcategory,MATCH($B1098,PM_ID,0)),""))</f>
        <v/>
      </c>
      <c r="F1098" s="8">
        <f>IF($B1098="","",IFERROR(INDEX(PM_Brand,MATCH($B1098,PM_ID,0)),""))</f>
        <v/>
      </c>
      <c r="G1098" s="8">
        <f>IF($B1098="","",IFERROR(INDEX(PM_Model,MATCH($B1098,PM_ID,0)),""))</f>
        <v/>
      </c>
      <c r="H1098" s="5" t="n"/>
      <c r="I1098" s="10" t="n"/>
      <c r="J1098" s="9" t="n"/>
      <c r="K1098" s="5" t="n"/>
      <c r="L1098" s="5" t="n"/>
      <c r="M1098" s="5" t="n"/>
      <c r="N1098" s="5" t="n"/>
      <c r="O1098" s="8">
        <f>IF($B1098="","",IF(AND($A1098&lt;&gt;"",COUNTIF(INV_ID,$A1098)&gt;1),"⚠ this Unit ID already exists",IF(AND($H1098&lt;&gt;"",COUNTIF(INV_Serial,$H1098)&gt;1),"⚠ this serial already exists",IF(COUNTIFS(INV_Product,$B1098,INV_No,$C1098)&gt;1,"⚠ piece number reused",""))))</f>
        <v/>
      </c>
      <c r="P1098" s="5" t="n"/>
    </row>
    <row r="1099">
      <c r="A1099" s="8">
        <f>IF(OR($B1099="",$C1099=""),"",IFERROR(INDEX(PM_Short,MATCH($B1099,PM_ID,0))&amp;"-"&amp;TEXT($C1099,"00"),"?? no such product"))</f>
        <v/>
      </c>
      <c r="B1099" s="5" t="n"/>
      <c r="C1099" s="5" t="n"/>
      <c r="D1099" s="8">
        <f>IF($B1099="","",IFERROR(INDEX(PM_Category,MATCH($B1099,PM_ID,0)),""))</f>
        <v/>
      </c>
      <c r="E1099" s="8">
        <f>IF($B1099="","",IFERROR(INDEX(PM_Subcategory,MATCH($B1099,PM_ID,0)),""))</f>
        <v/>
      </c>
      <c r="F1099" s="8">
        <f>IF($B1099="","",IFERROR(INDEX(PM_Brand,MATCH($B1099,PM_ID,0)),""))</f>
        <v/>
      </c>
      <c r="G1099" s="8">
        <f>IF($B1099="","",IFERROR(INDEX(PM_Model,MATCH($B1099,PM_ID,0)),""))</f>
        <v/>
      </c>
      <c r="H1099" s="5" t="n"/>
      <c r="I1099" s="10" t="n"/>
      <c r="J1099" s="9" t="n"/>
      <c r="K1099" s="5" t="n"/>
      <c r="L1099" s="5" t="n"/>
      <c r="M1099" s="5" t="n"/>
      <c r="N1099" s="5" t="n"/>
      <c r="O1099" s="8">
        <f>IF($B1099="","",IF(AND($A1099&lt;&gt;"",COUNTIF(INV_ID,$A1099)&gt;1),"⚠ this Unit ID already exists",IF(AND($H1099&lt;&gt;"",COUNTIF(INV_Serial,$H1099)&gt;1),"⚠ this serial already exists",IF(COUNTIFS(INV_Product,$B1099,INV_No,$C1099)&gt;1,"⚠ piece number reused",""))))</f>
        <v/>
      </c>
      <c r="P1099" s="5" t="n"/>
    </row>
    <row r="1100">
      <c r="A1100" s="8">
        <f>IF(OR($B1100="",$C1100=""),"",IFERROR(INDEX(PM_Short,MATCH($B1100,PM_ID,0))&amp;"-"&amp;TEXT($C1100,"00"),"?? no such product"))</f>
        <v/>
      </c>
      <c r="B1100" s="5" t="n"/>
      <c r="C1100" s="5" t="n"/>
      <c r="D1100" s="8">
        <f>IF($B1100="","",IFERROR(INDEX(PM_Category,MATCH($B1100,PM_ID,0)),""))</f>
        <v/>
      </c>
      <c r="E1100" s="8">
        <f>IF($B1100="","",IFERROR(INDEX(PM_Subcategory,MATCH($B1100,PM_ID,0)),""))</f>
        <v/>
      </c>
      <c r="F1100" s="8">
        <f>IF($B1100="","",IFERROR(INDEX(PM_Brand,MATCH($B1100,PM_ID,0)),""))</f>
        <v/>
      </c>
      <c r="G1100" s="8">
        <f>IF($B1100="","",IFERROR(INDEX(PM_Model,MATCH($B1100,PM_ID,0)),""))</f>
        <v/>
      </c>
      <c r="H1100" s="5" t="n"/>
      <c r="I1100" s="10" t="n"/>
      <c r="J1100" s="9" t="n"/>
      <c r="K1100" s="5" t="n"/>
      <c r="L1100" s="5" t="n"/>
      <c r="M1100" s="5" t="n"/>
      <c r="N1100" s="5" t="n"/>
      <c r="O1100" s="8">
        <f>IF($B1100="","",IF(AND($A1100&lt;&gt;"",COUNTIF(INV_ID,$A1100)&gt;1),"⚠ this Unit ID already exists",IF(AND($H1100&lt;&gt;"",COUNTIF(INV_Serial,$H1100)&gt;1),"⚠ this serial already exists",IF(COUNTIFS(INV_Product,$B1100,INV_No,$C1100)&gt;1,"⚠ piece number reused",""))))</f>
        <v/>
      </c>
      <c r="P1100" s="5" t="n"/>
    </row>
    <row r="1101">
      <c r="A1101" s="8">
        <f>IF(OR($B1101="",$C1101=""),"",IFERROR(INDEX(PM_Short,MATCH($B1101,PM_ID,0))&amp;"-"&amp;TEXT($C1101,"00"),"?? no such product"))</f>
        <v/>
      </c>
      <c r="B1101" s="5" t="n"/>
      <c r="C1101" s="5" t="n"/>
      <c r="D1101" s="8">
        <f>IF($B1101="","",IFERROR(INDEX(PM_Category,MATCH($B1101,PM_ID,0)),""))</f>
        <v/>
      </c>
      <c r="E1101" s="8">
        <f>IF($B1101="","",IFERROR(INDEX(PM_Subcategory,MATCH($B1101,PM_ID,0)),""))</f>
        <v/>
      </c>
      <c r="F1101" s="8">
        <f>IF($B1101="","",IFERROR(INDEX(PM_Brand,MATCH($B1101,PM_ID,0)),""))</f>
        <v/>
      </c>
      <c r="G1101" s="8">
        <f>IF($B1101="","",IFERROR(INDEX(PM_Model,MATCH($B1101,PM_ID,0)),""))</f>
        <v/>
      </c>
      <c r="H1101" s="5" t="n"/>
      <c r="I1101" s="10" t="n"/>
      <c r="J1101" s="9" t="n"/>
      <c r="K1101" s="5" t="n"/>
      <c r="L1101" s="5" t="n"/>
      <c r="M1101" s="5" t="n"/>
      <c r="N1101" s="5" t="n"/>
      <c r="O1101" s="8">
        <f>IF($B1101="","",IF(AND($A1101&lt;&gt;"",COUNTIF(INV_ID,$A1101)&gt;1),"⚠ this Unit ID already exists",IF(AND($H1101&lt;&gt;"",COUNTIF(INV_Serial,$H1101)&gt;1),"⚠ this serial already exists",IF(COUNTIFS(INV_Product,$B1101,INV_No,$C1101)&gt;1,"⚠ piece number reused",""))))</f>
        <v/>
      </c>
      <c r="P1101" s="5" t="n"/>
    </row>
    <row r="1102">
      <c r="A1102" s="8">
        <f>IF(OR($B1102="",$C1102=""),"",IFERROR(INDEX(PM_Short,MATCH($B1102,PM_ID,0))&amp;"-"&amp;TEXT($C1102,"00"),"?? no such product"))</f>
        <v/>
      </c>
      <c r="B1102" s="5" t="n"/>
      <c r="C1102" s="5" t="n"/>
      <c r="D1102" s="8">
        <f>IF($B1102="","",IFERROR(INDEX(PM_Category,MATCH($B1102,PM_ID,0)),""))</f>
        <v/>
      </c>
      <c r="E1102" s="8">
        <f>IF($B1102="","",IFERROR(INDEX(PM_Subcategory,MATCH($B1102,PM_ID,0)),""))</f>
        <v/>
      </c>
      <c r="F1102" s="8">
        <f>IF($B1102="","",IFERROR(INDEX(PM_Brand,MATCH($B1102,PM_ID,0)),""))</f>
        <v/>
      </c>
      <c r="G1102" s="8">
        <f>IF($B1102="","",IFERROR(INDEX(PM_Model,MATCH($B1102,PM_ID,0)),""))</f>
        <v/>
      </c>
      <c r="H1102" s="5" t="n"/>
      <c r="I1102" s="10" t="n"/>
      <c r="J1102" s="9" t="n"/>
      <c r="K1102" s="5" t="n"/>
      <c r="L1102" s="5" t="n"/>
      <c r="M1102" s="5" t="n"/>
      <c r="N1102" s="5" t="n"/>
      <c r="O1102" s="8">
        <f>IF($B1102="","",IF(AND($A1102&lt;&gt;"",COUNTIF(INV_ID,$A1102)&gt;1),"⚠ this Unit ID already exists",IF(AND($H1102&lt;&gt;"",COUNTIF(INV_Serial,$H1102)&gt;1),"⚠ this serial already exists",IF(COUNTIFS(INV_Product,$B1102,INV_No,$C1102)&gt;1,"⚠ piece number reused",""))))</f>
        <v/>
      </c>
      <c r="P1102" s="5" t="n"/>
    </row>
    <row r="1103">
      <c r="A1103" s="8">
        <f>IF(OR($B1103="",$C1103=""),"",IFERROR(INDEX(PM_Short,MATCH($B1103,PM_ID,0))&amp;"-"&amp;TEXT($C1103,"00"),"?? no such product"))</f>
        <v/>
      </c>
      <c r="B1103" s="5" t="n"/>
      <c r="C1103" s="5" t="n"/>
      <c r="D1103" s="8">
        <f>IF($B1103="","",IFERROR(INDEX(PM_Category,MATCH($B1103,PM_ID,0)),""))</f>
        <v/>
      </c>
      <c r="E1103" s="8">
        <f>IF($B1103="","",IFERROR(INDEX(PM_Subcategory,MATCH($B1103,PM_ID,0)),""))</f>
        <v/>
      </c>
      <c r="F1103" s="8">
        <f>IF($B1103="","",IFERROR(INDEX(PM_Brand,MATCH($B1103,PM_ID,0)),""))</f>
        <v/>
      </c>
      <c r="G1103" s="8">
        <f>IF($B1103="","",IFERROR(INDEX(PM_Model,MATCH($B1103,PM_ID,0)),""))</f>
        <v/>
      </c>
      <c r="H1103" s="5" t="n"/>
      <c r="I1103" s="10" t="n"/>
      <c r="J1103" s="9" t="n"/>
      <c r="K1103" s="5" t="n"/>
      <c r="L1103" s="5" t="n"/>
      <c r="M1103" s="5" t="n"/>
      <c r="N1103" s="5" t="n"/>
      <c r="O1103" s="8">
        <f>IF($B1103="","",IF(AND($A1103&lt;&gt;"",COUNTIF(INV_ID,$A1103)&gt;1),"⚠ this Unit ID already exists",IF(AND($H1103&lt;&gt;"",COUNTIF(INV_Serial,$H1103)&gt;1),"⚠ this serial already exists",IF(COUNTIFS(INV_Product,$B1103,INV_No,$C1103)&gt;1,"⚠ piece number reused",""))))</f>
        <v/>
      </c>
      <c r="P1103" s="5" t="n"/>
    </row>
    <row r="1104">
      <c r="A1104" s="8">
        <f>IF(OR($B1104="",$C1104=""),"",IFERROR(INDEX(PM_Short,MATCH($B1104,PM_ID,0))&amp;"-"&amp;TEXT($C1104,"00"),"?? no such product"))</f>
        <v/>
      </c>
      <c r="B1104" s="5" t="n"/>
      <c r="C1104" s="5" t="n"/>
      <c r="D1104" s="8">
        <f>IF($B1104="","",IFERROR(INDEX(PM_Category,MATCH($B1104,PM_ID,0)),""))</f>
        <v/>
      </c>
      <c r="E1104" s="8">
        <f>IF($B1104="","",IFERROR(INDEX(PM_Subcategory,MATCH($B1104,PM_ID,0)),""))</f>
        <v/>
      </c>
      <c r="F1104" s="8">
        <f>IF($B1104="","",IFERROR(INDEX(PM_Brand,MATCH($B1104,PM_ID,0)),""))</f>
        <v/>
      </c>
      <c r="G1104" s="8">
        <f>IF($B1104="","",IFERROR(INDEX(PM_Model,MATCH($B1104,PM_ID,0)),""))</f>
        <v/>
      </c>
      <c r="H1104" s="5" t="n"/>
      <c r="I1104" s="10" t="n"/>
      <c r="J1104" s="9" t="n"/>
      <c r="K1104" s="5" t="n"/>
      <c r="L1104" s="5" t="n"/>
      <c r="M1104" s="5" t="n"/>
      <c r="N1104" s="5" t="n"/>
      <c r="O1104" s="8">
        <f>IF($B1104="","",IF(AND($A1104&lt;&gt;"",COUNTIF(INV_ID,$A1104)&gt;1),"⚠ this Unit ID already exists",IF(AND($H1104&lt;&gt;"",COUNTIF(INV_Serial,$H1104)&gt;1),"⚠ this serial already exists",IF(COUNTIFS(INV_Product,$B1104,INV_No,$C1104)&gt;1,"⚠ piece number reused",""))))</f>
        <v/>
      </c>
      <c r="P1104" s="5" t="n"/>
    </row>
    <row r="1105">
      <c r="A1105" s="8">
        <f>IF(OR($B1105="",$C1105=""),"",IFERROR(INDEX(PM_Short,MATCH($B1105,PM_ID,0))&amp;"-"&amp;TEXT($C1105,"00"),"?? no such product"))</f>
        <v/>
      </c>
      <c r="B1105" s="5" t="n"/>
      <c r="C1105" s="5" t="n"/>
      <c r="D1105" s="8">
        <f>IF($B1105="","",IFERROR(INDEX(PM_Category,MATCH($B1105,PM_ID,0)),""))</f>
        <v/>
      </c>
      <c r="E1105" s="8">
        <f>IF($B1105="","",IFERROR(INDEX(PM_Subcategory,MATCH($B1105,PM_ID,0)),""))</f>
        <v/>
      </c>
      <c r="F1105" s="8">
        <f>IF($B1105="","",IFERROR(INDEX(PM_Brand,MATCH($B1105,PM_ID,0)),""))</f>
        <v/>
      </c>
      <c r="G1105" s="8">
        <f>IF($B1105="","",IFERROR(INDEX(PM_Model,MATCH($B1105,PM_ID,0)),""))</f>
        <v/>
      </c>
      <c r="H1105" s="5" t="n"/>
      <c r="I1105" s="10" t="n"/>
      <c r="J1105" s="9" t="n"/>
      <c r="K1105" s="5" t="n"/>
      <c r="L1105" s="5" t="n"/>
      <c r="M1105" s="5" t="n"/>
      <c r="N1105" s="5" t="n"/>
      <c r="O1105" s="8">
        <f>IF($B1105="","",IF(AND($A1105&lt;&gt;"",COUNTIF(INV_ID,$A1105)&gt;1),"⚠ this Unit ID already exists",IF(AND($H1105&lt;&gt;"",COUNTIF(INV_Serial,$H1105)&gt;1),"⚠ this serial already exists",IF(COUNTIFS(INV_Product,$B1105,INV_No,$C1105)&gt;1,"⚠ piece number reused",""))))</f>
        <v/>
      </c>
      <c r="P1105" s="5" t="n"/>
    </row>
    <row r="1106">
      <c r="A1106" s="8">
        <f>IF(OR($B1106="",$C1106=""),"",IFERROR(INDEX(PM_Short,MATCH($B1106,PM_ID,0))&amp;"-"&amp;TEXT($C1106,"00"),"?? no such product"))</f>
        <v/>
      </c>
      <c r="B1106" s="5" t="n"/>
      <c r="C1106" s="5" t="n"/>
      <c r="D1106" s="8">
        <f>IF($B1106="","",IFERROR(INDEX(PM_Category,MATCH($B1106,PM_ID,0)),""))</f>
        <v/>
      </c>
      <c r="E1106" s="8">
        <f>IF($B1106="","",IFERROR(INDEX(PM_Subcategory,MATCH($B1106,PM_ID,0)),""))</f>
        <v/>
      </c>
      <c r="F1106" s="8">
        <f>IF($B1106="","",IFERROR(INDEX(PM_Brand,MATCH($B1106,PM_ID,0)),""))</f>
        <v/>
      </c>
      <c r="G1106" s="8">
        <f>IF($B1106="","",IFERROR(INDEX(PM_Model,MATCH($B1106,PM_ID,0)),""))</f>
        <v/>
      </c>
      <c r="H1106" s="5" t="n"/>
      <c r="I1106" s="10" t="n"/>
      <c r="J1106" s="9" t="n"/>
      <c r="K1106" s="5" t="n"/>
      <c r="L1106" s="5" t="n"/>
      <c r="M1106" s="5" t="n"/>
      <c r="N1106" s="5" t="n"/>
      <c r="O1106" s="8">
        <f>IF($B1106="","",IF(AND($A1106&lt;&gt;"",COUNTIF(INV_ID,$A1106)&gt;1),"⚠ this Unit ID already exists",IF(AND($H1106&lt;&gt;"",COUNTIF(INV_Serial,$H1106)&gt;1),"⚠ this serial already exists",IF(COUNTIFS(INV_Product,$B1106,INV_No,$C1106)&gt;1,"⚠ piece number reused",""))))</f>
        <v/>
      </c>
      <c r="P1106" s="5" t="n"/>
    </row>
    <row r="1107">
      <c r="A1107" s="8">
        <f>IF(OR($B1107="",$C1107=""),"",IFERROR(INDEX(PM_Short,MATCH($B1107,PM_ID,0))&amp;"-"&amp;TEXT($C1107,"00"),"?? no such product"))</f>
        <v/>
      </c>
      <c r="B1107" s="5" t="n"/>
      <c r="C1107" s="5" t="n"/>
      <c r="D1107" s="8">
        <f>IF($B1107="","",IFERROR(INDEX(PM_Category,MATCH($B1107,PM_ID,0)),""))</f>
        <v/>
      </c>
      <c r="E1107" s="8">
        <f>IF($B1107="","",IFERROR(INDEX(PM_Subcategory,MATCH($B1107,PM_ID,0)),""))</f>
        <v/>
      </c>
      <c r="F1107" s="8">
        <f>IF($B1107="","",IFERROR(INDEX(PM_Brand,MATCH($B1107,PM_ID,0)),""))</f>
        <v/>
      </c>
      <c r="G1107" s="8">
        <f>IF($B1107="","",IFERROR(INDEX(PM_Model,MATCH($B1107,PM_ID,0)),""))</f>
        <v/>
      </c>
      <c r="H1107" s="5" t="n"/>
      <c r="I1107" s="10" t="n"/>
      <c r="J1107" s="9" t="n"/>
      <c r="K1107" s="5" t="n"/>
      <c r="L1107" s="5" t="n"/>
      <c r="M1107" s="5" t="n"/>
      <c r="N1107" s="5" t="n"/>
      <c r="O1107" s="8">
        <f>IF($B1107="","",IF(AND($A1107&lt;&gt;"",COUNTIF(INV_ID,$A1107)&gt;1),"⚠ this Unit ID already exists",IF(AND($H1107&lt;&gt;"",COUNTIF(INV_Serial,$H1107)&gt;1),"⚠ this serial already exists",IF(COUNTIFS(INV_Product,$B1107,INV_No,$C1107)&gt;1,"⚠ piece number reused",""))))</f>
        <v/>
      </c>
      <c r="P1107" s="5" t="n"/>
    </row>
    <row r="1108">
      <c r="A1108" s="8">
        <f>IF(OR($B1108="",$C1108=""),"",IFERROR(INDEX(PM_Short,MATCH($B1108,PM_ID,0))&amp;"-"&amp;TEXT($C1108,"00"),"?? no such product"))</f>
        <v/>
      </c>
      <c r="B1108" s="5" t="n"/>
      <c r="C1108" s="5" t="n"/>
      <c r="D1108" s="8">
        <f>IF($B1108="","",IFERROR(INDEX(PM_Category,MATCH($B1108,PM_ID,0)),""))</f>
        <v/>
      </c>
      <c r="E1108" s="8">
        <f>IF($B1108="","",IFERROR(INDEX(PM_Subcategory,MATCH($B1108,PM_ID,0)),""))</f>
        <v/>
      </c>
      <c r="F1108" s="8">
        <f>IF($B1108="","",IFERROR(INDEX(PM_Brand,MATCH($B1108,PM_ID,0)),""))</f>
        <v/>
      </c>
      <c r="G1108" s="8">
        <f>IF($B1108="","",IFERROR(INDEX(PM_Model,MATCH($B1108,PM_ID,0)),""))</f>
        <v/>
      </c>
      <c r="H1108" s="5" t="n"/>
      <c r="I1108" s="10" t="n"/>
      <c r="J1108" s="9" t="n"/>
      <c r="K1108" s="5" t="n"/>
      <c r="L1108" s="5" t="n"/>
      <c r="M1108" s="5" t="n"/>
      <c r="N1108" s="5" t="n"/>
      <c r="O1108" s="8">
        <f>IF($B1108="","",IF(AND($A1108&lt;&gt;"",COUNTIF(INV_ID,$A1108)&gt;1),"⚠ this Unit ID already exists",IF(AND($H1108&lt;&gt;"",COUNTIF(INV_Serial,$H1108)&gt;1),"⚠ this serial already exists",IF(COUNTIFS(INV_Product,$B1108,INV_No,$C1108)&gt;1,"⚠ piece number reused",""))))</f>
        <v/>
      </c>
      <c r="P1108" s="5" t="n"/>
    </row>
    <row r="1109">
      <c r="A1109" s="8">
        <f>IF(OR($B1109="",$C1109=""),"",IFERROR(INDEX(PM_Short,MATCH($B1109,PM_ID,0))&amp;"-"&amp;TEXT($C1109,"00"),"?? no such product"))</f>
        <v/>
      </c>
      <c r="B1109" s="5" t="n"/>
      <c r="C1109" s="5" t="n"/>
      <c r="D1109" s="8">
        <f>IF($B1109="","",IFERROR(INDEX(PM_Category,MATCH($B1109,PM_ID,0)),""))</f>
        <v/>
      </c>
      <c r="E1109" s="8">
        <f>IF($B1109="","",IFERROR(INDEX(PM_Subcategory,MATCH($B1109,PM_ID,0)),""))</f>
        <v/>
      </c>
      <c r="F1109" s="8">
        <f>IF($B1109="","",IFERROR(INDEX(PM_Brand,MATCH($B1109,PM_ID,0)),""))</f>
        <v/>
      </c>
      <c r="G1109" s="8">
        <f>IF($B1109="","",IFERROR(INDEX(PM_Model,MATCH($B1109,PM_ID,0)),""))</f>
        <v/>
      </c>
      <c r="H1109" s="5" t="n"/>
      <c r="I1109" s="10" t="n"/>
      <c r="J1109" s="9" t="n"/>
      <c r="K1109" s="5" t="n"/>
      <c r="L1109" s="5" t="n"/>
      <c r="M1109" s="5" t="n"/>
      <c r="N1109" s="5" t="n"/>
      <c r="O1109" s="8">
        <f>IF($B1109="","",IF(AND($A1109&lt;&gt;"",COUNTIF(INV_ID,$A1109)&gt;1),"⚠ this Unit ID already exists",IF(AND($H1109&lt;&gt;"",COUNTIF(INV_Serial,$H1109)&gt;1),"⚠ this serial already exists",IF(COUNTIFS(INV_Product,$B1109,INV_No,$C1109)&gt;1,"⚠ piece number reused",""))))</f>
        <v/>
      </c>
      <c r="P1109" s="5" t="n"/>
    </row>
    <row r="1110">
      <c r="A1110" s="8">
        <f>IF(OR($B1110="",$C1110=""),"",IFERROR(INDEX(PM_Short,MATCH($B1110,PM_ID,0))&amp;"-"&amp;TEXT($C1110,"00"),"?? no such product"))</f>
        <v/>
      </c>
      <c r="B1110" s="5" t="n"/>
      <c r="C1110" s="5" t="n"/>
      <c r="D1110" s="8">
        <f>IF($B1110="","",IFERROR(INDEX(PM_Category,MATCH($B1110,PM_ID,0)),""))</f>
        <v/>
      </c>
      <c r="E1110" s="8">
        <f>IF($B1110="","",IFERROR(INDEX(PM_Subcategory,MATCH($B1110,PM_ID,0)),""))</f>
        <v/>
      </c>
      <c r="F1110" s="8">
        <f>IF($B1110="","",IFERROR(INDEX(PM_Brand,MATCH($B1110,PM_ID,0)),""))</f>
        <v/>
      </c>
      <c r="G1110" s="8">
        <f>IF($B1110="","",IFERROR(INDEX(PM_Model,MATCH($B1110,PM_ID,0)),""))</f>
        <v/>
      </c>
      <c r="H1110" s="5" t="n"/>
      <c r="I1110" s="10" t="n"/>
      <c r="J1110" s="9" t="n"/>
      <c r="K1110" s="5" t="n"/>
      <c r="L1110" s="5" t="n"/>
      <c r="M1110" s="5" t="n"/>
      <c r="N1110" s="5" t="n"/>
      <c r="O1110" s="8">
        <f>IF($B1110="","",IF(AND($A1110&lt;&gt;"",COUNTIF(INV_ID,$A1110)&gt;1),"⚠ this Unit ID already exists",IF(AND($H1110&lt;&gt;"",COUNTIF(INV_Serial,$H1110)&gt;1),"⚠ this serial already exists",IF(COUNTIFS(INV_Product,$B1110,INV_No,$C1110)&gt;1,"⚠ piece number reused",""))))</f>
        <v/>
      </c>
      <c r="P1110" s="5" t="n"/>
    </row>
    <row r="1111">
      <c r="A1111" s="8">
        <f>IF(OR($B1111="",$C1111=""),"",IFERROR(INDEX(PM_Short,MATCH($B1111,PM_ID,0))&amp;"-"&amp;TEXT($C1111,"00"),"?? no such product"))</f>
        <v/>
      </c>
      <c r="B1111" s="5" t="n"/>
      <c r="C1111" s="5" t="n"/>
      <c r="D1111" s="8">
        <f>IF($B1111="","",IFERROR(INDEX(PM_Category,MATCH($B1111,PM_ID,0)),""))</f>
        <v/>
      </c>
      <c r="E1111" s="8">
        <f>IF($B1111="","",IFERROR(INDEX(PM_Subcategory,MATCH($B1111,PM_ID,0)),""))</f>
        <v/>
      </c>
      <c r="F1111" s="8">
        <f>IF($B1111="","",IFERROR(INDEX(PM_Brand,MATCH($B1111,PM_ID,0)),""))</f>
        <v/>
      </c>
      <c r="G1111" s="8">
        <f>IF($B1111="","",IFERROR(INDEX(PM_Model,MATCH($B1111,PM_ID,0)),""))</f>
        <v/>
      </c>
      <c r="H1111" s="5" t="n"/>
      <c r="I1111" s="10" t="n"/>
      <c r="J1111" s="9" t="n"/>
      <c r="K1111" s="5" t="n"/>
      <c r="L1111" s="5" t="n"/>
      <c r="M1111" s="5" t="n"/>
      <c r="N1111" s="5" t="n"/>
      <c r="O1111" s="8">
        <f>IF($B1111="","",IF(AND($A1111&lt;&gt;"",COUNTIF(INV_ID,$A1111)&gt;1),"⚠ this Unit ID already exists",IF(AND($H1111&lt;&gt;"",COUNTIF(INV_Serial,$H1111)&gt;1),"⚠ this serial already exists",IF(COUNTIFS(INV_Product,$B1111,INV_No,$C1111)&gt;1,"⚠ piece number reused",""))))</f>
        <v/>
      </c>
      <c r="P1111" s="5" t="n"/>
    </row>
    <row r="1112">
      <c r="A1112" s="8">
        <f>IF(OR($B1112="",$C1112=""),"",IFERROR(INDEX(PM_Short,MATCH($B1112,PM_ID,0))&amp;"-"&amp;TEXT($C1112,"00"),"?? no such product"))</f>
        <v/>
      </c>
      <c r="B1112" s="5" t="n"/>
      <c r="C1112" s="5" t="n"/>
      <c r="D1112" s="8">
        <f>IF($B1112="","",IFERROR(INDEX(PM_Category,MATCH($B1112,PM_ID,0)),""))</f>
        <v/>
      </c>
      <c r="E1112" s="8">
        <f>IF($B1112="","",IFERROR(INDEX(PM_Subcategory,MATCH($B1112,PM_ID,0)),""))</f>
        <v/>
      </c>
      <c r="F1112" s="8">
        <f>IF($B1112="","",IFERROR(INDEX(PM_Brand,MATCH($B1112,PM_ID,0)),""))</f>
        <v/>
      </c>
      <c r="G1112" s="8">
        <f>IF($B1112="","",IFERROR(INDEX(PM_Model,MATCH($B1112,PM_ID,0)),""))</f>
        <v/>
      </c>
      <c r="H1112" s="5" t="n"/>
      <c r="I1112" s="10" t="n"/>
      <c r="J1112" s="9" t="n"/>
      <c r="K1112" s="5" t="n"/>
      <c r="L1112" s="5" t="n"/>
      <c r="M1112" s="5" t="n"/>
      <c r="N1112" s="5" t="n"/>
      <c r="O1112" s="8">
        <f>IF($B1112="","",IF(AND($A1112&lt;&gt;"",COUNTIF(INV_ID,$A1112)&gt;1),"⚠ this Unit ID already exists",IF(AND($H1112&lt;&gt;"",COUNTIF(INV_Serial,$H1112)&gt;1),"⚠ this serial already exists",IF(COUNTIFS(INV_Product,$B1112,INV_No,$C1112)&gt;1,"⚠ piece number reused",""))))</f>
        <v/>
      </c>
      <c r="P1112" s="5" t="n"/>
    </row>
    <row r="1113">
      <c r="A1113" s="8">
        <f>IF(OR($B1113="",$C1113=""),"",IFERROR(INDEX(PM_Short,MATCH($B1113,PM_ID,0))&amp;"-"&amp;TEXT($C1113,"00"),"?? no such product"))</f>
        <v/>
      </c>
      <c r="B1113" s="5" t="n"/>
      <c r="C1113" s="5" t="n"/>
      <c r="D1113" s="8">
        <f>IF($B1113="","",IFERROR(INDEX(PM_Category,MATCH($B1113,PM_ID,0)),""))</f>
        <v/>
      </c>
      <c r="E1113" s="8">
        <f>IF($B1113="","",IFERROR(INDEX(PM_Subcategory,MATCH($B1113,PM_ID,0)),""))</f>
        <v/>
      </c>
      <c r="F1113" s="8">
        <f>IF($B1113="","",IFERROR(INDEX(PM_Brand,MATCH($B1113,PM_ID,0)),""))</f>
        <v/>
      </c>
      <c r="G1113" s="8">
        <f>IF($B1113="","",IFERROR(INDEX(PM_Model,MATCH($B1113,PM_ID,0)),""))</f>
        <v/>
      </c>
      <c r="H1113" s="5" t="n"/>
      <c r="I1113" s="10" t="n"/>
      <c r="J1113" s="9" t="n"/>
      <c r="K1113" s="5" t="n"/>
      <c r="L1113" s="5" t="n"/>
      <c r="M1113" s="5" t="n"/>
      <c r="N1113" s="5" t="n"/>
      <c r="O1113" s="8">
        <f>IF($B1113="","",IF(AND($A1113&lt;&gt;"",COUNTIF(INV_ID,$A1113)&gt;1),"⚠ this Unit ID already exists",IF(AND($H1113&lt;&gt;"",COUNTIF(INV_Serial,$H1113)&gt;1),"⚠ this serial already exists",IF(COUNTIFS(INV_Product,$B1113,INV_No,$C1113)&gt;1,"⚠ piece number reused",""))))</f>
        <v/>
      </c>
      <c r="P1113" s="5" t="n"/>
    </row>
    <row r="1114">
      <c r="A1114" s="8">
        <f>IF(OR($B1114="",$C1114=""),"",IFERROR(INDEX(PM_Short,MATCH($B1114,PM_ID,0))&amp;"-"&amp;TEXT($C1114,"00"),"?? no such product"))</f>
        <v/>
      </c>
      <c r="B1114" s="5" t="n"/>
      <c r="C1114" s="5" t="n"/>
      <c r="D1114" s="8">
        <f>IF($B1114="","",IFERROR(INDEX(PM_Category,MATCH($B1114,PM_ID,0)),""))</f>
        <v/>
      </c>
      <c r="E1114" s="8">
        <f>IF($B1114="","",IFERROR(INDEX(PM_Subcategory,MATCH($B1114,PM_ID,0)),""))</f>
        <v/>
      </c>
      <c r="F1114" s="8">
        <f>IF($B1114="","",IFERROR(INDEX(PM_Brand,MATCH($B1114,PM_ID,0)),""))</f>
        <v/>
      </c>
      <c r="G1114" s="8">
        <f>IF($B1114="","",IFERROR(INDEX(PM_Model,MATCH($B1114,PM_ID,0)),""))</f>
        <v/>
      </c>
      <c r="H1114" s="5" t="n"/>
      <c r="I1114" s="10" t="n"/>
      <c r="J1114" s="9" t="n"/>
      <c r="K1114" s="5" t="n"/>
      <c r="L1114" s="5" t="n"/>
      <c r="M1114" s="5" t="n"/>
      <c r="N1114" s="5" t="n"/>
      <c r="O1114" s="8">
        <f>IF($B1114="","",IF(AND($A1114&lt;&gt;"",COUNTIF(INV_ID,$A1114)&gt;1),"⚠ this Unit ID already exists",IF(AND($H1114&lt;&gt;"",COUNTIF(INV_Serial,$H1114)&gt;1),"⚠ this serial already exists",IF(COUNTIFS(INV_Product,$B1114,INV_No,$C1114)&gt;1,"⚠ piece number reused",""))))</f>
        <v/>
      </c>
      <c r="P1114" s="5" t="n"/>
    </row>
    <row r="1115">
      <c r="A1115" s="8">
        <f>IF(OR($B1115="",$C1115=""),"",IFERROR(INDEX(PM_Short,MATCH($B1115,PM_ID,0))&amp;"-"&amp;TEXT($C1115,"00"),"?? no such product"))</f>
        <v/>
      </c>
      <c r="B1115" s="5" t="n"/>
      <c r="C1115" s="5" t="n"/>
      <c r="D1115" s="8">
        <f>IF($B1115="","",IFERROR(INDEX(PM_Category,MATCH($B1115,PM_ID,0)),""))</f>
        <v/>
      </c>
      <c r="E1115" s="8">
        <f>IF($B1115="","",IFERROR(INDEX(PM_Subcategory,MATCH($B1115,PM_ID,0)),""))</f>
        <v/>
      </c>
      <c r="F1115" s="8">
        <f>IF($B1115="","",IFERROR(INDEX(PM_Brand,MATCH($B1115,PM_ID,0)),""))</f>
        <v/>
      </c>
      <c r="G1115" s="8">
        <f>IF($B1115="","",IFERROR(INDEX(PM_Model,MATCH($B1115,PM_ID,0)),""))</f>
        <v/>
      </c>
      <c r="H1115" s="5" t="n"/>
      <c r="I1115" s="10" t="n"/>
      <c r="J1115" s="9" t="n"/>
      <c r="K1115" s="5" t="n"/>
      <c r="L1115" s="5" t="n"/>
      <c r="M1115" s="5" t="n"/>
      <c r="N1115" s="5" t="n"/>
      <c r="O1115" s="8">
        <f>IF($B1115="","",IF(AND($A1115&lt;&gt;"",COUNTIF(INV_ID,$A1115)&gt;1),"⚠ this Unit ID already exists",IF(AND($H1115&lt;&gt;"",COUNTIF(INV_Serial,$H1115)&gt;1),"⚠ this serial already exists",IF(COUNTIFS(INV_Product,$B1115,INV_No,$C1115)&gt;1,"⚠ piece number reused",""))))</f>
        <v/>
      </c>
      <c r="P1115" s="5" t="n"/>
    </row>
    <row r="1116">
      <c r="A1116" s="8">
        <f>IF(OR($B1116="",$C1116=""),"",IFERROR(INDEX(PM_Short,MATCH($B1116,PM_ID,0))&amp;"-"&amp;TEXT($C1116,"00"),"?? no such product"))</f>
        <v/>
      </c>
      <c r="B1116" s="5" t="n"/>
      <c r="C1116" s="5" t="n"/>
      <c r="D1116" s="8">
        <f>IF($B1116="","",IFERROR(INDEX(PM_Category,MATCH($B1116,PM_ID,0)),""))</f>
        <v/>
      </c>
      <c r="E1116" s="8">
        <f>IF($B1116="","",IFERROR(INDEX(PM_Subcategory,MATCH($B1116,PM_ID,0)),""))</f>
        <v/>
      </c>
      <c r="F1116" s="8">
        <f>IF($B1116="","",IFERROR(INDEX(PM_Brand,MATCH($B1116,PM_ID,0)),""))</f>
        <v/>
      </c>
      <c r="G1116" s="8">
        <f>IF($B1116="","",IFERROR(INDEX(PM_Model,MATCH($B1116,PM_ID,0)),""))</f>
        <v/>
      </c>
      <c r="H1116" s="5" t="n"/>
      <c r="I1116" s="10" t="n"/>
      <c r="J1116" s="9" t="n"/>
      <c r="K1116" s="5" t="n"/>
      <c r="L1116" s="5" t="n"/>
      <c r="M1116" s="5" t="n"/>
      <c r="N1116" s="5" t="n"/>
      <c r="O1116" s="8">
        <f>IF($B1116="","",IF(AND($A1116&lt;&gt;"",COUNTIF(INV_ID,$A1116)&gt;1),"⚠ this Unit ID already exists",IF(AND($H1116&lt;&gt;"",COUNTIF(INV_Serial,$H1116)&gt;1),"⚠ this serial already exists",IF(COUNTIFS(INV_Product,$B1116,INV_No,$C1116)&gt;1,"⚠ piece number reused",""))))</f>
        <v/>
      </c>
      <c r="P1116" s="5" t="n"/>
    </row>
    <row r="1117">
      <c r="A1117" s="8">
        <f>IF(OR($B1117="",$C1117=""),"",IFERROR(INDEX(PM_Short,MATCH($B1117,PM_ID,0))&amp;"-"&amp;TEXT($C1117,"00"),"?? no such product"))</f>
        <v/>
      </c>
      <c r="B1117" s="5" t="n"/>
      <c r="C1117" s="5" t="n"/>
      <c r="D1117" s="8">
        <f>IF($B1117="","",IFERROR(INDEX(PM_Category,MATCH($B1117,PM_ID,0)),""))</f>
        <v/>
      </c>
      <c r="E1117" s="8">
        <f>IF($B1117="","",IFERROR(INDEX(PM_Subcategory,MATCH($B1117,PM_ID,0)),""))</f>
        <v/>
      </c>
      <c r="F1117" s="8">
        <f>IF($B1117="","",IFERROR(INDEX(PM_Brand,MATCH($B1117,PM_ID,0)),""))</f>
        <v/>
      </c>
      <c r="G1117" s="8">
        <f>IF($B1117="","",IFERROR(INDEX(PM_Model,MATCH($B1117,PM_ID,0)),""))</f>
        <v/>
      </c>
      <c r="H1117" s="5" t="n"/>
      <c r="I1117" s="10" t="n"/>
      <c r="J1117" s="9" t="n"/>
      <c r="K1117" s="5" t="n"/>
      <c r="L1117" s="5" t="n"/>
      <c r="M1117" s="5" t="n"/>
      <c r="N1117" s="5" t="n"/>
      <c r="O1117" s="8">
        <f>IF($B1117="","",IF(AND($A1117&lt;&gt;"",COUNTIF(INV_ID,$A1117)&gt;1),"⚠ this Unit ID already exists",IF(AND($H1117&lt;&gt;"",COUNTIF(INV_Serial,$H1117)&gt;1),"⚠ this serial already exists",IF(COUNTIFS(INV_Product,$B1117,INV_No,$C1117)&gt;1,"⚠ piece number reused",""))))</f>
        <v/>
      </c>
      <c r="P1117" s="5" t="n"/>
    </row>
    <row r="1118">
      <c r="A1118" s="8">
        <f>IF(OR($B1118="",$C1118=""),"",IFERROR(INDEX(PM_Short,MATCH($B1118,PM_ID,0))&amp;"-"&amp;TEXT($C1118,"00"),"?? no such product"))</f>
        <v/>
      </c>
      <c r="B1118" s="5" t="n"/>
      <c r="C1118" s="5" t="n"/>
      <c r="D1118" s="8">
        <f>IF($B1118="","",IFERROR(INDEX(PM_Category,MATCH($B1118,PM_ID,0)),""))</f>
        <v/>
      </c>
      <c r="E1118" s="8">
        <f>IF($B1118="","",IFERROR(INDEX(PM_Subcategory,MATCH($B1118,PM_ID,0)),""))</f>
        <v/>
      </c>
      <c r="F1118" s="8">
        <f>IF($B1118="","",IFERROR(INDEX(PM_Brand,MATCH($B1118,PM_ID,0)),""))</f>
        <v/>
      </c>
      <c r="G1118" s="8">
        <f>IF($B1118="","",IFERROR(INDEX(PM_Model,MATCH($B1118,PM_ID,0)),""))</f>
        <v/>
      </c>
      <c r="H1118" s="5" t="n"/>
      <c r="I1118" s="10" t="n"/>
      <c r="J1118" s="9" t="n"/>
      <c r="K1118" s="5" t="n"/>
      <c r="L1118" s="5" t="n"/>
      <c r="M1118" s="5" t="n"/>
      <c r="N1118" s="5" t="n"/>
      <c r="O1118" s="8">
        <f>IF($B1118="","",IF(AND($A1118&lt;&gt;"",COUNTIF(INV_ID,$A1118)&gt;1),"⚠ this Unit ID already exists",IF(AND($H1118&lt;&gt;"",COUNTIF(INV_Serial,$H1118)&gt;1),"⚠ this serial already exists",IF(COUNTIFS(INV_Product,$B1118,INV_No,$C1118)&gt;1,"⚠ piece number reused",""))))</f>
        <v/>
      </c>
      <c r="P1118" s="5" t="n"/>
    </row>
    <row r="1119">
      <c r="A1119" s="8">
        <f>IF(OR($B1119="",$C1119=""),"",IFERROR(INDEX(PM_Short,MATCH($B1119,PM_ID,0))&amp;"-"&amp;TEXT($C1119,"00"),"?? no such product"))</f>
        <v/>
      </c>
      <c r="B1119" s="5" t="n"/>
      <c r="C1119" s="5" t="n"/>
      <c r="D1119" s="8">
        <f>IF($B1119="","",IFERROR(INDEX(PM_Category,MATCH($B1119,PM_ID,0)),""))</f>
        <v/>
      </c>
      <c r="E1119" s="8">
        <f>IF($B1119="","",IFERROR(INDEX(PM_Subcategory,MATCH($B1119,PM_ID,0)),""))</f>
        <v/>
      </c>
      <c r="F1119" s="8">
        <f>IF($B1119="","",IFERROR(INDEX(PM_Brand,MATCH($B1119,PM_ID,0)),""))</f>
        <v/>
      </c>
      <c r="G1119" s="8">
        <f>IF($B1119="","",IFERROR(INDEX(PM_Model,MATCH($B1119,PM_ID,0)),""))</f>
        <v/>
      </c>
      <c r="H1119" s="5" t="n"/>
      <c r="I1119" s="10" t="n"/>
      <c r="J1119" s="9" t="n"/>
      <c r="K1119" s="5" t="n"/>
      <c r="L1119" s="5" t="n"/>
      <c r="M1119" s="5" t="n"/>
      <c r="N1119" s="5" t="n"/>
      <c r="O1119" s="8">
        <f>IF($B1119="","",IF(AND($A1119&lt;&gt;"",COUNTIF(INV_ID,$A1119)&gt;1),"⚠ this Unit ID already exists",IF(AND($H1119&lt;&gt;"",COUNTIF(INV_Serial,$H1119)&gt;1),"⚠ this serial already exists",IF(COUNTIFS(INV_Product,$B1119,INV_No,$C1119)&gt;1,"⚠ piece number reused",""))))</f>
        <v/>
      </c>
      <c r="P1119" s="5" t="n"/>
    </row>
    <row r="1120">
      <c r="A1120" s="8">
        <f>IF(OR($B1120="",$C1120=""),"",IFERROR(INDEX(PM_Short,MATCH($B1120,PM_ID,0))&amp;"-"&amp;TEXT($C1120,"00"),"?? no such product"))</f>
        <v/>
      </c>
      <c r="B1120" s="5" t="n"/>
      <c r="C1120" s="5" t="n"/>
      <c r="D1120" s="8">
        <f>IF($B1120="","",IFERROR(INDEX(PM_Category,MATCH($B1120,PM_ID,0)),""))</f>
        <v/>
      </c>
      <c r="E1120" s="8">
        <f>IF($B1120="","",IFERROR(INDEX(PM_Subcategory,MATCH($B1120,PM_ID,0)),""))</f>
        <v/>
      </c>
      <c r="F1120" s="8">
        <f>IF($B1120="","",IFERROR(INDEX(PM_Brand,MATCH($B1120,PM_ID,0)),""))</f>
        <v/>
      </c>
      <c r="G1120" s="8">
        <f>IF($B1120="","",IFERROR(INDEX(PM_Model,MATCH($B1120,PM_ID,0)),""))</f>
        <v/>
      </c>
      <c r="H1120" s="5" t="n"/>
      <c r="I1120" s="10" t="n"/>
      <c r="J1120" s="9" t="n"/>
      <c r="K1120" s="5" t="n"/>
      <c r="L1120" s="5" t="n"/>
      <c r="M1120" s="5" t="n"/>
      <c r="N1120" s="5" t="n"/>
      <c r="O1120" s="8">
        <f>IF($B1120="","",IF(AND($A1120&lt;&gt;"",COUNTIF(INV_ID,$A1120)&gt;1),"⚠ this Unit ID already exists",IF(AND($H1120&lt;&gt;"",COUNTIF(INV_Serial,$H1120)&gt;1),"⚠ this serial already exists",IF(COUNTIFS(INV_Product,$B1120,INV_No,$C1120)&gt;1,"⚠ piece number reused",""))))</f>
        <v/>
      </c>
      <c r="P1120" s="5" t="n"/>
    </row>
    <row r="1121">
      <c r="A1121" s="8">
        <f>IF(OR($B1121="",$C1121=""),"",IFERROR(INDEX(PM_Short,MATCH($B1121,PM_ID,0))&amp;"-"&amp;TEXT($C1121,"00"),"?? no such product"))</f>
        <v/>
      </c>
      <c r="B1121" s="5" t="n"/>
      <c r="C1121" s="5" t="n"/>
      <c r="D1121" s="8">
        <f>IF($B1121="","",IFERROR(INDEX(PM_Category,MATCH($B1121,PM_ID,0)),""))</f>
        <v/>
      </c>
      <c r="E1121" s="8">
        <f>IF($B1121="","",IFERROR(INDEX(PM_Subcategory,MATCH($B1121,PM_ID,0)),""))</f>
        <v/>
      </c>
      <c r="F1121" s="8">
        <f>IF($B1121="","",IFERROR(INDEX(PM_Brand,MATCH($B1121,PM_ID,0)),""))</f>
        <v/>
      </c>
      <c r="G1121" s="8">
        <f>IF($B1121="","",IFERROR(INDEX(PM_Model,MATCH($B1121,PM_ID,0)),""))</f>
        <v/>
      </c>
      <c r="H1121" s="5" t="n"/>
      <c r="I1121" s="10" t="n"/>
      <c r="J1121" s="9" t="n"/>
      <c r="K1121" s="5" t="n"/>
      <c r="L1121" s="5" t="n"/>
      <c r="M1121" s="5" t="n"/>
      <c r="N1121" s="5" t="n"/>
      <c r="O1121" s="8">
        <f>IF($B1121="","",IF(AND($A1121&lt;&gt;"",COUNTIF(INV_ID,$A1121)&gt;1),"⚠ this Unit ID already exists",IF(AND($H1121&lt;&gt;"",COUNTIF(INV_Serial,$H1121)&gt;1),"⚠ this serial already exists",IF(COUNTIFS(INV_Product,$B1121,INV_No,$C1121)&gt;1,"⚠ piece number reused",""))))</f>
        <v/>
      </c>
      <c r="P1121" s="5" t="n"/>
    </row>
    <row r="1122">
      <c r="A1122" s="8">
        <f>IF(OR($B1122="",$C1122=""),"",IFERROR(INDEX(PM_Short,MATCH($B1122,PM_ID,0))&amp;"-"&amp;TEXT($C1122,"00"),"?? no such product"))</f>
        <v/>
      </c>
      <c r="B1122" s="5" t="n"/>
      <c r="C1122" s="5" t="n"/>
      <c r="D1122" s="8">
        <f>IF($B1122="","",IFERROR(INDEX(PM_Category,MATCH($B1122,PM_ID,0)),""))</f>
        <v/>
      </c>
      <c r="E1122" s="8">
        <f>IF($B1122="","",IFERROR(INDEX(PM_Subcategory,MATCH($B1122,PM_ID,0)),""))</f>
        <v/>
      </c>
      <c r="F1122" s="8">
        <f>IF($B1122="","",IFERROR(INDEX(PM_Brand,MATCH($B1122,PM_ID,0)),""))</f>
        <v/>
      </c>
      <c r="G1122" s="8">
        <f>IF($B1122="","",IFERROR(INDEX(PM_Model,MATCH($B1122,PM_ID,0)),""))</f>
        <v/>
      </c>
      <c r="H1122" s="5" t="n"/>
      <c r="I1122" s="10" t="n"/>
      <c r="J1122" s="9" t="n"/>
      <c r="K1122" s="5" t="n"/>
      <c r="L1122" s="5" t="n"/>
      <c r="M1122" s="5" t="n"/>
      <c r="N1122" s="5" t="n"/>
      <c r="O1122" s="8">
        <f>IF($B1122="","",IF(AND($A1122&lt;&gt;"",COUNTIF(INV_ID,$A1122)&gt;1),"⚠ this Unit ID already exists",IF(AND($H1122&lt;&gt;"",COUNTIF(INV_Serial,$H1122)&gt;1),"⚠ this serial already exists",IF(COUNTIFS(INV_Product,$B1122,INV_No,$C1122)&gt;1,"⚠ piece number reused",""))))</f>
        <v/>
      </c>
      <c r="P1122" s="5" t="n"/>
    </row>
    <row r="1123">
      <c r="A1123" s="8">
        <f>IF(OR($B1123="",$C1123=""),"",IFERROR(INDEX(PM_Short,MATCH($B1123,PM_ID,0))&amp;"-"&amp;TEXT($C1123,"00"),"?? no such product"))</f>
        <v/>
      </c>
      <c r="B1123" s="5" t="n"/>
      <c r="C1123" s="5" t="n"/>
      <c r="D1123" s="8">
        <f>IF($B1123="","",IFERROR(INDEX(PM_Category,MATCH($B1123,PM_ID,0)),""))</f>
        <v/>
      </c>
      <c r="E1123" s="8">
        <f>IF($B1123="","",IFERROR(INDEX(PM_Subcategory,MATCH($B1123,PM_ID,0)),""))</f>
        <v/>
      </c>
      <c r="F1123" s="8">
        <f>IF($B1123="","",IFERROR(INDEX(PM_Brand,MATCH($B1123,PM_ID,0)),""))</f>
        <v/>
      </c>
      <c r="G1123" s="8">
        <f>IF($B1123="","",IFERROR(INDEX(PM_Model,MATCH($B1123,PM_ID,0)),""))</f>
        <v/>
      </c>
      <c r="H1123" s="5" t="n"/>
      <c r="I1123" s="10" t="n"/>
      <c r="J1123" s="9" t="n"/>
      <c r="K1123" s="5" t="n"/>
      <c r="L1123" s="5" t="n"/>
      <c r="M1123" s="5" t="n"/>
      <c r="N1123" s="5" t="n"/>
      <c r="O1123" s="8">
        <f>IF($B1123="","",IF(AND($A1123&lt;&gt;"",COUNTIF(INV_ID,$A1123)&gt;1),"⚠ this Unit ID already exists",IF(AND($H1123&lt;&gt;"",COUNTIF(INV_Serial,$H1123)&gt;1),"⚠ this serial already exists",IF(COUNTIFS(INV_Product,$B1123,INV_No,$C1123)&gt;1,"⚠ piece number reused",""))))</f>
        <v/>
      </c>
      <c r="P1123" s="5" t="n"/>
    </row>
    <row r="1124">
      <c r="A1124" s="8">
        <f>IF(OR($B1124="",$C1124=""),"",IFERROR(INDEX(PM_Short,MATCH($B1124,PM_ID,0))&amp;"-"&amp;TEXT($C1124,"00"),"?? no such product"))</f>
        <v/>
      </c>
      <c r="B1124" s="5" t="n"/>
      <c r="C1124" s="5" t="n"/>
      <c r="D1124" s="8">
        <f>IF($B1124="","",IFERROR(INDEX(PM_Category,MATCH($B1124,PM_ID,0)),""))</f>
        <v/>
      </c>
      <c r="E1124" s="8">
        <f>IF($B1124="","",IFERROR(INDEX(PM_Subcategory,MATCH($B1124,PM_ID,0)),""))</f>
        <v/>
      </c>
      <c r="F1124" s="8">
        <f>IF($B1124="","",IFERROR(INDEX(PM_Brand,MATCH($B1124,PM_ID,0)),""))</f>
        <v/>
      </c>
      <c r="G1124" s="8">
        <f>IF($B1124="","",IFERROR(INDEX(PM_Model,MATCH($B1124,PM_ID,0)),""))</f>
        <v/>
      </c>
      <c r="H1124" s="5" t="n"/>
      <c r="I1124" s="10" t="n"/>
      <c r="J1124" s="9" t="n"/>
      <c r="K1124" s="5" t="n"/>
      <c r="L1124" s="5" t="n"/>
      <c r="M1124" s="5" t="n"/>
      <c r="N1124" s="5" t="n"/>
      <c r="O1124" s="8">
        <f>IF($B1124="","",IF(AND($A1124&lt;&gt;"",COUNTIF(INV_ID,$A1124)&gt;1),"⚠ this Unit ID already exists",IF(AND($H1124&lt;&gt;"",COUNTIF(INV_Serial,$H1124)&gt;1),"⚠ this serial already exists",IF(COUNTIFS(INV_Product,$B1124,INV_No,$C1124)&gt;1,"⚠ piece number reused",""))))</f>
        <v/>
      </c>
      <c r="P1124" s="5" t="n"/>
    </row>
    <row r="1125">
      <c r="A1125" s="8">
        <f>IF(OR($B1125="",$C1125=""),"",IFERROR(INDEX(PM_Short,MATCH($B1125,PM_ID,0))&amp;"-"&amp;TEXT($C1125,"00"),"?? no such product"))</f>
        <v/>
      </c>
      <c r="B1125" s="5" t="n"/>
      <c r="C1125" s="5" t="n"/>
      <c r="D1125" s="8">
        <f>IF($B1125="","",IFERROR(INDEX(PM_Category,MATCH($B1125,PM_ID,0)),""))</f>
        <v/>
      </c>
      <c r="E1125" s="8">
        <f>IF($B1125="","",IFERROR(INDEX(PM_Subcategory,MATCH($B1125,PM_ID,0)),""))</f>
        <v/>
      </c>
      <c r="F1125" s="8">
        <f>IF($B1125="","",IFERROR(INDEX(PM_Brand,MATCH($B1125,PM_ID,0)),""))</f>
        <v/>
      </c>
      <c r="G1125" s="8">
        <f>IF($B1125="","",IFERROR(INDEX(PM_Model,MATCH($B1125,PM_ID,0)),""))</f>
        <v/>
      </c>
      <c r="H1125" s="5" t="n"/>
      <c r="I1125" s="10" t="n"/>
      <c r="J1125" s="9" t="n"/>
      <c r="K1125" s="5" t="n"/>
      <c r="L1125" s="5" t="n"/>
      <c r="M1125" s="5" t="n"/>
      <c r="N1125" s="5" t="n"/>
      <c r="O1125" s="8">
        <f>IF($B1125="","",IF(AND($A1125&lt;&gt;"",COUNTIF(INV_ID,$A1125)&gt;1),"⚠ this Unit ID already exists",IF(AND($H1125&lt;&gt;"",COUNTIF(INV_Serial,$H1125)&gt;1),"⚠ this serial already exists",IF(COUNTIFS(INV_Product,$B1125,INV_No,$C1125)&gt;1,"⚠ piece number reused",""))))</f>
        <v/>
      </c>
      <c r="P1125" s="5" t="n"/>
    </row>
    <row r="1126">
      <c r="A1126" s="8">
        <f>IF(OR($B1126="",$C1126=""),"",IFERROR(INDEX(PM_Short,MATCH($B1126,PM_ID,0))&amp;"-"&amp;TEXT($C1126,"00"),"?? no such product"))</f>
        <v/>
      </c>
      <c r="B1126" s="5" t="n"/>
      <c r="C1126" s="5" t="n"/>
      <c r="D1126" s="8">
        <f>IF($B1126="","",IFERROR(INDEX(PM_Category,MATCH($B1126,PM_ID,0)),""))</f>
        <v/>
      </c>
      <c r="E1126" s="8">
        <f>IF($B1126="","",IFERROR(INDEX(PM_Subcategory,MATCH($B1126,PM_ID,0)),""))</f>
        <v/>
      </c>
      <c r="F1126" s="8">
        <f>IF($B1126="","",IFERROR(INDEX(PM_Brand,MATCH($B1126,PM_ID,0)),""))</f>
        <v/>
      </c>
      <c r="G1126" s="8">
        <f>IF($B1126="","",IFERROR(INDEX(PM_Model,MATCH($B1126,PM_ID,0)),""))</f>
        <v/>
      </c>
      <c r="H1126" s="5" t="n"/>
      <c r="I1126" s="10" t="n"/>
      <c r="J1126" s="9" t="n"/>
      <c r="K1126" s="5" t="n"/>
      <c r="L1126" s="5" t="n"/>
      <c r="M1126" s="5" t="n"/>
      <c r="N1126" s="5" t="n"/>
      <c r="O1126" s="8">
        <f>IF($B1126="","",IF(AND($A1126&lt;&gt;"",COUNTIF(INV_ID,$A1126)&gt;1),"⚠ this Unit ID already exists",IF(AND($H1126&lt;&gt;"",COUNTIF(INV_Serial,$H1126)&gt;1),"⚠ this serial already exists",IF(COUNTIFS(INV_Product,$B1126,INV_No,$C1126)&gt;1,"⚠ piece number reused",""))))</f>
        <v/>
      </c>
      <c r="P1126" s="5" t="n"/>
    </row>
    <row r="1127">
      <c r="A1127" s="8">
        <f>IF(OR($B1127="",$C1127=""),"",IFERROR(INDEX(PM_Short,MATCH($B1127,PM_ID,0))&amp;"-"&amp;TEXT($C1127,"00"),"?? no such product"))</f>
        <v/>
      </c>
      <c r="B1127" s="5" t="n"/>
      <c r="C1127" s="5" t="n"/>
      <c r="D1127" s="8">
        <f>IF($B1127="","",IFERROR(INDEX(PM_Category,MATCH($B1127,PM_ID,0)),""))</f>
        <v/>
      </c>
      <c r="E1127" s="8">
        <f>IF($B1127="","",IFERROR(INDEX(PM_Subcategory,MATCH($B1127,PM_ID,0)),""))</f>
        <v/>
      </c>
      <c r="F1127" s="8">
        <f>IF($B1127="","",IFERROR(INDEX(PM_Brand,MATCH($B1127,PM_ID,0)),""))</f>
        <v/>
      </c>
      <c r="G1127" s="8">
        <f>IF($B1127="","",IFERROR(INDEX(PM_Model,MATCH($B1127,PM_ID,0)),""))</f>
        <v/>
      </c>
      <c r="H1127" s="5" t="n"/>
      <c r="I1127" s="10" t="n"/>
      <c r="J1127" s="9" t="n"/>
      <c r="K1127" s="5" t="n"/>
      <c r="L1127" s="5" t="n"/>
      <c r="M1127" s="5" t="n"/>
      <c r="N1127" s="5" t="n"/>
      <c r="O1127" s="8">
        <f>IF($B1127="","",IF(AND($A1127&lt;&gt;"",COUNTIF(INV_ID,$A1127)&gt;1),"⚠ this Unit ID already exists",IF(AND($H1127&lt;&gt;"",COUNTIF(INV_Serial,$H1127)&gt;1),"⚠ this serial already exists",IF(COUNTIFS(INV_Product,$B1127,INV_No,$C1127)&gt;1,"⚠ piece number reused",""))))</f>
        <v/>
      </c>
      <c r="P1127" s="5" t="n"/>
    </row>
    <row r="1128">
      <c r="A1128" s="8">
        <f>IF(OR($B1128="",$C1128=""),"",IFERROR(INDEX(PM_Short,MATCH($B1128,PM_ID,0))&amp;"-"&amp;TEXT($C1128,"00"),"?? no such product"))</f>
        <v/>
      </c>
      <c r="B1128" s="5" t="n"/>
      <c r="C1128" s="5" t="n"/>
      <c r="D1128" s="8">
        <f>IF($B1128="","",IFERROR(INDEX(PM_Category,MATCH($B1128,PM_ID,0)),""))</f>
        <v/>
      </c>
      <c r="E1128" s="8">
        <f>IF($B1128="","",IFERROR(INDEX(PM_Subcategory,MATCH($B1128,PM_ID,0)),""))</f>
        <v/>
      </c>
      <c r="F1128" s="8">
        <f>IF($B1128="","",IFERROR(INDEX(PM_Brand,MATCH($B1128,PM_ID,0)),""))</f>
        <v/>
      </c>
      <c r="G1128" s="8">
        <f>IF($B1128="","",IFERROR(INDEX(PM_Model,MATCH($B1128,PM_ID,0)),""))</f>
        <v/>
      </c>
      <c r="H1128" s="5" t="n"/>
      <c r="I1128" s="10" t="n"/>
      <c r="J1128" s="9" t="n"/>
      <c r="K1128" s="5" t="n"/>
      <c r="L1128" s="5" t="n"/>
      <c r="M1128" s="5" t="n"/>
      <c r="N1128" s="5" t="n"/>
      <c r="O1128" s="8">
        <f>IF($B1128="","",IF(AND($A1128&lt;&gt;"",COUNTIF(INV_ID,$A1128)&gt;1),"⚠ this Unit ID already exists",IF(AND($H1128&lt;&gt;"",COUNTIF(INV_Serial,$H1128)&gt;1),"⚠ this serial already exists",IF(COUNTIFS(INV_Product,$B1128,INV_No,$C1128)&gt;1,"⚠ piece number reused",""))))</f>
        <v/>
      </c>
      <c r="P1128" s="5" t="n"/>
    </row>
    <row r="1129">
      <c r="A1129" s="8">
        <f>IF(OR($B1129="",$C1129=""),"",IFERROR(INDEX(PM_Short,MATCH($B1129,PM_ID,0))&amp;"-"&amp;TEXT($C1129,"00"),"?? no such product"))</f>
        <v/>
      </c>
      <c r="B1129" s="5" t="n"/>
      <c r="C1129" s="5" t="n"/>
      <c r="D1129" s="8">
        <f>IF($B1129="","",IFERROR(INDEX(PM_Category,MATCH($B1129,PM_ID,0)),""))</f>
        <v/>
      </c>
      <c r="E1129" s="8">
        <f>IF($B1129="","",IFERROR(INDEX(PM_Subcategory,MATCH($B1129,PM_ID,0)),""))</f>
        <v/>
      </c>
      <c r="F1129" s="8">
        <f>IF($B1129="","",IFERROR(INDEX(PM_Brand,MATCH($B1129,PM_ID,0)),""))</f>
        <v/>
      </c>
      <c r="G1129" s="8">
        <f>IF($B1129="","",IFERROR(INDEX(PM_Model,MATCH($B1129,PM_ID,0)),""))</f>
        <v/>
      </c>
      <c r="H1129" s="5" t="n"/>
      <c r="I1129" s="10" t="n"/>
      <c r="J1129" s="9" t="n"/>
      <c r="K1129" s="5" t="n"/>
      <c r="L1129" s="5" t="n"/>
      <c r="M1129" s="5" t="n"/>
      <c r="N1129" s="5" t="n"/>
      <c r="O1129" s="8">
        <f>IF($B1129="","",IF(AND($A1129&lt;&gt;"",COUNTIF(INV_ID,$A1129)&gt;1),"⚠ this Unit ID already exists",IF(AND($H1129&lt;&gt;"",COUNTIF(INV_Serial,$H1129)&gt;1),"⚠ this serial already exists",IF(COUNTIFS(INV_Product,$B1129,INV_No,$C1129)&gt;1,"⚠ piece number reused",""))))</f>
        <v/>
      </c>
      <c r="P1129" s="5" t="n"/>
    </row>
    <row r="1130">
      <c r="A1130" s="8">
        <f>IF(OR($B1130="",$C1130=""),"",IFERROR(INDEX(PM_Short,MATCH($B1130,PM_ID,0))&amp;"-"&amp;TEXT($C1130,"00"),"?? no such product"))</f>
        <v/>
      </c>
      <c r="B1130" s="5" t="n"/>
      <c r="C1130" s="5" t="n"/>
      <c r="D1130" s="8">
        <f>IF($B1130="","",IFERROR(INDEX(PM_Category,MATCH($B1130,PM_ID,0)),""))</f>
        <v/>
      </c>
      <c r="E1130" s="8">
        <f>IF($B1130="","",IFERROR(INDEX(PM_Subcategory,MATCH($B1130,PM_ID,0)),""))</f>
        <v/>
      </c>
      <c r="F1130" s="8">
        <f>IF($B1130="","",IFERROR(INDEX(PM_Brand,MATCH($B1130,PM_ID,0)),""))</f>
        <v/>
      </c>
      <c r="G1130" s="8">
        <f>IF($B1130="","",IFERROR(INDEX(PM_Model,MATCH($B1130,PM_ID,0)),""))</f>
        <v/>
      </c>
      <c r="H1130" s="5" t="n"/>
      <c r="I1130" s="10" t="n"/>
      <c r="J1130" s="9" t="n"/>
      <c r="K1130" s="5" t="n"/>
      <c r="L1130" s="5" t="n"/>
      <c r="M1130" s="5" t="n"/>
      <c r="N1130" s="5" t="n"/>
      <c r="O1130" s="8">
        <f>IF($B1130="","",IF(AND($A1130&lt;&gt;"",COUNTIF(INV_ID,$A1130)&gt;1),"⚠ this Unit ID already exists",IF(AND($H1130&lt;&gt;"",COUNTIF(INV_Serial,$H1130)&gt;1),"⚠ this serial already exists",IF(COUNTIFS(INV_Product,$B1130,INV_No,$C1130)&gt;1,"⚠ piece number reused",""))))</f>
        <v/>
      </c>
      <c r="P1130" s="5" t="n"/>
    </row>
    <row r="1131">
      <c r="A1131" s="8">
        <f>IF(OR($B1131="",$C1131=""),"",IFERROR(INDEX(PM_Short,MATCH($B1131,PM_ID,0))&amp;"-"&amp;TEXT($C1131,"00"),"?? no such product"))</f>
        <v/>
      </c>
      <c r="B1131" s="5" t="n"/>
      <c r="C1131" s="5" t="n"/>
      <c r="D1131" s="8">
        <f>IF($B1131="","",IFERROR(INDEX(PM_Category,MATCH($B1131,PM_ID,0)),""))</f>
        <v/>
      </c>
      <c r="E1131" s="8">
        <f>IF($B1131="","",IFERROR(INDEX(PM_Subcategory,MATCH($B1131,PM_ID,0)),""))</f>
        <v/>
      </c>
      <c r="F1131" s="8">
        <f>IF($B1131="","",IFERROR(INDEX(PM_Brand,MATCH($B1131,PM_ID,0)),""))</f>
        <v/>
      </c>
      <c r="G1131" s="8">
        <f>IF($B1131="","",IFERROR(INDEX(PM_Model,MATCH($B1131,PM_ID,0)),""))</f>
        <v/>
      </c>
      <c r="H1131" s="5" t="n"/>
      <c r="I1131" s="10" t="n"/>
      <c r="J1131" s="9" t="n"/>
      <c r="K1131" s="5" t="n"/>
      <c r="L1131" s="5" t="n"/>
      <c r="M1131" s="5" t="n"/>
      <c r="N1131" s="5" t="n"/>
      <c r="O1131" s="8">
        <f>IF($B1131="","",IF(AND($A1131&lt;&gt;"",COUNTIF(INV_ID,$A1131)&gt;1),"⚠ this Unit ID already exists",IF(AND($H1131&lt;&gt;"",COUNTIF(INV_Serial,$H1131)&gt;1),"⚠ this serial already exists",IF(COUNTIFS(INV_Product,$B1131,INV_No,$C1131)&gt;1,"⚠ piece number reused",""))))</f>
        <v/>
      </c>
      <c r="P1131" s="5" t="n"/>
    </row>
    <row r="1132">
      <c r="A1132" s="8">
        <f>IF(OR($B1132="",$C1132=""),"",IFERROR(INDEX(PM_Short,MATCH($B1132,PM_ID,0))&amp;"-"&amp;TEXT($C1132,"00"),"?? no such product"))</f>
        <v/>
      </c>
      <c r="B1132" s="5" t="n"/>
      <c r="C1132" s="5" t="n"/>
      <c r="D1132" s="8">
        <f>IF($B1132="","",IFERROR(INDEX(PM_Category,MATCH($B1132,PM_ID,0)),""))</f>
        <v/>
      </c>
      <c r="E1132" s="8">
        <f>IF($B1132="","",IFERROR(INDEX(PM_Subcategory,MATCH($B1132,PM_ID,0)),""))</f>
        <v/>
      </c>
      <c r="F1132" s="8">
        <f>IF($B1132="","",IFERROR(INDEX(PM_Brand,MATCH($B1132,PM_ID,0)),""))</f>
        <v/>
      </c>
      <c r="G1132" s="8">
        <f>IF($B1132="","",IFERROR(INDEX(PM_Model,MATCH($B1132,PM_ID,0)),""))</f>
        <v/>
      </c>
      <c r="H1132" s="5" t="n"/>
      <c r="I1132" s="10" t="n"/>
      <c r="J1132" s="9" t="n"/>
      <c r="K1132" s="5" t="n"/>
      <c r="L1132" s="5" t="n"/>
      <c r="M1132" s="5" t="n"/>
      <c r="N1132" s="5" t="n"/>
      <c r="O1132" s="8">
        <f>IF($B1132="","",IF(AND($A1132&lt;&gt;"",COUNTIF(INV_ID,$A1132)&gt;1),"⚠ this Unit ID already exists",IF(AND($H1132&lt;&gt;"",COUNTIF(INV_Serial,$H1132)&gt;1),"⚠ this serial already exists",IF(COUNTIFS(INV_Product,$B1132,INV_No,$C1132)&gt;1,"⚠ piece number reused",""))))</f>
        <v/>
      </c>
      <c r="P1132" s="5" t="n"/>
    </row>
    <row r="1133">
      <c r="A1133" s="8">
        <f>IF(OR($B1133="",$C1133=""),"",IFERROR(INDEX(PM_Short,MATCH($B1133,PM_ID,0))&amp;"-"&amp;TEXT($C1133,"00"),"?? no such product"))</f>
        <v/>
      </c>
      <c r="B1133" s="5" t="n"/>
      <c r="C1133" s="5" t="n"/>
      <c r="D1133" s="8">
        <f>IF($B1133="","",IFERROR(INDEX(PM_Category,MATCH($B1133,PM_ID,0)),""))</f>
        <v/>
      </c>
      <c r="E1133" s="8">
        <f>IF($B1133="","",IFERROR(INDEX(PM_Subcategory,MATCH($B1133,PM_ID,0)),""))</f>
        <v/>
      </c>
      <c r="F1133" s="8">
        <f>IF($B1133="","",IFERROR(INDEX(PM_Brand,MATCH($B1133,PM_ID,0)),""))</f>
        <v/>
      </c>
      <c r="G1133" s="8">
        <f>IF($B1133="","",IFERROR(INDEX(PM_Model,MATCH($B1133,PM_ID,0)),""))</f>
        <v/>
      </c>
      <c r="H1133" s="5" t="n"/>
      <c r="I1133" s="10" t="n"/>
      <c r="J1133" s="9" t="n"/>
      <c r="K1133" s="5" t="n"/>
      <c r="L1133" s="5" t="n"/>
      <c r="M1133" s="5" t="n"/>
      <c r="N1133" s="5" t="n"/>
      <c r="O1133" s="8">
        <f>IF($B1133="","",IF(AND($A1133&lt;&gt;"",COUNTIF(INV_ID,$A1133)&gt;1),"⚠ this Unit ID already exists",IF(AND($H1133&lt;&gt;"",COUNTIF(INV_Serial,$H1133)&gt;1),"⚠ this serial already exists",IF(COUNTIFS(INV_Product,$B1133,INV_No,$C1133)&gt;1,"⚠ piece number reused",""))))</f>
        <v/>
      </c>
      <c r="P1133" s="5" t="n"/>
    </row>
    <row r="1134">
      <c r="A1134" s="8">
        <f>IF(OR($B1134="",$C1134=""),"",IFERROR(INDEX(PM_Short,MATCH($B1134,PM_ID,0))&amp;"-"&amp;TEXT($C1134,"00"),"?? no such product"))</f>
        <v/>
      </c>
      <c r="B1134" s="5" t="n"/>
      <c r="C1134" s="5" t="n"/>
      <c r="D1134" s="8">
        <f>IF($B1134="","",IFERROR(INDEX(PM_Category,MATCH($B1134,PM_ID,0)),""))</f>
        <v/>
      </c>
      <c r="E1134" s="8">
        <f>IF($B1134="","",IFERROR(INDEX(PM_Subcategory,MATCH($B1134,PM_ID,0)),""))</f>
        <v/>
      </c>
      <c r="F1134" s="8">
        <f>IF($B1134="","",IFERROR(INDEX(PM_Brand,MATCH($B1134,PM_ID,0)),""))</f>
        <v/>
      </c>
      <c r="G1134" s="8">
        <f>IF($B1134="","",IFERROR(INDEX(PM_Model,MATCH($B1134,PM_ID,0)),""))</f>
        <v/>
      </c>
      <c r="H1134" s="5" t="n"/>
      <c r="I1134" s="10" t="n"/>
      <c r="J1134" s="9" t="n"/>
      <c r="K1134" s="5" t="n"/>
      <c r="L1134" s="5" t="n"/>
      <c r="M1134" s="5" t="n"/>
      <c r="N1134" s="5" t="n"/>
      <c r="O1134" s="8">
        <f>IF($B1134="","",IF(AND($A1134&lt;&gt;"",COUNTIF(INV_ID,$A1134)&gt;1),"⚠ this Unit ID already exists",IF(AND($H1134&lt;&gt;"",COUNTIF(INV_Serial,$H1134)&gt;1),"⚠ this serial already exists",IF(COUNTIFS(INV_Product,$B1134,INV_No,$C1134)&gt;1,"⚠ piece number reused",""))))</f>
        <v/>
      </c>
      <c r="P1134" s="5" t="n"/>
    </row>
    <row r="1135">
      <c r="A1135" s="8">
        <f>IF(OR($B1135="",$C1135=""),"",IFERROR(INDEX(PM_Short,MATCH($B1135,PM_ID,0))&amp;"-"&amp;TEXT($C1135,"00"),"?? no such product"))</f>
        <v/>
      </c>
      <c r="B1135" s="5" t="n"/>
      <c r="C1135" s="5" t="n"/>
      <c r="D1135" s="8">
        <f>IF($B1135="","",IFERROR(INDEX(PM_Category,MATCH($B1135,PM_ID,0)),""))</f>
        <v/>
      </c>
      <c r="E1135" s="8">
        <f>IF($B1135="","",IFERROR(INDEX(PM_Subcategory,MATCH($B1135,PM_ID,0)),""))</f>
        <v/>
      </c>
      <c r="F1135" s="8">
        <f>IF($B1135="","",IFERROR(INDEX(PM_Brand,MATCH($B1135,PM_ID,0)),""))</f>
        <v/>
      </c>
      <c r="G1135" s="8">
        <f>IF($B1135="","",IFERROR(INDEX(PM_Model,MATCH($B1135,PM_ID,0)),""))</f>
        <v/>
      </c>
      <c r="H1135" s="5" t="n"/>
      <c r="I1135" s="10" t="n"/>
      <c r="J1135" s="9" t="n"/>
      <c r="K1135" s="5" t="n"/>
      <c r="L1135" s="5" t="n"/>
      <c r="M1135" s="5" t="n"/>
      <c r="N1135" s="5" t="n"/>
      <c r="O1135" s="8">
        <f>IF($B1135="","",IF(AND($A1135&lt;&gt;"",COUNTIF(INV_ID,$A1135)&gt;1),"⚠ this Unit ID already exists",IF(AND($H1135&lt;&gt;"",COUNTIF(INV_Serial,$H1135)&gt;1),"⚠ this serial already exists",IF(COUNTIFS(INV_Product,$B1135,INV_No,$C1135)&gt;1,"⚠ piece number reused",""))))</f>
        <v/>
      </c>
      <c r="P1135" s="5" t="n"/>
    </row>
    <row r="1136">
      <c r="A1136" s="8">
        <f>IF(OR($B1136="",$C1136=""),"",IFERROR(INDEX(PM_Short,MATCH($B1136,PM_ID,0))&amp;"-"&amp;TEXT($C1136,"00"),"?? no such product"))</f>
        <v/>
      </c>
      <c r="B1136" s="5" t="n"/>
      <c r="C1136" s="5" t="n"/>
      <c r="D1136" s="8">
        <f>IF($B1136="","",IFERROR(INDEX(PM_Category,MATCH($B1136,PM_ID,0)),""))</f>
        <v/>
      </c>
      <c r="E1136" s="8">
        <f>IF($B1136="","",IFERROR(INDEX(PM_Subcategory,MATCH($B1136,PM_ID,0)),""))</f>
        <v/>
      </c>
      <c r="F1136" s="8">
        <f>IF($B1136="","",IFERROR(INDEX(PM_Brand,MATCH($B1136,PM_ID,0)),""))</f>
        <v/>
      </c>
      <c r="G1136" s="8">
        <f>IF($B1136="","",IFERROR(INDEX(PM_Model,MATCH($B1136,PM_ID,0)),""))</f>
        <v/>
      </c>
      <c r="H1136" s="5" t="n"/>
      <c r="I1136" s="10" t="n"/>
      <c r="J1136" s="9" t="n"/>
      <c r="K1136" s="5" t="n"/>
      <c r="L1136" s="5" t="n"/>
      <c r="M1136" s="5" t="n"/>
      <c r="N1136" s="5" t="n"/>
      <c r="O1136" s="8">
        <f>IF($B1136="","",IF(AND($A1136&lt;&gt;"",COUNTIF(INV_ID,$A1136)&gt;1),"⚠ this Unit ID already exists",IF(AND($H1136&lt;&gt;"",COUNTIF(INV_Serial,$H1136)&gt;1),"⚠ this serial already exists",IF(COUNTIFS(INV_Product,$B1136,INV_No,$C1136)&gt;1,"⚠ piece number reused",""))))</f>
        <v/>
      </c>
      <c r="P1136" s="5" t="n"/>
    </row>
    <row r="1137">
      <c r="A1137" s="8">
        <f>IF(OR($B1137="",$C1137=""),"",IFERROR(INDEX(PM_Short,MATCH($B1137,PM_ID,0))&amp;"-"&amp;TEXT($C1137,"00"),"?? no such product"))</f>
        <v/>
      </c>
      <c r="B1137" s="5" t="n"/>
      <c r="C1137" s="5" t="n"/>
      <c r="D1137" s="8">
        <f>IF($B1137="","",IFERROR(INDEX(PM_Category,MATCH($B1137,PM_ID,0)),""))</f>
        <v/>
      </c>
      <c r="E1137" s="8">
        <f>IF($B1137="","",IFERROR(INDEX(PM_Subcategory,MATCH($B1137,PM_ID,0)),""))</f>
        <v/>
      </c>
      <c r="F1137" s="8">
        <f>IF($B1137="","",IFERROR(INDEX(PM_Brand,MATCH($B1137,PM_ID,0)),""))</f>
        <v/>
      </c>
      <c r="G1137" s="8">
        <f>IF($B1137="","",IFERROR(INDEX(PM_Model,MATCH($B1137,PM_ID,0)),""))</f>
        <v/>
      </c>
      <c r="H1137" s="5" t="n"/>
      <c r="I1137" s="10" t="n"/>
      <c r="J1137" s="9" t="n"/>
      <c r="K1137" s="5" t="n"/>
      <c r="L1137" s="5" t="n"/>
      <c r="M1137" s="5" t="n"/>
      <c r="N1137" s="5" t="n"/>
      <c r="O1137" s="8">
        <f>IF($B1137="","",IF(AND($A1137&lt;&gt;"",COUNTIF(INV_ID,$A1137)&gt;1),"⚠ this Unit ID already exists",IF(AND($H1137&lt;&gt;"",COUNTIF(INV_Serial,$H1137)&gt;1),"⚠ this serial already exists",IF(COUNTIFS(INV_Product,$B1137,INV_No,$C1137)&gt;1,"⚠ piece number reused",""))))</f>
        <v/>
      </c>
      <c r="P1137" s="5" t="n"/>
    </row>
    <row r="1138">
      <c r="A1138" s="8">
        <f>IF(OR($B1138="",$C1138=""),"",IFERROR(INDEX(PM_Short,MATCH($B1138,PM_ID,0))&amp;"-"&amp;TEXT($C1138,"00"),"?? no such product"))</f>
        <v/>
      </c>
      <c r="B1138" s="5" t="n"/>
      <c r="C1138" s="5" t="n"/>
      <c r="D1138" s="8">
        <f>IF($B1138="","",IFERROR(INDEX(PM_Category,MATCH($B1138,PM_ID,0)),""))</f>
        <v/>
      </c>
      <c r="E1138" s="8">
        <f>IF($B1138="","",IFERROR(INDEX(PM_Subcategory,MATCH($B1138,PM_ID,0)),""))</f>
        <v/>
      </c>
      <c r="F1138" s="8">
        <f>IF($B1138="","",IFERROR(INDEX(PM_Brand,MATCH($B1138,PM_ID,0)),""))</f>
        <v/>
      </c>
      <c r="G1138" s="8">
        <f>IF($B1138="","",IFERROR(INDEX(PM_Model,MATCH($B1138,PM_ID,0)),""))</f>
        <v/>
      </c>
      <c r="H1138" s="5" t="n"/>
      <c r="I1138" s="10" t="n"/>
      <c r="J1138" s="9" t="n"/>
      <c r="K1138" s="5" t="n"/>
      <c r="L1138" s="5" t="n"/>
      <c r="M1138" s="5" t="n"/>
      <c r="N1138" s="5" t="n"/>
      <c r="O1138" s="8">
        <f>IF($B1138="","",IF(AND($A1138&lt;&gt;"",COUNTIF(INV_ID,$A1138)&gt;1),"⚠ this Unit ID already exists",IF(AND($H1138&lt;&gt;"",COUNTIF(INV_Serial,$H1138)&gt;1),"⚠ this serial already exists",IF(COUNTIFS(INV_Product,$B1138,INV_No,$C1138)&gt;1,"⚠ piece number reused",""))))</f>
        <v/>
      </c>
      <c r="P1138" s="5" t="n"/>
    </row>
    <row r="1139">
      <c r="A1139" s="8">
        <f>IF(OR($B1139="",$C1139=""),"",IFERROR(INDEX(PM_Short,MATCH($B1139,PM_ID,0))&amp;"-"&amp;TEXT($C1139,"00"),"?? no such product"))</f>
        <v/>
      </c>
      <c r="B1139" s="5" t="n"/>
      <c r="C1139" s="5" t="n"/>
      <c r="D1139" s="8">
        <f>IF($B1139="","",IFERROR(INDEX(PM_Category,MATCH($B1139,PM_ID,0)),""))</f>
        <v/>
      </c>
      <c r="E1139" s="8">
        <f>IF($B1139="","",IFERROR(INDEX(PM_Subcategory,MATCH($B1139,PM_ID,0)),""))</f>
        <v/>
      </c>
      <c r="F1139" s="8">
        <f>IF($B1139="","",IFERROR(INDEX(PM_Brand,MATCH($B1139,PM_ID,0)),""))</f>
        <v/>
      </c>
      <c r="G1139" s="8">
        <f>IF($B1139="","",IFERROR(INDEX(PM_Model,MATCH($B1139,PM_ID,0)),""))</f>
        <v/>
      </c>
      <c r="H1139" s="5" t="n"/>
      <c r="I1139" s="10" t="n"/>
      <c r="J1139" s="9" t="n"/>
      <c r="K1139" s="5" t="n"/>
      <c r="L1139" s="5" t="n"/>
      <c r="M1139" s="5" t="n"/>
      <c r="N1139" s="5" t="n"/>
      <c r="O1139" s="8">
        <f>IF($B1139="","",IF(AND($A1139&lt;&gt;"",COUNTIF(INV_ID,$A1139)&gt;1),"⚠ this Unit ID already exists",IF(AND($H1139&lt;&gt;"",COUNTIF(INV_Serial,$H1139)&gt;1),"⚠ this serial already exists",IF(COUNTIFS(INV_Product,$B1139,INV_No,$C1139)&gt;1,"⚠ piece number reused",""))))</f>
        <v/>
      </c>
      <c r="P1139" s="5" t="n"/>
    </row>
    <row r="1140">
      <c r="A1140" s="8">
        <f>IF(OR($B1140="",$C1140=""),"",IFERROR(INDEX(PM_Short,MATCH($B1140,PM_ID,0))&amp;"-"&amp;TEXT($C1140,"00"),"?? no such product"))</f>
        <v/>
      </c>
      <c r="B1140" s="5" t="n"/>
      <c r="C1140" s="5" t="n"/>
      <c r="D1140" s="8">
        <f>IF($B1140="","",IFERROR(INDEX(PM_Category,MATCH($B1140,PM_ID,0)),""))</f>
        <v/>
      </c>
      <c r="E1140" s="8">
        <f>IF($B1140="","",IFERROR(INDEX(PM_Subcategory,MATCH($B1140,PM_ID,0)),""))</f>
        <v/>
      </c>
      <c r="F1140" s="8">
        <f>IF($B1140="","",IFERROR(INDEX(PM_Brand,MATCH($B1140,PM_ID,0)),""))</f>
        <v/>
      </c>
      <c r="G1140" s="8">
        <f>IF($B1140="","",IFERROR(INDEX(PM_Model,MATCH($B1140,PM_ID,0)),""))</f>
        <v/>
      </c>
      <c r="H1140" s="5" t="n"/>
      <c r="I1140" s="10" t="n"/>
      <c r="J1140" s="9" t="n"/>
      <c r="K1140" s="5" t="n"/>
      <c r="L1140" s="5" t="n"/>
      <c r="M1140" s="5" t="n"/>
      <c r="N1140" s="5" t="n"/>
      <c r="O1140" s="8">
        <f>IF($B1140="","",IF(AND($A1140&lt;&gt;"",COUNTIF(INV_ID,$A1140)&gt;1),"⚠ this Unit ID already exists",IF(AND($H1140&lt;&gt;"",COUNTIF(INV_Serial,$H1140)&gt;1),"⚠ this serial already exists",IF(COUNTIFS(INV_Product,$B1140,INV_No,$C1140)&gt;1,"⚠ piece number reused",""))))</f>
        <v/>
      </c>
      <c r="P1140" s="5" t="n"/>
    </row>
    <row r="1141">
      <c r="A1141" s="8">
        <f>IF(OR($B1141="",$C1141=""),"",IFERROR(INDEX(PM_Short,MATCH($B1141,PM_ID,0))&amp;"-"&amp;TEXT($C1141,"00"),"?? no such product"))</f>
        <v/>
      </c>
      <c r="B1141" s="5" t="n"/>
      <c r="C1141" s="5" t="n"/>
      <c r="D1141" s="8">
        <f>IF($B1141="","",IFERROR(INDEX(PM_Category,MATCH($B1141,PM_ID,0)),""))</f>
        <v/>
      </c>
      <c r="E1141" s="8">
        <f>IF($B1141="","",IFERROR(INDEX(PM_Subcategory,MATCH($B1141,PM_ID,0)),""))</f>
        <v/>
      </c>
      <c r="F1141" s="8">
        <f>IF($B1141="","",IFERROR(INDEX(PM_Brand,MATCH($B1141,PM_ID,0)),""))</f>
        <v/>
      </c>
      <c r="G1141" s="8">
        <f>IF($B1141="","",IFERROR(INDEX(PM_Model,MATCH($B1141,PM_ID,0)),""))</f>
        <v/>
      </c>
      <c r="H1141" s="5" t="n"/>
      <c r="I1141" s="10" t="n"/>
      <c r="J1141" s="9" t="n"/>
      <c r="K1141" s="5" t="n"/>
      <c r="L1141" s="5" t="n"/>
      <c r="M1141" s="5" t="n"/>
      <c r="N1141" s="5" t="n"/>
      <c r="O1141" s="8">
        <f>IF($B1141="","",IF(AND($A1141&lt;&gt;"",COUNTIF(INV_ID,$A1141)&gt;1),"⚠ this Unit ID already exists",IF(AND($H1141&lt;&gt;"",COUNTIF(INV_Serial,$H1141)&gt;1),"⚠ this serial already exists",IF(COUNTIFS(INV_Product,$B1141,INV_No,$C1141)&gt;1,"⚠ piece number reused",""))))</f>
        <v/>
      </c>
      <c r="P1141" s="5" t="n"/>
    </row>
    <row r="1142">
      <c r="A1142" s="8">
        <f>IF(OR($B1142="",$C1142=""),"",IFERROR(INDEX(PM_Short,MATCH($B1142,PM_ID,0))&amp;"-"&amp;TEXT($C1142,"00"),"?? no such product"))</f>
        <v/>
      </c>
      <c r="B1142" s="5" t="n"/>
      <c r="C1142" s="5" t="n"/>
      <c r="D1142" s="8">
        <f>IF($B1142="","",IFERROR(INDEX(PM_Category,MATCH($B1142,PM_ID,0)),""))</f>
        <v/>
      </c>
      <c r="E1142" s="8">
        <f>IF($B1142="","",IFERROR(INDEX(PM_Subcategory,MATCH($B1142,PM_ID,0)),""))</f>
        <v/>
      </c>
      <c r="F1142" s="8">
        <f>IF($B1142="","",IFERROR(INDEX(PM_Brand,MATCH($B1142,PM_ID,0)),""))</f>
        <v/>
      </c>
      <c r="G1142" s="8">
        <f>IF($B1142="","",IFERROR(INDEX(PM_Model,MATCH($B1142,PM_ID,0)),""))</f>
        <v/>
      </c>
      <c r="H1142" s="5" t="n"/>
      <c r="I1142" s="10" t="n"/>
      <c r="J1142" s="9" t="n"/>
      <c r="K1142" s="5" t="n"/>
      <c r="L1142" s="5" t="n"/>
      <c r="M1142" s="5" t="n"/>
      <c r="N1142" s="5" t="n"/>
      <c r="O1142" s="8">
        <f>IF($B1142="","",IF(AND($A1142&lt;&gt;"",COUNTIF(INV_ID,$A1142)&gt;1),"⚠ this Unit ID already exists",IF(AND($H1142&lt;&gt;"",COUNTIF(INV_Serial,$H1142)&gt;1),"⚠ this serial already exists",IF(COUNTIFS(INV_Product,$B1142,INV_No,$C1142)&gt;1,"⚠ piece number reused",""))))</f>
        <v/>
      </c>
      <c r="P1142" s="5" t="n"/>
    </row>
    <row r="1143">
      <c r="A1143" s="8">
        <f>IF(OR($B1143="",$C1143=""),"",IFERROR(INDEX(PM_Short,MATCH($B1143,PM_ID,0))&amp;"-"&amp;TEXT($C1143,"00"),"?? no such product"))</f>
        <v/>
      </c>
      <c r="B1143" s="5" t="n"/>
      <c r="C1143" s="5" t="n"/>
      <c r="D1143" s="8">
        <f>IF($B1143="","",IFERROR(INDEX(PM_Category,MATCH($B1143,PM_ID,0)),""))</f>
        <v/>
      </c>
      <c r="E1143" s="8">
        <f>IF($B1143="","",IFERROR(INDEX(PM_Subcategory,MATCH($B1143,PM_ID,0)),""))</f>
        <v/>
      </c>
      <c r="F1143" s="8">
        <f>IF($B1143="","",IFERROR(INDEX(PM_Brand,MATCH($B1143,PM_ID,0)),""))</f>
        <v/>
      </c>
      <c r="G1143" s="8">
        <f>IF($B1143="","",IFERROR(INDEX(PM_Model,MATCH($B1143,PM_ID,0)),""))</f>
        <v/>
      </c>
      <c r="H1143" s="5" t="n"/>
      <c r="I1143" s="10" t="n"/>
      <c r="J1143" s="9" t="n"/>
      <c r="K1143" s="5" t="n"/>
      <c r="L1143" s="5" t="n"/>
      <c r="M1143" s="5" t="n"/>
      <c r="N1143" s="5" t="n"/>
      <c r="O1143" s="8">
        <f>IF($B1143="","",IF(AND($A1143&lt;&gt;"",COUNTIF(INV_ID,$A1143)&gt;1),"⚠ this Unit ID already exists",IF(AND($H1143&lt;&gt;"",COUNTIF(INV_Serial,$H1143)&gt;1),"⚠ this serial already exists",IF(COUNTIFS(INV_Product,$B1143,INV_No,$C1143)&gt;1,"⚠ piece number reused",""))))</f>
        <v/>
      </c>
      <c r="P1143" s="5" t="n"/>
    </row>
    <row r="1144">
      <c r="A1144" s="8">
        <f>IF(OR($B1144="",$C1144=""),"",IFERROR(INDEX(PM_Short,MATCH($B1144,PM_ID,0))&amp;"-"&amp;TEXT($C1144,"00"),"?? no such product"))</f>
        <v/>
      </c>
      <c r="B1144" s="5" t="n"/>
      <c r="C1144" s="5" t="n"/>
      <c r="D1144" s="8">
        <f>IF($B1144="","",IFERROR(INDEX(PM_Category,MATCH($B1144,PM_ID,0)),""))</f>
        <v/>
      </c>
      <c r="E1144" s="8">
        <f>IF($B1144="","",IFERROR(INDEX(PM_Subcategory,MATCH($B1144,PM_ID,0)),""))</f>
        <v/>
      </c>
      <c r="F1144" s="8">
        <f>IF($B1144="","",IFERROR(INDEX(PM_Brand,MATCH($B1144,PM_ID,0)),""))</f>
        <v/>
      </c>
      <c r="G1144" s="8">
        <f>IF($B1144="","",IFERROR(INDEX(PM_Model,MATCH($B1144,PM_ID,0)),""))</f>
        <v/>
      </c>
      <c r="H1144" s="5" t="n"/>
      <c r="I1144" s="10" t="n"/>
      <c r="J1144" s="9" t="n"/>
      <c r="K1144" s="5" t="n"/>
      <c r="L1144" s="5" t="n"/>
      <c r="M1144" s="5" t="n"/>
      <c r="N1144" s="5" t="n"/>
      <c r="O1144" s="8">
        <f>IF($B1144="","",IF(AND($A1144&lt;&gt;"",COUNTIF(INV_ID,$A1144)&gt;1),"⚠ this Unit ID already exists",IF(AND($H1144&lt;&gt;"",COUNTIF(INV_Serial,$H1144)&gt;1),"⚠ this serial already exists",IF(COUNTIFS(INV_Product,$B1144,INV_No,$C1144)&gt;1,"⚠ piece number reused",""))))</f>
        <v/>
      </c>
      <c r="P1144" s="5" t="n"/>
    </row>
    <row r="1145">
      <c r="A1145" s="8">
        <f>IF(OR($B1145="",$C1145=""),"",IFERROR(INDEX(PM_Short,MATCH($B1145,PM_ID,0))&amp;"-"&amp;TEXT($C1145,"00"),"?? no such product"))</f>
        <v/>
      </c>
      <c r="B1145" s="5" t="n"/>
      <c r="C1145" s="5" t="n"/>
      <c r="D1145" s="8">
        <f>IF($B1145="","",IFERROR(INDEX(PM_Category,MATCH($B1145,PM_ID,0)),""))</f>
        <v/>
      </c>
      <c r="E1145" s="8">
        <f>IF($B1145="","",IFERROR(INDEX(PM_Subcategory,MATCH($B1145,PM_ID,0)),""))</f>
        <v/>
      </c>
      <c r="F1145" s="8">
        <f>IF($B1145="","",IFERROR(INDEX(PM_Brand,MATCH($B1145,PM_ID,0)),""))</f>
        <v/>
      </c>
      <c r="G1145" s="8">
        <f>IF($B1145="","",IFERROR(INDEX(PM_Model,MATCH($B1145,PM_ID,0)),""))</f>
        <v/>
      </c>
      <c r="H1145" s="5" t="n"/>
      <c r="I1145" s="10" t="n"/>
      <c r="J1145" s="9" t="n"/>
      <c r="K1145" s="5" t="n"/>
      <c r="L1145" s="5" t="n"/>
      <c r="M1145" s="5" t="n"/>
      <c r="N1145" s="5" t="n"/>
      <c r="O1145" s="8">
        <f>IF($B1145="","",IF(AND($A1145&lt;&gt;"",COUNTIF(INV_ID,$A1145)&gt;1),"⚠ this Unit ID already exists",IF(AND($H1145&lt;&gt;"",COUNTIF(INV_Serial,$H1145)&gt;1),"⚠ this serial already exists",IF(COUNTIFS(INV_Product,$B1145,INV_No,$C1145)&gt;1,"⚠ piece number reused",""))))</f>
        <v/>
      </c>
      <c r="P1145" s="5" t="n"/>
    </row>
    <row r="1146">
      <c r="A1146" s="8">
        <f>IF(OR($B1146="",$C1146=""),"",IFERROR(INDEX(PM_Short,MATCH($B1146,PM_ID,0))&amp;"-"&amp;TEXT($C1146,"00"),"?? no such product"))</f>
        <v/>
      </c>
      <c r="B1146" s="5" t="n"/>
      <c r="C1146" s="5" t="n"/>
      <c r="D1146" s="8">
        <f>IF($B1146="","",IFERROR(INDEX(PM_Category,MATCH($B1146,PM_ID,0)),""))</f>
        <v/>
      </c>
      <c r="E1146" s="8">
        <f>IF($B1146="","",IFERROR(INDEX(PM_Subcategory,MATCH($B1146,PM_ID,0)),""))</f>
        <v/>
      </c>
      <c r="F1146" s="8">
        <f>IF($B1146="","",IFERROR(INDEX(PM_Brand,MATCH($B1146,PM_ID,0)),""))</f>
        <v/>
      </c>
      <c r="G1146" s="8">
        <f>IF($B1146="","",IFERROR(INDEX(PM_Model,MATCH($B1146,PM_ID,0)),""))</f>
        <v/>
      </c>
      <c r="H1146" s="5" t="n"/>
      <c r="I1146" s="10" t="n"/>
      <c r="J1146" s="9" t="n"/>
      <c r="K1146" s="5" t="n"/>
      <c r="L1146" s="5" t="n"/>
      <c r="M1146" s="5" t="n"/>
      <c r="N1146" s="5" t="n"/>
      <c r="O1146" s="8">
        <f>IF($B1146="","",IF(AND($A1146&lt;&gt;"",COUNTIF(INV_ID,$A1146)&gt;1),"⚠ this Unit ID already exists",IF(AND($H1146&lt;&gt;"",COUNTIF(INV_Serial,$H1146)&gt;1),"⚠ this serial already exists",IF(COUNTIFS(INV_Product,$B1146,INV_No,$C1146)&gt;1,"⚠ piece number reused",""))))</f>
        <v/>
      </c>
      <c r="P1146" s="5" t="n"/>
    </row>
    <row r="1147">
      <c r="A1147" s="8">
        <f>IF(OR($B1147="",$C1147=""),"",IFERROR(INDEX(PM_Short,MATCH($B1147,PM_ID,0))&amp;"-"&amp;TEXT($C1147,"00"),"?? no such product"))</f>
        <v/>
      </c>
      <c r="B1147" s="5" t="n"/>
      <c r="C1147" s="5" t="n"/>
      <c r="D1147" s="8">
        <f>IF($B1147="","",IFERROR(INDEX(PM_Category,MATCH($B1147,PM_ID,0)),""))</f>
        <v/>
      </c>
      <c r="E1147" s="8">
        <f>IF($B1147="","",IFERROR(INDEX(PM_Subcategory,MATCH($B1147,PM_ID,0)),""))</f>
        <v/>
      </c>
      <c r="F1147" s="8">
        <f>IF($B1147="","",IFERROR(INDEX(PM_Brand,MATCH($B1147,PM_ID,0)),""))</f>
        <v/>
      </c>
      <c r="G1147" s="8">
        <f>IF($B1147="","",IFERROR(INDEX(PM_Model,MATCH($B1147,PM_ID,0)),""))</f>
        <v/>
      </c>
      <c r="H1147" s="5" t="n"/>
      <c r="I1147" s="10" t="n"/>
      <c r="J1147" s="9" t="n"/>
      <c r="K1147" s="5" t="n"/>
      <c r="L1147" s="5" t="n"/>
      <c r="M1147" s="5" t="n"/>
      <c r="N1147" s="5" t="n"/>
      <c r="O1147" s="8">
        <f>IF($B1147="","",IF(AND($A1147&lt;&gt;"",COUNTIF(INV_ID,$A1147)&gt;1),"⚠ this Unit ID already exists",IF(AND($H1147&lt;&gt;"",COUNTIF(INV_Serial,$H1147)&gt;1),"⚠ this serial already exists",IF(COUNTIFS(INV_Product,$B1147,INV_No,$C1147)&gt;1,"⚠ piece number reused",""))))</f>
        <v/>
      </c>
      <c r="P1147" s="5" t="n"/>
    </row>
    <row r="1148">
      <c r="A1148" s="8">
        <f>IF(OR($B1148="",$C1148=""),"",IFERROR(INDEX(PM_Short,MATCH($B1148,PM_ID,0))&amp;"-"&amp;TEXT($C1148,"00"),"?? no such product"))</f>
        <v/>
      </c>
      <c r="B1148" s="5" t="n"/>
      <c r="C1148" s="5" t="n"/>
      <c r="D1148" s="8">
        <f>IF($B1148="","",IFERROR(INDEX(PM_Category,MATCH($B1148,PM_ID,0)),""))</f>
        <v/>
      </c>
      <c r="E1148" s="8">
        <f>IF($B1148="","",IFERROR(INDEX(PM_Subcategory,MATCH($B1148,PM_ID,0)),""))</f>
        <v/>
      </c>
      <c r="F1148" s="8">
        <f>IF($B1148="","",IFERROR(INDEX(PM_Brand,MATCH($B1148,PM_ID,0)),""))</f>
        <v/>
      </c>
      <c r="G1148" s="8">
        <f>IF($B1148="","",IFERROR(INDEX(PM_Model,MATCH($B1148,PM_ID,0)),""))</f>
        <v/>
      </c>
      <c r="H1148" s="5" t="n"/>
      <c r="I1148" s="10" t="n"/>
      <c r="J1148" s="9" t="n"/>
      <c r="K1148" s="5" t="n"/>
      <c r="L1148" s="5" t="n"/>
      <c r="M1148" s="5" t="n"/>
      <c r="N1148" s="5" t="n"/>
      <c r="O1148" s="8">
        <f>IF($B1148="","",IF(AND($A1148&lt;&gt;"",COUNTIF(INV_ID,$A1148)&gt;1),"⚠ this Unit ID already exists",IF(AND($H1148&lt;&gt;"",COUNTIF(INV_Serial,$H1148)&gt;1),"⚠ this serial already exists",IF(COUNTIFS(INV_Product,$B1148,INV_No,$C1148)&gt;1,"⚠ piece number reused",""))))</f>
        <v/>
      </c>
      <c r="P1148" s="5" t="n"/>
    </row>
    <row r="1149">
      <c r="A1149" s="8">
        <f>IF(OR($B1149="",$C1149=""),"",IFERROR(INDEX(PM_Short,MATCH($B1149,PM_ID,0))&amp;"-"&amp;TEXT($C1149,"00"),"?? no such product"))</f>
        <v/>
      </c>
      <c r="B1149" s="5" t="n"/>
      <c r="C1149" s="5" t="n"/>
      <c r="D1149" s="8">
        <f>IF($B1149="","",IFERROR(INDEX(PM_Category,MATCH($B1149,PM_ID,0)),""))</f>
        <v/>
      </c>
      <c r="E1149" s="8">
        <f>IF($B1149="","",IFERROR(INDEX(PM_Subcategory,MATCH($B1149,PM_ID,0)),""))</f>
        <v/>
      </c>
      <c r="F1149" s="8">
        <f>IF($B1149="","",IFERROR(INDEX(PM_Brand,MATCH($B1149,PM_ID,0)),""))</f>
        <v/>
      </c>
      <c r="G1149" s="8">
        <f>IF($B1149="","",IFERROR(INDEX(PM_Model,MATCH($B1149,PM_ID,0)),""))</f>
        <v/>
      </c>
      <c r="H1149" s="5" t="n"/>
      <c r="I1149" s="10" t="n"/>
      <c r="J1149" s="9" t="n"/>
      <c r="K1149" s="5" t="n"/>
      <c r="L1149" s="5" t="n"/>
      <c r="M1149" s="5" t="n"/>
      <c r="N1149" s="5" t="n"/>
      <c r="O1149" s="8">
        <f>IF($B1149="","",IF(AND($A1149&lt;&gt;"",COUNTIF(INV_ID,$A1149)&gt;1),"⚠ this Unit ID already exists",IF(AND($H1149&lt;&gt;"",COUNTIF(INV_Serial,$H1149)&gt;1),"⚠ this serial already exists",IF(COUNTIFS(INV_Product,$B1149,INV_No,$C1149)&gt;1,"⚠ piece number reused",""))))</f>
        <v/>
      </c>
      <c r="P1149" s="5" t="n"/>
    </row>
    <row r="1150">
      <c r="A1150" s="8">
        <f>IF(OR($B1150="",$C1150=""),"",IFERROR(INDEX(PM_Short,MATCH($B1150,PM_ID,0))&amp;"-"&amp;TEXT($C1150,"00"),"?? no such product"))</f>
        <v/>
      </c>
      <c r="B1150" s="5" t="n"/>
      <c r="C1150" s="5" t="n"/>
      <c r="D1150" s="8">
        <f>IF($B1150="","",IFERROR(INDEX(PM_Category,MATCH($B1150,PM_ID,0)),""))</f>
        <v/>
      </c>
      <c r="E1150" s="8">
        <f>IF($B1150="","",IFERROR(INDEX(PM_Subcategory,MATCH($B1150,PM_ID,0)),""))</f>
        <v/>
      </c>
      <c r="F1150" s="8">
        <f>IF($B1150="","",IFERROR(INDEX(PM_Brand,MATCH($B1150,PM_ID,0)),""))</f>
        <v/>
      </c>
      <c r="G1150" s="8">
        <f>IF($B1150="","",IFERROR(INDEX(PM_Model,MATCH($B1150,PM_ID,0)),""))</f>
        <v/>
      </c>
      <c r="H1150" s="5" t="n"/>
      <c r="I1150" s="10" t="n"/>
      <c r="J1150" s="9" t="n"/>
      <c r="K1150" s="5" t="n"/>
      <c r="L1150" s="5" t="n"/>
      <c r="M1150" s="5" t="n"/>
      <c r="N1150" s="5" t="n"/>
      <c r="O1150" s="8">
        <f>IF($B1150="","",IF(AND($A1150&lt;&gt;"",COUNTIF(INV_ID,$A1150)&gt;1),"⚠ this Unit ID already exists",IF(AND($H1150&lt;&gt;"",COUNTIF(INV_Serial,$H1150)&gt;1),"⚠ this serial already exists",IF(COUNTIFS(INV_Product,$B1150,INV_No,$C1150)&gt;1,"⚠ piece number reused",""))))</f>
        <v/>
      </c>
      <c r="P1150" s="5" t="n"/>
    </row>
    <row r="1151">
      <c r="A1151" s="8">
        <f>IF(OR($B1151="",$C1151=""),"",IFERROR(INDEX(PM_Short,MATCH($B1151,PM_ID,0))&amp;"-"&amp;TEXT($C1151,"00"),"?? no such product"))</f>
        <v/>
      </c>
      <c r="B1151" s="5" t="n"/>
      <c r="C1151" s="5" t="n"/>
      <c r="D1151" s="8">
        <f>IF($B1151="","",IFERROR(INDEX(PM_Category,MATCH($B1151,PM_ID,0)),""))</f>
        <v/>
      </c>
      <c r="E1151" s="8">
        <f>IF($B1151="","",IFERROR(INDEX(PM_Subcategory,MATCH($B1151,PM_ID,0)),""))</f>
        <v/>
      </c>
      <c r="F1151" s="8">
        <f>IF($B1151="","",IFERROR(INDEX(PM_Brand,MATCH($B1151,PM_ID,0)),""))</f>
        <v/>
      </c>
      <c r="G1151" s="8">
        <f>IF($B1151="","",IFERROR(INDEX(PM_Model,MATCH($B1151,PM_ID,0)),""))</f>
        <v/>
      </c>
      <c r="H1151" s="5" t="n"/>
      <c r="I1151" s="10" t="n"/>
      <c r="J1151" s="9" t="n"/>
      <c r="K1151" s="5" t="n"/>
      <c r="L1151" s="5" t="n"/>
      <c r="M1151" s="5" t="n"/>
      <c r="N1151" s="5" t="n"/>
      <c r="O1151" s="8">
        <f>IF($B1151="","",IF(AND($A1151&lt;&gt;"",COUNTIF(INV_ID,$A1151)&gt;1),"⚠ this Unit ID already exists",IF(AND($H1151&lt;&gt;"",COUNTIF(INV_Serial,$H1151)&gt;1),"⚠ this serial already exists",IF(COUNTIFS(INV_Product,$B1151,INV_No,$C1151)&gt;1,"⚠ piece number reused",""))))</f>
        <v/>
      </c>
      <c r="P1151" s="5" t="n"/>
    </row>
    <row r="1152">
      <c r="A1152" s="8">
        <f>IF(OR($B1152="",$C1152=""),"",IFERROR(INDEX(PM_Short,MATCH($B1152,PM_ID,0))&amp;"-"&amp;TEXT($C1152,"00"),"?? no such product"))</f>
        <v/>
      </c>
      <c r="B1152" s="5" t="n"/>
      <c r="C1152" s="5" t="n"/>
      <c r="D1152" s="8">
        <f>IF($B1152="","",IFERROR(INDEX(PM_Category,MATCH($B1152,PM_ID,0)),""))</f>
        <v/>
      </c>
      <c r="E1152" s="8">
        <f>IF($B1152="","",IFERROR(INDEX(PM_Subcategory,MATCH($B1152,PM_ID,0)),""))</f>
        <v/>
      </c>
      <c r="F1152" s="8">
        <f>IF($B1152="","",IFERROR(INDEX(PM_Brand,MATCH($B1152,PM_ID,0)),""))</f>
        <v/>
      </c>
      <c r="G1152" s="8">
        <f>IF($B1152="","",IFERROR(INDEX(PM_Model,MATCH($B1152,PM_ID,0)),""))</f>
        <v/>
      </c>
      <c r="H1152" s="5" t="n"/>
      <c r="I1152" s="10" t="n"/>
      <c r="J1152" s="9" t="n"/>
      <c r="K1152" s="5" t="n"/>
      <c r="L1152" s="5" t="n"/>
      <c r="M1152" s="5" t="n"/>
      <c r="N1152" s="5" t="n"/>
      <c r="O1152" s="8">
        <f>IF($B1152="","",IF(AND($A1152&lt;&gt;"",COUNTIF(INV_ID,$A1152)&gt;1),"⚠ this Unit ID already exists",IF(AND($H1152&lt;&gt;"",COUNTIF(INV_Serial,$H1152)&gt;1),"⚠ this serial already exists",IF(COUNTIFS(INV_Product,$B1152,INV_No,$C1152)&gt;1,"⚠ piece number reused",""))))</f>
        <v/>
      </c>
      <c r="P1152" s="5" t="n"/>
    </row>
    <row r="1153">
      <c r="A1153" s="8">
        <f>IF(OR($B1153="",$C1153=""),"",IFERROR(INDEX(PM_Short,MATCH($B1153,PM_ID,0))&amp;"-"&amp;TEXT($C1153,"00"),"?? no such product"))</f>
        <v/>
      </c>
      <c r="B1153" s="5" t="n"/>
      <c r="C1153" s="5" t="n"/>
      <c r="D1153" s="8">
        <f>IF($B1153="","",IFERROR(INDEX(PM_Category,MATCH($B1153,PM_ID,0)),""))</f>
        <v/>
      </c>
      <c r="E1153" s="8">
        <f>IF($B1153="","",IFERROR(INDEX(PM_Subcategory,MATCH($B1153,PM_ID,0)),""))</f>
        <v/>
      </c>
      <c r="F1153" s="8">
        <f>IF($B1153="","",IFERROR(INDEX(PM_Brand,MATCH($B1153,PM_ID,0)),""))</f>
        <v/>
      </c>
      <c r="G1153" s="8">
        <f>IF($B1153="","",IFERROR(INDEX(PM_Model,MATCH($B1153,PM_ID,0)),""))</f>
        <v/>
      </c>
      <c r="H1153" s="5" t="n"/>
      <c r="I1153" s="10" t="n"/>
      <c r="J1153" s="9" t="n"/>
      <c r="K1153" s="5" t="n"/>
      <c r="L1153" s="5" t="n"/>
      <c r="M1153" s="5" t="n"/>
      <c r="N1153" s="5" t="n"/>
      <c r="O1153" s="8">
        <f>IF($B1153="","",IF(AND($A1153&lt;&gt;"",COUNTIF(INV_ID,$A1153)&gt;1),"⚠ this Unit ID already exists",IF(AND($H1153&lt;&gt;"",COUNTIF(INV_Serial,$H1153)&gt;1),"⚠ this serial already exists",IF(COUNTIFS(INV_Product,$B1153,INV_No,$C1153)&gt;1,"⚠ piece number reused",""))))</f>
        <v/>
      </c>
      <c r="P1153" s="5" t="n"/>
    </row>
    <row r="1154">
      <c r="A1154" s="8">
        <f>IF(OR($B1154="",$C1154=""),"",IFERROR(INDEX(PM_Short,MATCH($B1154,PM_ID,0))&amp;"-"&amp;TEXT($C1154,"00"),"?? no such product"))</f>
        <v/>
      </c>
      <c r="B1154" s="5" t="n"/>
      <c r="C1154" s="5" t="n"/>
      <c r="D1154" s="8">
        <f>IF($B1154="","",IFERROR(INDEX(PM_Category,MATCH($B1154,PM_ID,0)),""))</f>
        <v/>
      </c>
      <c r="E1154" s="8">
        <f>IF($B1154="","",IFERROR(INDEX(PM_Subcategory,MATCH($B1154,PM_ID,0)),""))</f>
        <v/>
      </c>
      <c r="F1154" s="8">
        <f>IF($B1154="","",IFERROR(INDEX(PM_Brand,MATCH($B1154,PM_ID,0)),""))</f>
        <v/>
      </c>
      <c r="G1154" s="8">
        <f>IF($B1154="","",IFERROR(INDEX(PM_Model,MATCH($B1154,PM_ID,0)),""))</f>
        <v/>
      </c>
      <c r="H1154" s="5" t="n"/>
      <c r="I1154" s="10" t="n"/>
      <c r="J1154" s="9" t="n"/>
      <c r="K1154" s="5" t="n"/>
      <c r="L1154" s="5" t="n"/>
      <c r="M1154" s="5" t="n"/>
      <c r="N1154" s="5" t="n"/>
      <c r="O1154" s="8">
        <f>IF($B1154="","",IF(AND($A1154&lt;&gt;"",COUNTIF(INV_ID,$A1154)&gt;1),"⚠ this Unit ID already exists",IF(AND($H1154&lt;&gt;"",COUNTIF(INV_Serial,$H1154)&gt;1),"⚠ this serial already exists",IF(COUNTIFS(INV_Product,$B1154,INV_No,$C1154)&gt;1,"⚠ piece number reused",""))))</f>
        <v/>
      </c>
      <c r="P1154" s="5" t="n"/>
    </row>
    <row r="1155">
      <c r="A1155" s="8">
        <f>IF(OR($B1155="",$C1155=""),"",IFERROR(INDEX(PM_Short,MATCH($B1155,PM_ID,0))&amp;"-"&amp;TEXT($C1155,"00"),"?? no such product"))</f>
        <v/>
      </c>
      <c r="B1155" s="5" t="n"/>
      <c r="C1155" s="5" t="n"/>
      <c r="D1155" s="8">
        <f>IF($B1155="","",IFERROR(INDEX(PM_Category,MATCH($B1155,PM_ID,0)),""))</f>
        <v/>
      </c>
      <c r="E1155" s="8">
        <f>IF($B1155="","",IFERROR(INDEX(PM_Subcategory,MATCH($B1155,PM_ID,0)),""))</f>
        <v/>
      </c>
      <c r="F1155" s="8">
        <f>IF($B1155="","",IFERROR(INDEX(PM_Brand,MATCH($B1155,PM_ID,0)),""))</f>
        <v/>
      </c>
      <c r="G1155" s="8">
        <f>IF($B1155="","",IFERROR(INDEX(PM_Model,MATCH($B1155,PM_ID,0)),""))</f>
        <v/>
      </c>
      <c r="H1155" s="5" t="n"/>
      <c r="I1155" s="10" t="n"/>
      <c r="J1155" s="9" t="n"/>
      <c r="K1155" s="5" t="n"/>
      <c r="L1155" s="5" t="n"/>
      <c r="M1155" s="5" t="n"/>
      <c r="N1155" s="5" t="n"/>
      <c r="O1155" s="8">
        <f>IF($B1155="","",IF(AND($A1155&lt;&gt;"",COUNTIF(INV_ID,$A1155)&gt;1),"⚠ this Unit ID already exists",IF(AND($H1155&lt;&gt;"",COUNTIF(INV_Serial,$H1155)&gt;1),"⚠ this serial already exists",IF(COUNTIFS(INV_Product,$B1155,INV_No,$C1155)&gt;1,"⚠ piece number reused",""))))</f>
        <v/>
      </c>
      <c r="P1155" s="5" t="n"/>
    </row>
    <row r="1156">
      <c r="A1156" s="8">
        <f>IF(OR($B1156="",$C1156=""),"",IFERROR(INDEX(PM_Short,MATCH($B1156,PM_ID,0))&amp;"-"&amp;TEXT($C1156,"00"),"?? no such product"))</f>
        <v/>
      </c>
      <c r="B1156" s="5" t="n"/>
      <c r="C1156" s="5" t="n"/>
      <c r="D1156" s="8">
        <f>IF($B1156="","",IFERROR(INDEX(PM_Category,MATCH($B1156,PM_ID,0)),""))</f>
        <v/>
      </c>
      <c r="E1156" s="8">
        <f>IF($B1156="","",IFERROR(INDEX(PM_Subcategory,MATCH($B1156,PM_ID,0)),""))</f>
        <v/>
      </c>
      <c r="F1156" s="8">
        <f>IF($B1156="","",IFERROR(INDEX(PM_Brand,MATCH($B1156,PM_ID,0)),""))</f>
        <v/>
      </c>
      <c r="G1156" s="8">
        <f>IF($B1156="","",IFERROR(INDEX(PM_Model,MATCH($B1156,PM_ID,0)),""))</f>
        <v/>
      </c>
      <c r="H1156" s="5" t="n"/>
      <c r="I1156" s="10" t="n"/>
      <c r="J1156" s="9" t="n"/>
      <c r="K1156" s="5" t="n"/>
      <c r="L1156" s="5" t="n"/>
      <c r="M1156" s="5" t="n"/>
      <c r="N1156" s="5" t="n"/>
      <c r="O1156" s="8">
        <f>IF($B1156="","",IF(AND($A1156&lt;&gt;"",COUNTIF(INV_ID,$A1156)&gt;1),"⚠ this Unit ID already exists",IF(AND($H1156&lt;&gt;"",COUNTIF(INV_Serial,$H1156)&gt;1),"⚠ this serial already exists",IF(COUNTIFS(INV_Product,$B1156,INV_No,$C1156)&gt;1,"⚠ piece number reused",""))))</f>
        <v/>
      </c>
      <c r="P1156" s="5" t="n"/>
    </row>
    <row r="1157">
      <c r="A1157" s="8">
        <f>IF(OR($B1157="",$C1157=""),"",IFERROR(INDEX(PM_Short,MATCH($B1157,PM_ID,0))&amp;"-"&amp;TEXT($C1157,"00"),"?? no such product"))</f>
        <v/>
      </c>
      <c r="B1157" s="5" t="n"/>
      <c r="C1157" s="5" t="n"/>
      <c r="D1157" s="8">
        <f>IF($B1157="","",IFERROR(INDEX(PM_Category,MATCH($B1157,PM_ID,0)),""))</f>
        <v/>
      </c>
      <c r="E1157" s="8">
        <f>IF($B1157="","",IFERROR(INDEX(PM_Subcategory,MATCH($B1157,PM_ID,0)),""))</f>
        <v/>
      </c>
      <c r="F1157" s="8">
        <f>IF($B1157="","",IFERROR(INDEX(PM_Brand,MATCH($B1157,PM_ID,0)),""))</f>
        <v/>
      </c>
      <c r="G1157" s="8">
        <f>IF($B1157="","",IFERROR(INDEX(PM_Model,MATCH($B1157,PM_ID,0)),""))</f>
        <v/>
      </c>
      <c r="H1157" s="5" t="n"/>
      <c r="I1157" s="10" t="n"/>
      <c r="J1157" s="9" t="n"/>
      <c r="K1157" s="5" t="n"/>
      <c r="L1157" s="5" t="n"/>
      <c r="M1157" s="5" t="n"/>
      <c r="N1157" s="5" t="n"/>
      <c r="O1157" s="8">
        <f>IF($B1157="","",IF(AND($A1157&lt;&gt;"",COUNTIF(INV_ID,$A1157)&gt;1),"⚠ this Unit ID already exists",IF(AND($H1157&lt;&gt;"",COUNTIF(INV_Serial,$H1157)&gt;1),"⚠ this serial already exists",IF(COUNTIFS(INV_Product,$B1157,INV_No,$C1157)&gt;1,"⚠ piece number reused",""))))</f>
        <v/>
      </c>
      <c r="P1157" s="5" t="n"/>
    </row>
    <row r="1158">
      <c r="A1158" s="8">
        <f>IF(OR($B1158="",$C1158=""),"",IFERROR(INDEX(PM_Short,MATCH($B1158,PM_ID,0))&amp;"-"&amp;TEXT($C1158,"00"),"?? no such product"))</f>
        <v/>
      </c>
      <c r="B1158" s="5" t="n"/>
      <c r="C1158" s="5" t="n"/>
      <c r="D1158" s="8">
        <f>IF($B1158="","",IFERROR(INDEX(PM_Category,MATCH($B1158,PM_ID,0)),""))</f>
        <v/>
      </c>
      <c r="E1158" s="8">
        <f>IF($B1158="","",IFERROR(INDEX(PM_Subcategory,MATCH($B1158,PM_ID,0)),""))</f>
        <v/>
      </c>
      <c r="F1158" s="8">
        <f>IF($B1158="","",IFERROR(INDEX(PM_Brand,MATCH($B1158,PM_ID,0)),""))</f>
        <v/>
      </c>
      <c r="G1158" s="8">
        <f>IF($B1158="","",IFERROR(INDEX(PM_Model,MATCH($B1158,PM_ID,0)),""))</f>
        <v/>
      </c>
      <c r="H1158" s="5" t="n"/>
      <c r="I1158" s="10" t="n"/>
      <c r="J1158" s="9" t="n"/>
      <c r="K1158" s="5" t="n"/>
      <c r="L1158" s="5" t="n"/>
      <c r="M1158" s="5" t="n"/>
      <c r="N1158" s="5" t="n"/>
      <c r="O1158" s="8">
        <f>IF($B1158="","",IF(AND($A1158&lt;&gt;"",COUNTIF(INV_ID,$A1158)&gt;1),"⚠ this Unit ID already exists",IF(AND($H1158&lt;&gt;"",COUNTIF(INV_Serial,$H1158)&gt;1),"⚠ this serial already exists",IF(COUNTIFS(INV_Product,$B1158,INV_No,$C1158)&gt;1,"⚠ piece number reused",""))))</f>
        <v/>
      </c>
      <c r="P1158" s="5" t="n"/>
    </row>
    <row r="1159">
      <c r="A1159" s="8">
        <f>IF(OR($B1159="",$C1159=""),"",IFERROR(INDEX(PM_Short,MATCH($B1159,PM_ID,0))&amp;"-"&amp;TEXT($C1159,"00"),"?? no such product"))</f>
        <v/>
      </c>
      <c r="B1159" s="5" t="n"/>
      <c r="C1159" s="5" t="n"/>
      <c r="D1159" s="8">
        <f>IF($B1159="","",IFERROR(INDEX(PM_Category,MATCH($B1159,PM_ID,0)),""))</f>
        <v/>
      </c>
      <c r="E1159" s="8">
        <f>IF($B1159="","",IFERROR(INDEX(PM_Subcategory,MATCH($B1159,PM_ID,0)),""))</f>
        <v/>
      </c>
      <c r="F1159" s="8">
        <f>IF($B1159="","",IFERROR(INDEX(PM_Brand,MATCH($B1159,PM_ID,0)),""))</f>
        <v/>
      </c>
      <c r="G1159" s="8">
        <f>IF($B1159="","",IFERROR(INDEX(PM_Model,MATCH($B1159,PM_ID,0)),""))</f>
        <v/>
      </c>
      <c r="H1159" s="5" t="n"/>
      <c r="I1159" s="10" t="n"/>
      <c r="J1159" s="9" t="n"/>
      <c r="K1159" s="5" t="n"/>
      <c r="L1159" s="5" t="n"/>
      <c r="M1159" s="5" t="n"/>
      <c r="N1159" s="5" t="n"/>
      <c r="O1159" s="8">
        <f>IF($B1159="","",IF(AND($A1159&lt;&gt;"",COUNTIF(INV_ID,$A1159)&gt;1),"⚠ this Unit ID already exists",IF(AND($H1159&lt;&gt;"",COUNTIF(INV_Serial,$H1159)&gt;1),"⚠ this serial already exists",IF(COUNTIFS(INV_Product,$B1159,INV_No,$C1159)&gt;1,"⚠ piece number reused",""))))</f>
        <v/>
      </c>
      <c r="P1159" s="5" t="n"/>
    </row>
    <row r="1160">
      <c r="A1160" s="8">
        <f>IF(OR($B1160="",$C1160=""),"",IFERROR(INDEX(PM_Short,MATCH($B1160,PM_ID,0))&amp;"-"&amp;TEXT($C1160,"00"),"?? no such product"))</f>
        <v/>
      </c>
      <c r="B1160" s="5" t="n"/>
      <c r="C1160" s="5" t="n"/>
      <c r="D1160" s="8">
        <f>IF($B1160="","",IFERROR(INDEX(PM_Category,MATCH($B1160,PM_ID,0)),""))</f>
        <v/>
      </c>
      <c r="E1160" s="8">
        <f>IF($B1160="","",IFERROR(INDEX(PM_Subcategory,MATCH($B1160,PM_ID,0)),""))</f>
        <v/>
      </c>
      <c r="F1160" s="8">
        <f>IF($B1160="","",IFERROR(INDEX(PM_Brand,MATCH($B1160,PM_ID,0)),""))</f>
        <v/>
      </c>
      <c r="G1160" s="8">
        <f>IF($B1160="","",IFERROR(INDEX(PM_Model,MATCH($B1160,PM_ID,0)),""))</f>
        <v/>
      </c>
      <c r="H1160" s="5" t="n"/>
      <c r="I1160" s="10" t="n"/>
      <c r="J1160" s="9" t="n"/>
      <c r="K1160" s="5" t="n"/>
      <c r="L1160" s="5" t="n"/>
      <c r="M1160" s="5" t="n"/>
      <c r="N1160" s="5" t="n"/>
      <c r="O1160" s="8">
        <f>IF($B1160="","",IF(AND($A1160&lt;&gt;"",COUNTIF(INV_ID,$A1160)&gt;1),"⚠ this Unit ID already exists",IF(AND($H1160&lt;&gt;"",COUNTIF(INV_Serial,$H1160)&gt;1),"⚠ this serial already exists",IF(COUNTIFS(INV_Product,$B1160,INV_No,$C1160)&gt;1,"⚠ piece number reused",""))))</f>
        <v/>
      </c>
      <c r="P1160" s="5" t="n"/>
    </row>
    <row r="1161">
      <c r="A1161" s="8">
        <f>IF(OR($B1161="",$C1161=""),"",IFERROR(INDEX(PM_Short,MATCH($B1161,PM_ID,0))&amp;"-"&amp;TEXT($C1161,"00"),"?? no such product"))</f>
        <v/>
      </c>
      <c r="B1161" s="5" t="n"/>
      <c r="C1161" s="5" t="n"/>
      <c r="D1161" s="8">
        <f>IF($B1161="","",IFERROR(INDEX(PM_Category,MATCH($B1161,PM_ID,0)),""))</f>
        <v/>
      </c>
      <c r="E1161" s="8">
        <f>IF($B1161="","",IFERROR(INDEX(PM_Subcategory,MATCH($B1161,PM_ID,0)),""))</f>
        <v/>
      </c>
      <c r="F1161" s="8">
        <f>IF($B1161="","",IFERROR(INDEX(PM_Brand,MATCH($B1161,PM_ID,0)),""))</f>
        <v/>
      </c>
      <c r="G1161" s="8">
        <f>IF($B1161="","",IFERROR(INDEX(PM_Model,MATCH($B1161,PM_ID,0)),""))</f>
        <v/>
      </c>
      <c r="H1161" s="5" t="n"/>
      <c r="I1161" s="10" t="n"/>
      <c r="J1161" s="9" t="n"/>
      <c r="K1161" s="5" t="n"/>
      <c r="L1161" s="5" t="n"/>
      <c r="M1161" s="5" t="n"/>
      <c r="N1161" s="5" t="n"/>
      <c r="O1161" s="8">
        <f>IF($B1161="","",IF(AND($A1161&lt;&gt;"",COUNTIF(INV_ID,$A1161)&gt;1),"⚠ this Unit ID already exists",IF(AND($H1161&lt;&gt;"",COUNTIF(INV_Serial,$H1161)&gt;1),"⚠ this serial already exists",IF(COUNTIFS(INV_Product,$B1161,INV_No,$C1161)&gt;1,"⚠ piece number reused",""))))</f>
        <v/>
      </c>
      <c r="P1161" s="5" t="n"/>
    </row>
    <row r="1162">
      <c r="A1162" s="8">
        <f>IF(OR($B1162="",$C1162=""),"",IFERROR(INDEX(PM_Short,MATCH($B1162,PM_ID,0))&amp;"-"&amp;TEXT($C1162,"00"),"?? no such product"))</f>
        <v/>
      </c>
      <c r="B1162" s="5" t="n"/>
      <c r="C1162" s="5" t="n"/>
      <c r="D1162" s="8">
        <f>IF($B1162="","",IFERROR(INDEX(PM_Category,MATCH($B1162,PM_ID,0)),""))</f>
        <v/>
      </c>
      <c r="E1162" s="8">
        <f>IF($B1162="","",IFERROR(INDEX(PM_Subcategory,MATCH($B1162,PM_ID,0)),""))</f>
        <v/>
      </c>
      <c r="F1162" s="8">
        <f>IF($B1162="","",IFERROR(INDEX(PM_Brand,MATCH($B1162,PM_ID,0)),""))</f>
        <v/>
      </c>
      <c r="G1162" s="8">
        <f>IF($B1162="","",IFERROR(INDEX(PM_Model,MATCH($B1162,PM_ID,0)),""))</f>
        <v/>
      </c>
      <c r="H1162" s="5" t="n"/>
      <c r="I1162" s="10" t="n"/>
      <c r="J1162" s="9" t="n"/>
      <c r="K1162" s="5" t="n"/>
      <c r="L1162" s="5" t="n"/>
      <c r="M1162" s="5" t="n"/>
      <c r="N1162" s="5" t="n"/>
      <c r="O1162" s="8">
        <f>IF($B1162="","",IF(AND($A1162&lt;&gt;"",COUNTIF(INV_ID,$A1162)&gt;1),"⚠ this Unit ID already exists",IF(AND($H1162&lt;&gt;"",COUNTIF(INV_Serial,$H1162)&gt;1),"⚠ this serial already exists",IF(COUNTIFS(INV_Product,$B1162,INV_No,$C1162)&gt;1,"⚠ piece number reused",""))))</f>
        <v/>
      </c>
      <c r="P1162" s="5" t="n"/>
    </row>
    <row r="1163">
      <c r="A1163" s="8">
        <f>IF(OR($B1163="",$C1163=""),"",IFERROR(INDEX(PM_Short,MATCH($B1163,PM_ID,0))&amp;"-"&amp;TEXT($C1163,"00"),"?? no such product"))</f>
        <v/>
      </c>
      <c r="B1163" s="5" t="n"/>
      <c r="C1163" s="5" t="n"/>
      <c r="D1163" s="8">
        <f>IF($B1163="","",IFERROR(INDEX(PM_Category,MATCH($B1163,PM_ID,0)),""))</f>
        <v/>
      </c>
      <c r="E1163" s="8">
        <f>IF($B1163="","",IFERROR(INDEX(PM_Subcategory,MATCH($B1163,PM_ID,0)),""))</f>
        <v/>
      </c>
      <c r="F1163" s="8">
        <f>IF($B1163="","",IFERROR(INDEX(PM_Brand,MATCH($B1163,PM_ID,0)),""))</f>
        <v/>
      </c>
      <c r="G1163" s="8">
        <f>IF($B1163="","",IFERROR(INDEX(PM_Model,MATCH($B1163,PM_ID,0)),""))</f>
        <v/>
      </c>
      <c r="H1163" s="5" t="n"/>
      <c r="I1163" s="10" t="n"/>
      <c r="J1163" s="9" t="n"/>
      <c r="K1163" s="5" t="n"/>
      <c r="L1163" s="5" t="n"/>
      <c r="M1163" s="5" t="n"/>
      <c r="N1163" s="5" t="n"/>
      <c r="O1163" s="8">
        <f>IF($B1163="","",IF(AND($A1163&lt;&gt;"",COUNTIF(INV_ID,$A1163)&gt;1),"⚠ this Unit ID already exists",IF(AND($H1163&lt;&gt;"",COUNTIF(INV_Serial,$H1163)&gt;1),"⚠ this serial already exists",IF(COUNTIFS(INV_Product,$B1163,INV_No,$C1163)&gt;1,"⚠ piece number reused",""))))</f>
        <v/>
      </c>
      <c r="P1163" s="5" t="n"/>
    </row>
    <row r="1164">
      <c r="A1164" s="8">
        <f>IF(OR($B1164="",$C1164=""),"",IFERROR(INDEX(PM_Short,MATCH($B1164,PM_ID,0))&amp;"-"&amp;TEXT($C1164,"00"),"?? no such product"))</f>
        <v/>
      </c>
      <c r="B1164" s="5" t="n"/>
      <c r="C1164" s="5" t="n"/>
      <c r="D1164" s="8">
        <f>IF($B1164="","",IFERROR(INDEX(PM_Category,MATCH($B1164,PM_ID,0)),""))</f>
        <v/>
      </c>
      <c r="E1164" s="8">
        <f>IF($B1164="","",IFERROR(INDEX(PM_Subcategory,MATCH($B1164,PM_ID,0)),""))</f>
        <v/>
      </c>
      <c r="F1164" s="8">
        <f>IF($B1164="","",IFERROR(INDEX(PM_Brand,MATCH($B1164,PM_ID,0)),""))</f>
        <v/>
      </c>
      <c r="G1164" s="8">
        <f>IF($B1164="","",IFERROR(INDEX(PM_Model,MATCH($B1164,PM_ID,0)),""))</f>
        <v/>
      </c>
      <c r="H1164" s="5" t="n"/>
      <c r="I1164" s="10" t="n"/>
      <c r="J1164" s="9" t="n"/>
      <c r="K1164" s="5" t="n"/>
      <c r="L1164" s="5" t="n"/>
      <c r="M1164" s="5" t="n"/>
      <c r="N1164" s="5" t="n"/>
      <c r="O1164" s="8">
        <f>IF($B1164="","",IF(AND($A1164&lt;&gt;"",COUNTIF(INV_ID,$A1164)&gt;1),"⚠ this Unit ID already exists",IF(AND($H1164&lt;&gt;"",COUNTIF(INV_Serial,$H1164)&gt;1),"⚠ this serial already exists",IF(COUNTIFS(INV_Product,$B1164,INV_No,$C1164)&gt;1,"⚠ piece number reused",""))))</f>
        <v/>
      </c>
      <c r="P1164" s="5" t="n"/>
    </row>
    <row r="1165">
      <c r="A1165" s="8">
        <f>IF(OR($B1165="",$C1165=""),"",IFERROR(INDEX(PM_Short,MATCH($B1165,PM_ID,0))&amp;"-"&amp;TEXT($C1165,"00"),"?? no such product"))</f>
        <v/>
      </c>
      <c r="B1165" s="5" t="n"/>
      <c r="C1165" s="5" t="n"/>
      <c r="D1165" s="8">
        <f>IF($B1165="","",IFERROR(INDEX(PM_Category,MATCH($B1165,PM_ID,0)),""))</f>
        <v/>
      </c>
      <c r="E1165" s="8">
        <f>IF($B1165="","",IFERROR(INDEX(PM_Subcategory,MATCH($B1165,PM_ID,0)),""))</f>
        <v/>
      </c>
      <c r="F1165" s="8">
        <f>IF($B1165="","",IFERROR(INDEX(PM_Brand,MATCH($B1165,PM_ID,0)),""))</f>
        <v/>
      </c>
      <c r="G1165" s="8">
        <f>IF($B1165="","",IFERROR(INDEX(PM_Model,MATCH($B1165,PM_ID,0)),""))</f>
        <v/>
      </c>
      <c r="H1165" s="5" t="n"/>
      <c r="I1165" s="10" t="n"/>
      <c r="J1165" s="9" t="n"/>
      <c r="K1165" s="5" t="n"/>
      <c r="L1165" s="5" t="n"/>
      <c r="M1165" s="5" t="n"/>
      <c r="N1165" s="5" t="n"/>
      <c r="O1165" s="8">
        <f>IF($B1165="","",IF(AND($A1165&lt;&gt;"",COUNTIF(INV_ID,$A1165)&gt;1),"⚠ this Unit ID already exists",IF(AND($H1165&lt;&gt;"",COUNTIF(INV_Serial,$H1165)&gt;1),"⚠ this serial already exists",IF(COUNTIFS(INV_Product,$B1165,INV_No,$C1165)&gt;1,"⚠ piece number reused",""))))</f>
        <v/>
      </c>
      <c r="P1165" s="5" t="n"/>
    </row>
    <row r="1166">
      <c r="A1166" s="8">
        <f>IF(OR($B1166="",$C1166=""),"",IFERROR(INDEX(PM_Short,MATCH($B1166,PM_ID,0))&amp;"-"&amp;TEXT($C1166,"00"),"?? no such product"))</f>
        <v/>
      </c>
      <c r="B1166" s="5" t="n"/>
      <c r="C1166" s="5" t="n"/>
      <c r="D1166" s="8">
        <f>IF($B1166="","",IFERROR(INDEX(PM_Category,MATCH($B1166,PM_ID,0)),""))</f>
        <v/>
      </c>
      <c r="E1166" s="8">
        <f>IF($B1166="","",IFERROR(INDEX(PM_Subcategory,MATCH($B1166,PM_ID,0)),""))</f>
        <v/>
      </c>
      <c r="F1166" s="8">
        <f>IF($B1166="","",IFERROR(INDEX(PM_Brand,MATCH($B1166,PM_ID,0)),""))</f>
        <v/>
      </c>
      <c r="G1166" s="8">
        <f>IF($B1166="","",IFERROR(INDEX(PM_Model,MATCH($B1166,PM_ID,0)),""))</f>
        <v/>
      </c>
      <c r="H1166" s="5" t="n"/>
      <c r="I1166" s="10" t="n"/>
      <c r="J1166" s="9" t="n"/>
      <c r="K1166" s="5" t="n"/>
      <c r="L1166" s="5" t="n"/>
      <c r="M1166" s="5" t="n"/>
      <c r="N1166" s="5" t="n"/>
      <c r="O1166" s="8">
        <f>IF($B1166="","",IF(AND($A1166&lt;&gt;"",COUNTIF(INV_ID,$A1166)&gt;1),"⚠ this Unit ID already exists",IF(AND($H1166&lt;&gt;"",COUNTIF(INV_Serial,$H1166)&gt;1),"⚠ this serial already exists",IF(COUNTIFS(INV_Product,$B1166,INV_No,$C1166)&gt;1,"⚠ piece number reused",""))))</f>
        <v/>
      </c>
      <c r="P1166" s="5" t="n"/>
    </row>
    <row r="1167">
      <c r="A1167" s="8">
        <f>IF(OR($B1167="",$C1167=""),"",IFERROR(INDEX(PM_Short,MATCH($B1167,PM_ID,0))&amp;"-"&amp;TEXT($C1167,"00"),"?? no such product"))</f>
        <v/>
      </c>
      <c r="B1167" s="5" t="n"/>
      <c r="C1167" s="5" t="n"/>
      <c r="D1167" s="8">
        <f>IF($B1167="","",IFERROR(INDEX(PM_Category,MATCH($B1167,PM_ID,0)),""))</f>
        <v/>
      </c>
      <c r="E1167" s="8">
        <f>IF($B1167="","",IFERROR(INDEX(PM_Subcategory,MATCH($B1167,PM_ID,0)),""))</f>
        <v/>
      </c>
      <c r="F1167" s="8">
        <f>IF($B1167="","",IFERROR(INDEX(PM_Brand,MATCH($B1167,PM_ID,0)),""))</f>
        <v/>
      </c>
      <c r="G1167" s="8">
        <f>IF($B1167="","",IFERROR(INDEX(PM_Model,MATCH($B1167,PM_ID,0)),""))</f>
        <v/>
      </c>
      <c r="H1167" s="5" t="n"/>
      <c r="I1167" s="10" t="n"/>
      <c r="J1167" s="9" t="n"/>
      <c r="K1167" s="5" t="n"/>
      <c r="L1167" s="5" t="n"/>
      <c r="M1167" s="5" t="n"/>
      <c r="N1167" s="5" t="n"/>
      <c r="O1167" s="8">
        <f>IF($B1167="","",IF(AND($A1167&lt;&gt;"",COUNTIF(INV_ID,$A1167)&gt;1),"⚠ this Unit ID already exists",IF(AND($H1167&lt;&gt;"",COUNTIF(INV_Serial,$H1167)&gt;1),"⚠ this serial already exists",IF(COUNTIFS(INV_Product,$B1167,INV_No,$C1167)&gt;1,"⚠ piece number reused",""))))</f>
        <v/>
      </c>
      <c r="P1167" s="5" t="n"/>
    </row>
    <row r="1168">
      <c r="A1168" s="8">
        <f>IF(OR($B1168="",$C1168=""),"",IFERROR(INDEX(PM_Short,MATCH($B1168,PM_ID,0))&amp;"-"&amp;TEXT($C1168,"00"),"?? no such product"))</f>
        <v/>
      </c>
      <c r="B1168" s="5" t="n"/>
      <c r="C1168" s="5" t="n"/>
      <c r="D1168" s="8">
        <f>IF($B1168="","",IFERROR(INDEX(PM_Category,MATCH($B1168,PM_ID,0)),""))</f>
        <v/>
      </c>
      <c r="E1168" s="8">
        <f>IF($B1168="","",IFERROR(INDEX(PM_Subcategory,MATCH($B1168,PM_ID,0)),""))</f>
        <v/>
      </c>
      <c r="F1168" s="8">
        <f>IF($B1168="","",IFERROR(INDEX(PM_Brand,MATCH($B1168,PM_ID,0)),""))</f>
        <v/>
      </c>
      <c r="G1168" s="8">
        <f>IF($B1168="","",IFERROR(INDEX(PM_Model,MATCH($B1168,PM_ID,0)),""))</f>
        <v/>
      </c>
      <c r="H1168" s="5" t="n"/>
      <c r="I1168" s="10" t="n"/>
      <c r="J1168" s="9" t="n"/>
      <c r="K1168" s="5" t="n"/>
      <c r="L1168" s="5" t="n"/>
      <c r="M1168" s="5" t="n"/>
      <c r="N1168" s="5" t="n"/>
      <c r="O1168" s="8">
        <f>IF($B1168="","",IF(AND($A1168&lt;&gt;"",COUNTIF(INV_ID,$A1168)&gt;1),"⚠ this Unit ID already exists",IF(AND($H1168&lt;&gt;"",COUNTIF(INV_Serial,$H1168)&gt;1),"⚠ this serial already exists",IF(COUNTIFS(INV_Product,$B1168,INV_No,$C1168)&gt;1,"⚠ piece number reused",""))))</f>
        <v/>
      </c>
      <c r="P1168" s="5" t="n"/>
    </row>
    <row r="1169">
      <c r="A1169" s="8">
        <f>IF(OR($B1169="",$C1169=""),"",IFERROR(INDEX(PM_Short,MATCH($B1169,PM_ID,0))&amp;"-"&amp;TEXT($C1169,"00"),"?? no such product"))</f>
        <v/>
      </c>
      <c r="B1169" s="5" t="n"/>
      <c r="C1169" s="5" t="n"/>
      <c r="D1169" s="8">
        <f>IF($B1169="","",IFERROR(INDEX(PM_Category,MATCH($B1169,PM_ID,0)),""))</f>
        <v/>
      </c>
      <c r="E1169" s="8">
        <f>IF($B1169="","",IFERROR(INDEX(PM_Subcategory,MATCH($B1169,PM_ID,0)),""))</f>
        <v/>
      </c>
      <c r="F1169" s="8">
        <f>IF($B1169="","",IFERROR(INDEX(PM_Brand,MATCH($B1169,PM_ID,0)),""))</f>
        <v/>
      </c>
      <c r="G1169" s="8">
        <f>IF($B1169="","",IFERROR(INDEX(PM_Model,MATCH($B1169,PM_ID,0)),""))</f>
        <v/>
      </c>
      <c r="H1169" s="5" t="n"/>
      <c r="I1169" s="10" t="n"/>
      <c r="J1169" s="9" t="n"/>
      <c r="K1169" s="5" t="n"/>
      <c r="L1169" s="5" t="n"/>
      <c r="M1169" s="5" t="n"/>
      <c r="N1169" s="5" t="n"/>
      <c r="O1169" s="8">
        <f>IF($B1169="","",IF(AND($A1169&lt;&gt;"",COUNTIF(INV_ID,$A1169)&gt;1),"⚠ this Unit ID already exists",IF(AND($H1169&lt;&gt;"",COUNTIF(INV_Serial,$H1169)&gt;1),"⚠ this serial already exists",IF(COUNTIFS(INV_Product,$B1169,INV_No,$C1169)&gt;1,"⚠ piece number reused",""))))</f>
        <v/>
      </c>
      <c r="P1169" s="5" t="n"/>
    </row>
    <row r="1170">
      <c r="A1170" s="8">
        <f>IF(OR($B1170="",$C1170=""),"",IFERROR(INDEX(PM_Short,MATCH($B1170,PM_ID,0))&amp;"-"&amp;TEXT($C1170,"00"),"?? no such product"))</f>
        <v/>
      </c>
      <c r="B1170" s="5" t="n"/>
      <c r="C1170" s="5" t="n"/>
      <c r="D1170" s="8">
        <f>IF($B1170="","",IFERROR(INDEX(PM_Category,MATCH($B1170,PM_ID,0)),""))</f>
        <v/>
      </c>
      <c r="E1170" s="8">
        <f>IF($B1170="","",IFERROR(INDEX(PM_Subcategory,MATCH($B1170,PM_ID,0)),""))</f>
        <v/>
      </c>
      <c r="F1170" s="8">
        <f>IF($B1170="","",IFERROR(INDEX(PM_Brand,MATCH($B1170,PM_ID,0)),""))</f>
        <v/>
      </c>
      <c r="G1170" s="8">
        <f>IF($B1170="","",IFERROR(INDEX(PM_Model,MATCH($B1170,PM_ID,0)),""))</f>
        <v/>
      </c>
      <c r="H1170" s="5" t="n"/>
      <c r="I1170" s="10" t="n"/>
      <c r="J1170" s="9" t="n"/>
      <c r="K1170" s="5" t="n"/>
      <c r="L1170" s="5" t="n"/>
      <c r="M1170" s="5" t="n"/>
      <c r="N1170" s="5" t="n"/>
      <c r="O1170" s="8">
        <f>IF($B1170="","",IF(AND($A1170&lt;&gt;"",COUNTIF(INV_ID,$A1170)&gt;1),"⚠ this Unit ID already exists",IF(AND($H1170&lt;&gt;"",COUNTIF(INV_Serial,$H1170)&gt;1),"⚠ this serial already exists",IF(COUNTIFS(INV_Product,$B1170,INV_No,$C1170)&gt;1,"⚠ piece number reused",""))))</f>
        <v/>
      </c>
      <c r="P1170" s="5" t="n"/>
    </row>
    <row r="1171">
      <c r="A1171" s="8">
        <f>IF(OR($B1171="",$C1171=""),"",IFERROR(INDEX(PM_Short,MATCH($B1171,PM_ID,0))&amp;"-"&amp;TEXT($C1171,"00"),"?? no such product"))</f>
        <v/>
      </c>
      <c r="B1171" s="5" t="n"/>
      <c r="C1171" s="5" t="n"/>
      <c r="D1171" s="8">
        <f>IF($B1171="","",IFERROR(INDEX(PM_Category,MATCH($B1171,PM_ID,0)),""))</f>
        <v/>
      </c>
      <c r="E1171" s="8">
        <f>IF($B1171="","",IFERROR(INDEX(PM_Subcategory,MATCH($B1171,PM_ID,0)),""))</f>
        <v/>
      </c>
      <c r="F1171" s="8">
        <f>IF($B1171="","",IFERROR(INDEX(PM_Brand,MATCH($B1171,PM_ID,0)),""))</f>
        <v/>
      </c>
      <c r="G1171" s="8">
        <f>IF($B1171="","",IFERROR(INDEX(PM_Model,MATCH($B1171,PM_ID,0)),""))</f>
        <v/>
      </c>
      <c r="H1171" s="5" t="n"/>
      <c r="I1171" s="10" t="n"/>
      <c r="J1171" s="9" t="n"/>
      <c r="K1171" s="5" t="n"/>
      <c r="L1171" s="5" t="n"/>
      <c r="M1171" s="5" t="n"/>
      <c r="N1171" s="5" t="n"/>
      <c r="O1171" s="8">
        <f>IF($B1171="","",IF(AND($A1171&lt;&gt;"",COUNTIF(INV_ID,$A1171)&gt;1),"⚠ this Unit ID already exists",IF(AND($H1171&lt;&gt;"",COUNTIF(INV_Serial,$H1171)&gt;1),"⚠ this serial already exists",IF(COUNTIFS(INV_Product,$B1171,INV_No,$C1171)&gt;1,"⚠ piece number reused",""))))</f>
        <v/>
      </c>
      <c r="P1171" s="5" t="n"/>
    </row>
    <row r="1172">
      <c r="A1172" s="8">
        <f>IF(OR($B1172="",$C1172=""),"",IFERROR(INDEX(PM_Short,MATCH($B1172,PM_ID,0))&amp;"-"&amp;TEXT($C1172,"00"),"?? no such product"))</f>
        <v/>
      </c>
      <c r="B1172" s="5" t="n"/>
      <c r="C1172" s="5" t="n"/>
      <c r="D1172" s="8">
        <f>IF($B1172="","",IFERROR(INDEX(PM_Category,MATCH($B1172,PM_ID,0)),""))</f>
        <v/>
      </c>
      <c r="E1172" s="8">
        <f>IF($B1172="","",IFERROR(INDEX(PM_Subcategory,MATCH($B1172,PM_ID,0)),""))</f>
        <v/>
      </c>
      <c r="F1172" s="8">
        <f>IF($B1172="","",IFERROR(INDEX(PM_Brand,MATCH($B1172,PM_ID,0)),""))</f>
        <v/>
      </c>
      <c r="G1172" s="8">
        <f>IF($B1172="","",IFERROR(INDEX(PM_Model,MATCH($B1172,PM_ID,0)),""))</f>
        <v/>
      </c>
      <c r="H1172" s="5" t="n"/>
      <c r="I1172" s="10" t="n"/>
      <c r="J1172" s="9" t="n"/>
      <c r="K1172" s="5" t="n"/>
      <c r="L1172" s="5" t="n"/>
      <c r="M1172" s="5" t="n"/>
      <c r="N1172" s="5" t="n"/>
      <c r="O1172" s="8">
        <f>IF($B1172="","",IF(AND($A1172&lt;&gt;"",COUNTIF(INV_ID,$A1172)&gt;1),"⚠ this Unit ID already exists",IF(AND($H1172&lt;&gt;"",COUNTIF(INV_Serial,$H1172)&gt;1),"⚠ this serial already exists",IF(COUNTIFS(INV_Product,$B1172,INV_No,$C1172)&gt;1,"⚠ piece number reused",""))))</f>
        <v/>
      </c>
      <c r="P1172" s="5" t="n"/>
    </row>
    <row r="1173">
      <c r="A1173" s="8">
        <f>IF(OR($B1173="",$C1173=""),"",IFERROR(INDEX(PM_Short,MATCH($B1173,PM_ID,0))&amp;"-"&amp;TEXT($C1173,"00"),"?? no such product"))</f>
        <v/>
      </c>
      <c r="B1173" s="5" t="n"/>
      <c r="C1173" s="5" t="n"/>
      <c r="D1173" s="8">
        <f>IF($B1173="","",IFERROR(INDEX(PM_Category,MATCH($B1173,PM_ID,0)),""))</f>
        <v/>
      </c>
      <c r="E1173" s="8">
        <f>IF($B1173="","",IFERROR(INDEX(PM_Subcategory,MATCH($B1173,PM_ID,0)),""))</f>
        <v/>
      </c>
      <c r="F1173" s="8">
        <f>IF($B1173="","",IFERROR(INDEX(PM_Brand,MATCH($B1173,PM_ID,0)),""))</f>
        <v/>
      </c>
      <c r="G1173" s="8">
        <f>IF($B1173="","",IFERROR(INDEX(PM_Model,MATCH($B1173,PM_ID,0)),""))</f>
        <v/>
      </c>
      <c r="H1173" s="5" t="n"/>
      <c r="I1173" s="10" t="n"/>
      <c r="J1173" s="9" t="n"/>
      <c r="K1173" s="5" t="n"/>
      <c r="L1173" s="5" t="n"/>
      <c r="M1173" s="5" t="n"/>
      <c r="N1173" s="5" t="n"/>
      <c r="O1173" s="8">
        <f>IF($B1173="","",IF(AND($A1173&lt;&gt;"",COUNTIF(INV_ID,$A1173)&gt;1),"⚠ this Unit ID already exists",IF(AND($H1173&lt;&gt;"",COUNTIF(INV_Serial,$H1173)&gt;1),"⚠ this serial already exists",IF(COUNTIFS(INV_Product,$B1173,INV_No,$C1173)&gt;1,"⚠ piece number reused",""))))</f>
        <v/>
      </c>
      <c r="P1173" s="5" t="n"/>
    </row>
    <row r="1174">
      <c r="A1174" s="8">
        <f>IF(OR($B1174="",$C1174=""),"",IFERROR(INDEX(PM_Short,MATCH($B1174,PM_ID,0))&amp;"-"&amp;TEXT($C1174,"00"),"?? no such product"))</f>
        <v/>
      </c>
      <c r="B1174" s="5" t="n"/>
      <c r="C1174" s="5" t="n"/>
      <c r="D1174" s="8">
        <f>IF($B1174="","",IFERROR(INDEX(PM_Category,MATCH($B1174,PM_ID,0)),""))</f>
        <v/>
      </c>
      <c r="E1174" s="8">
        <f>IF($B1174="","",IFERROR(INDEX(PM_Subcategory,MATCH($B1174,PM_ID,0)),""))</f>
        <v/>
      </c>
      <c r="F1174" s="8">
        <f>IF($B1174="","",IFERROR(INDEX(PM_Brand,MATCH($B1174,PM_ID,0)),""))</f>
        <v/>
      </c>
      <c r="G1174" s="8">
        <f>IF($B1174="","",IFERROR(INDEX(PM_Model,MATCH($B1174,PM_ID,0)),""))</f>
        <v/>
      </c>
      <c r="H1174" s="5" t="n"/>
      <c r="I1174" s="10" t="n"/>
      <c r="J1174" s="9" t="n"/>
      <c r="K1174" s="5" t="n"/>
      <c r="L1174" s="5" t="n"/>
      <c r="M1174" s="5" t="n"/>
      <c r="N1174" s="5" t="n"/>
      <c r="O1174" s="8">
        <f>IF($B1174="","",IF(AND($A1174&lt;&gt;"",COUNTIF(INV_ID,$A1174)&gt;1),"⚠ this Unit ID already exists",IF(AND($H1174&lt;&gt;"",COUNTIF(INV_Serial,$H1174)&gt;1),"⚠ this serial already exists",IF(COUNTIFS(INV_Product,$B1174,INV_No,$C1174)&gt;1,"⚠ piece number reused",""))))</f>
        <v/>
      </c>
      <c r="P1174" s="5" t="n"/>
    </row>
    <row r="1175">
      <c r="A1175" s="8">
        <f>IF(OR($B1175="",$C1175=""),"",IFERROR(INDEX(PM_Short,MATCH($B1175,PM_ID,0))&amp;"-"&amp;TEXT($C1175,"00"),"?? no such product"))</f>
        <v/>
      </c>
      <c r="B1175" s="5" t="n"/>
      <c r="C1175" s="5" t="n"/>
      <c r="D1175" s="8">
        <f>IF($B1175="","",IFERROR(INDEX(PM_Category,MATCH($B1175,PM_ID,0)),""))</f>
        <v/>
      </c>
      <c r="E1175" s="8">
        <f>IF($B1175="","",IFERROR(INDEX(PM_Subcategory,MATCH($B1175,PM_ID,0)),""))</f>
        <v/>
      </c>
      <c r="F1175" s="8">
        <f>IF($B1175="","",IFERROR(INDEX(PM_Brand,MATCH($B1175,PM_ID,0)),""))</f>
        <v/>
      </c>
      <c r="G1175" s="8">
        <f>IF($B1175="","",IFERROR(INDEX(PM_Model,MATCH($B1175,PM_ID,0)),""))</f>
        <v/>
      </c>
      <c r="H1175" s="5" t="n"/>
      <c r="I1175" s="10" t="n"/>
      <c r="J1175" s="9" t="n"/>
      <c r="K1175" s="5" t="n"/>
      <c r="L1175" s="5" t="n"/>
      <c r="M1175" s="5" t="n"/>
      <c r="N1175" s="5" t="n"/>
      <c r="O1175" s="8">
        <f>IF($B1175="","",IF(AND($A1175&lt;&gt;"",COUNTIF(INV_ID,$A1175)&gt;1),"⚠ this Unit ID already exists",IF(AND($H1175&lt;&gt;"",COUNTIF(INV_Serial,$H1175)&gt;1),"⚠ this serial already exists",IF(COUNTIFS(INV_Product,$B1175,INV_No,$C1175)&gt;1,"⚠ piece number reused",""))))</f>
        <v/>
      </c>
      <c r="P1175" s="5" t="n"/>
    </row>
    <row r="1176">
      <c r="A1176" s="8">
        <f>IF(OR($B1176="",$C1176=""),"",IFERROR(INDEX(PM_Short,MATCH($B1176,PM_ID,0))&amp;"-"&amp;TEXT($C1176,"00"),"?? no such product"))</f>
        <v/>
      </c>
      <c r="B1176" s="5" t="n"/>
      <c r="C1176" s="5" t="n"/>
      <c r="D1176" s="8">
        <f>IF($B1176="","",IFERROR(INDEX(PM_Category,MATCH($B1176,PM_ID,0)),""))</f>
        <v/>
      </c>
      <c r="E1176" s="8">
        <f>IF($B1176="","",IFERROR(INDEX(PM_Subcategory,MATCH($B1176,PM_ID,0)),""))</f>
        <v/>
      </c>
      <c r="F1176" s="8">
        <f>IF($B1176="","",IFERROR(INDEX(PM_Brand,MATCH($B1176,PM_ID,0)),""))</f>
        <v/>
      </c>
      <c r="G1176" s="8">
        <f>IF($B1176="","",IFERROR(INDEX(PM_Model,MATCH($B1176,PM_ID,0)),""))</f>
        <v/>
      </c>
      <c r="H1176" s="5" t="n"/>
      <c r="I1176" s="10" t="n"/>
      <c r="J1176" s="9" t="n"/>
      <c r="K1176" s="5" t="n"/>
      <c r="L1176" s="5" t="n"/>
      <c r="M1176" s="5" t="n"/>
      <c r="N1176" s="5" t="n"/>
      <c r="O1176" s="8">
        <f>IF($B1176="","",IF(AND($A1176&lt;&gt;"",COUNTIF(INV_ID,$A1176)&gt;1),"⚠ this Unit ID already exists",IF(AND($H1176&lt;&gt;"",COUNTIF(INV_Serial,$H1176)&gt;1),"⚠ this serial already exists",IF(COUNTIFS(INV_Product,$B1176,INV_No,$C1176)&gt;1,"⚠ piece number reused",""))))</f>
        <v/>
      </c>
      <c r="P1176" s="5" t="n"/>
    </row>
    <row r="1177">
      <c r="A1177" s="8">
        <f>IF(OR($B1177="",$C1177=""),"",IFERROR(INDEX(PM_Short,MATCH($B1177,PM_ID,0))&amp;"-"&amp;TEXT($C1177,"00"),"?? no such product"))</f>
        <v/>
      </c>
      <c r="B1177" s="5" t="n"/>
      <c r="C1177" s="5" t="n"/>
      <c r="D1177" s="8">
        <f>IF($B1177="","",IFERROR(INDEX(PM_Category,MATCH($B1177,PM_ID,0)),""))</f>
        <v/>
      </c>
      <c r="E1177" s="8">
        <f>IF($B1177="","",IFERROR(INDEX(PM_Subcategory,MATCH($B1177,PM_ID,0)),""))</f>
        <v/>
      </c>
      <c r="F1177" s="8">
        <f>IF($B1177="","",IFERROR(INDEX(PM_Brand,MATCH($B1177,PM_ID,0)),""))</f>
        <v/>
      </c>
      <c r="G1177" s="8">
        <f>IF($B1177="","",IFERROR(INDEX(PM_Model,MATCH($B1177,PM_ID,0)),""))</f>
        <v/>
      </c>
      <c r="H1177" s="5" t="n"/>
      <c r="I1177" s="10" t="n"/>
      <c r="J1177" s="9" t="n"/>
      <c r="K1177" s="5" t="n"/>
      <c r="L1177" s="5" t="n"/>
      <c r="M1177" s="5" t="n"/>
      <c r="N1177" s="5" t="n"/>
      <c r="O1177" s="8">
        <f>IF($B1177="","",IF(AND($A1177&lt;&gt;"",COUNTIF(INV_ID,$A1177)&gt;1),"⚠ this Unit ID already exists",IF(AND($H1177&lt;&gt;"",COUNTIF(INV_Serial,$H1177)&gt;1),"⚠ this serial already exists",IF(COUNTIFS(INV_Product,$B1177,INV_No,$C1177)&gt;1,"⚠ piece number reused",""))))</f>
        <v/>
      </c>
      <c r="P1177" s="5" t="n"/>
    </row>
    <row r="1178">
      <c r="A1178" s="8">
        <f>IF(OR($B1178="",$C1178=""),"",IFERROR(INDEX(PM_Short,MATCH($B1178,PM_ID,0))&amp;"-"&amp;TEXT($C1178,"00"),"?? no such product"))</f>
        <v/>
      </c>
      <c r="B1178" s="5" t="n"/>
      <c r="C1178" s="5" t="n"/>
      <c r="D1178" s="8">
        <f>IF($B1178="","",IFERROR(INDEX(PM_Category,MATCH($B1178,PM_ID,0)),""))</f>
        <v/>
      </c>
      <c r="E1178" s="8">
        <f>IF($B1178="","",IFERROR(INDEX(PM_Subcategory,MATCH($B1178,PM_ID,0)),""))</f>
        <v/>
      </c>
      <c r="F1178" s="8">
        <f>IF($B1178="","",IFERROR(INDEX(PM_Brand,MATCH($B1178,PM_ID,0)),""))</f>
        <v/>
      </c>
      <c r="G1178" s="8">
        <f>IF($B1178="","",IFERROR(INDEX(PM_Model,MATCH($B1178,PM_ID,0)),""))</f>
        <v/>
      </c>
      <c r="H1178" s="5" t="n"/>
      <c r="I1178" s="10" t="n"/>
      <c r="J1178" s="9" t="n"/>
      <c r="K1178" s="5" t="n"/>
      <c r="L1178" s="5" t="n"/>
      <c r="M1178" s="5" t="n"/>
      <c r="N1178" s="5" t="n"/>
      <c r="O1178" s="8">
        <f>IF($B1178="","",IF(AND($A1178&lt;&gt;"",COUNTIF(INV_ID,$A1178)&gt;1),"⚠ this Unit ID already exists",IF(AND($H1178&lt;&gt;"",COUNTIF(INV_Serial,$H1178)&gt;1),"⚠ this serial already exists",IF(COUNTIFS(INV_Product,$B1178,INV_No,$C1178)&gt;1,"⚠ piece number reused",""))))</f>
        <v/>
      </c>
      <c r="P1178" s="5" t="n"/>
    </row>
    <row r="1179">
      <c r="A1179" s="8">
        <f>IF(OR($B1179="",$C1179=""),"",IFERROR(INDEX(PM_Short,MATCH($B1179,PM_ID,0))&amp;"-"&amp;TEXT($C1179,"00"),"?? no such product"))</f>
        <v/>
      </c>
      <c r="B1179" s="5" t="n"/>
      <c r="C1179" s="5" t="n"/>
      <c r="D1179" s="8">
        <f>IF($B1179="","",IFERROR(INDEX(PM_Category,MATCH($B1179,PM_ID,0)),""))</f>
        <v/>
      </c>
      <c r="E1179" s="8">
        <f>IF($B1179="","",IFERROR(INDEX(PM_Subcategory,MATCH($B1179,PM_ID,0)),""))</f>
        <v/>
      </c>
      <c r="F1179" s="8">
        <f>IF($B1179="","",IFERROR(INDEX(PM_Brand,MATCH($B1179,PM_ID,0)),""))</f>
        <v/>
      </c>
      <c r="G1179" s="8">
        <f>IF($B1179="","",IFERROR(INDEX(PM_Model,MATCH($B1179,PM_ID,0)),""))</f>
        <v/>
      </c>
      <c r="H1179" s="5" t="n"/>
      <c r="I1179" s="10" t="n"/>
      <c r="J1179" s="9" t="n"/>
      <c r="K1179" s="5" t="n"/>
      <c r="L1179" s="5" t="n"/>
      <c r="M1179" s="5" t="n"/>
      <c r="N1179" s="5" t="n"/>
      <c r="O1179" s="8">
        <f>IF($B1179="","",IF(AND($A1179&lt;&gt;"",COUNTIF(INV_ID,$A1179)&gt;1),"⚠ this Unit ID already exists",IF(AND($H1179&lt;&gt;"",COUNTIF(INV_Serial,$H1179)&gt;1),"⚠ this serial already exists",IF(COUNTIFS(INV_Product,$B1179,INV_No,$C1179)&gt;1,"⚠ piece number reused",""))))</f>
        <v/>
      </c>
      <c r="P1179" s="5" t="n"/>
    </row>
    <row r="1180">
      <c r="A1180" s="8">
        <f>IF(OR($B1180="",$C1180=""),"",IFERROR(INDEX(PM_Short,MATCH($B1180,PM_ID,0))&amp;"-"&amp;TEXT($C1180,"00"),"?? no such product"))</f>
        <v/>
      </c>
      <c r="B1180" s="5" t="n"/>
      <c r="C1180" s="5" t="n"/>
      <c r="D1180" s="8">
        <f>IF($B1180="","",IFERROR(INDEX(PM_Category,MATCH($B1180,PM_ID,0)),""))</f>
        <v/>
      </c>
      <c r="E1180" s="8">
        <f>IF($B1180="","",IFERROR(INDEX(PM_Subcategory,MATCH($B1180,PM_ID,0)),""))</f>
        <v/>
      </c>
      <c r="F1180" s="8">
        <f>IF($B1180="","",IFERROR(INDEX(PM_Brand,MATCH($B1180,PM_ID,0)),""))</f>
        <v/>
      </c>
      <c r="G1180" s="8">
        <f>IF($B1180="","",IFERROR(INDEX(PM_Model,MATCH($B1180,PM_ID,0)),""))</f>
        <v/>
      </c>
      <c r="H1180" s="5" t="n"/>
      <c r="I1180" s="10" t="n"/>
      <c r="J1180" s="9" t="n"/>
      <c r="K1180" s="5" t="n"/>
      <c r="L1180" s="5" t="n"/>
      <c r="M1180" s="5" t="n"/>
      <c r="N1180" s="5" t="n"/>
      <c r="O1180" s="8">
        <f>IF($B1180="","",IF(AND($A1180&lt;&gt;"",COUNTIF(INV_ID,$A1180)&gt;1),"⚠ this Unit ID already exists",IF(AND($H1180&lt;&gt;"",COUNTIF(INV_Serial,$H1180)&gt;1),"⚠ this serial already exists",IF(COUNTIFS(INV_Product,$B1180,INV_No,$C1180)&gt;1,"⚠ piece number reused",""))))</f>
        <v/>
      </c>
      <c r="P1180" s="5" t="n"/>
    </row>
    <row r="1181">
      <c r="A1181" s="8">
        <f>IF(OR($B1181="",$C1181=""),"",IFERROR(INDEX(PM_Short,MATCH($B1181,PM_ID,0))&amp;"-"&amp;TEXT($C1181,"00"),"?? no such product"))</f>
        <v/>
      </c>
      <c r="B1181" s="5" t="n"/>
      <c r="C1181" s="5" t="n"/>
      <c r="D1181" s="8">
        <f>IF($B1181="","",IFERROR(INDEX(PM_Category,MATCH($B1181,PM_ID,0)),""))</f>
        <v/>
      </c>
      <c r="E1181" s="8">
        <f>IF($B1181="","",IFERROR(INDEX(PM_Subcategory,MATCH($B1181,PM_ID,0)),""))</f>
        <v/>
      </c>
      <c r="F1181" s="8">
        <f>IF($B1181="","",IFERROR(INDEX(PM_Brand,MATCH($B1181,PM_ID,0)),""))</f>
        <v/>
      </c>
      <c r="G1181" s="8">
        <f>IF($B1181="","",IFERROR(INDEX(PM_Model,MATCH($B1181,PM_ID,0)),""))</f>
        <v/>
      </c>
      <c r="H1181" s="5" t="n"/>
      <c r="I1181" s="10" t="n"/>
      <c r="J1181" s="9" t="n"/>
      <c r="K1181" s="5" t="n"/>
      <c r="L1181" s="5" t="n"/>
      <c r="M1181" s="5" t="n"/>
      <c r="N1181" s="5" t="n"/>
      <c r="O1181" s="8">
        <f>IF($B1181="","",IF(AND($A1181&lt;&gt;"",COUNTIF(INV_ID,$A1181)&gt;1),"⚠ this Unit ID already exists",IF(AND($H1181&lt;&gt;"",COUNTIF(INV_Serial,$H1181)&gt;1),"⚠ this serial already exists",IF(COUNTIFS(INV_Product,$B1181,INV_No,$C1181)&gt;1,"⚠ piece number reused",""))))</f>
        <v/>
      </c>
      <c r="P1181" s="5" t="n"/>
    </row>
    <row r="1182">
      <c r="A1182" s="8">
        <f>IF(OR($B1182="",$C1182=""),"",IFERROR(INDEX(PM_Short,MATCH($B1182,PM_ID,0))&amp;"-"&amp;TEXT($C1182,"00"),"?? no such product"))</f>
        <v/>
      </c>
      <c r="B1182" s="5" t="n"/>
      <c r="C1182" s="5" t="n"/>
      <c r="D1182" s="8">
        <f>IF($B1182="","",IFERROR(INDEX(PM_Category,MATCH($B1182,PM_ID,0)),""))</f>
        <v/>
      </c>
      <c r="E1182" s="8">
        <f>IF($B1182="","",IFERROR(INDEX(PM_Subcategory,MATCH($B1182,PM_ID,0)),""))</f>
        <v/>
      </c>
      <c r="F1182" s="8">
        <f>IF($B1182="","",IFERROR(INDEX(PM_Brand,MATCH($B1182,PM_ID,0)),""))</f>
        <v/>
      </c>
      <c r="G1182" s="8">
        <f>IF($B1182="","",IFERROR(INDEX(PM_Model,MATCH($B1182,PM_ID,0)),""))</f>
        <v/>
      </c>
      <c r="H1182" s="5" t="n"/>
      <c r="I1182" s="10" t="n"/>
      <c r="J1182" s="9" t="n"/>
      <c r="K1182" s="5" t="n"/>
      <c r="L1182" s="5" t="n"/>
      <c r="M1182" s="5" t="n"/>
      <c r="N1182" s="5" t="n"/>
      <c r="O1182" s="8">
        <f>IF($B1182="","",IF(AND($A1182&lt;&gt;"",COUNTIF(INV_ID,$A1182)&gt;1),"⚠ this Unit ID already exists",IF(AND($H1182&lt;&gt;"",COUNTIF(INV_Serial,$H1182)&gt;1),"⚠ this serial already exists",IF(COUNTIFS(INV_Product,$B1182,INV_No,$C1182)&gt;1,"⚠ piece number reused",""))))</f>
        <v/>
      </c>
      <c r="P1182" s="5" t="n"/>
    </row>
    <row r="1183">
      <c r="A1183" s="8">
        <f>IF(OR($B1183="",$C1183=""),"",IFERROR(INDEX(PM_Short,MATCH($B1183,PM_ID,0))&amp;"-"&amp;TEXT($C1183,"00"),"?? no such product"))</f>
        <v/>
      </c>
      <c r="B1183" s="5" t="n"/>
      <c r="C1183" s="5" t="n"/>
      <c r="D1183" s="8">
        <f>IF($B1183="","",IFERROR(INDEX(PM_Category,MATCH($B1183,PM_ID,0)),""))</f>
        <v/>
      </c>
      <c r="E1183" s="8">
        <f>IF($B1183="","",IFERROR(INDEX(PM_Subcategory,MATCH($B1183,PM_ID,0)),""))</f>
        <v/>
      </c>
      <c r="F1183" s="8">
        <f>IF($B1183="","",IFERROR(INDEX(PM_Brand,MATCH($B1183,PM_ID,0)),""))</f>
        <v/>
      </c>
      <c r="G1183" s="8">
        <f>IF($B1183="","",IFERROR(INDEX(PM_Model,MATCH($B1183,PM_ID,0)),""))</f>
        <v/>
      </c>
      <c r="H1183" s="5" t="n"/>
      <c r="I1183" s="10" t="n"/>
      <c r="J1183" s="9" t="n"/>
      <c r="K1183" s="5" t="n"/>
      <c r="L1183" s="5" t="n"/>
      <c r="M1183" s="5" t="n"/>
      <c r="N1183" s="5" t="n"/>
      <c r="O1183" s="8">
        <f>IF($B1183="","",IF(AND($A1183&lt;&gt;"",COUNTIF(INV_ID,$A1183)&gt;1),"⚠ this Unit ID already exists",IF(AND($H1183&lt;&gt;"",COUNTIF(INV_Serial,$H1183)&gt;1),"⚠ this serial already exists",IF(COUNTIFS(INV_Product,$B1183,INV_No,$C1183)&gt;1,"⚠ piece number reused",""))))</f>
        <v/>
      </c>
      <c r="P1183" s="5" t="n"/>
    </row>
    <row r="1184">
      <c r="A1184" s="8">
        <f>IF(OR($B1184="",$C1184=""),"",IFERROR(INDEX(PM_Short,MATCH($B1184,PM_ID,0))&amp;"-"&amp;TEXT($C1184,"00"),"?? no such product"))</f>
        <v/>
      </c>
      <c r="B1184" s="5" t="n"/>
      <c r="C1184" s="5" t="n"/>
      <c r="D1184" s="8">
        <f>IF($B1184="","",IFERROR(INDEX(PM_Category,MATCH($B1184,PM_ID,0)),""))</f>
        <v/>
      </c>
      <c r="E1184" s="8">
        <f>IF($B1184="","",IFERROR(INDEX(PM_Subcategory,MATCH($B1184,PM_ID,0)),""))</f>
        <v/>
      </c>
      <c r="F1184" s="8">
        <f>IF($B1184="","",IFERROR(INDEX(PM_Brand,MATCH($B1184,PM_ID,0)),""))</f>
        <v/>
      </c>
      <c r="G1184" s="8">
        <f>IF($B1184="","",IFERROR(INDEX(PM_Model,MATCH($B1184,PM_ID,0)),""))</f>
        <v/>
      </c>
      <c r="H1184" s="5" t="n"/>
      <c r="I1184" s="10" t="n"/>
      <c r="J1184" s="9" t="n"/>
      <c r="K1184" s="5" t="n"/>
      <c r="L1184" s="5" t="n"/>
      <c r="M1184" s="5" t="n"/>
      <c r="N1184" s="5" t="n"/>
      <c r="O1184" s="8">
        <f>IF($B1184="","",IF(AND($A1184&lt;&gt;"",COUNTIF(INV_ID,$A1184)&gt;1),"⚠ this Unit ID already exists",IF(AND($H1184&lt;&gt;"",COUNTIF(INV_Serial,$H1184)&gt;1),"⚠ this serial already exists",IF(COUNTIFS(INV_Product,$B1184,INV_No,$C1184)&gt;1,"⚠ piece number reused",""))))</f>
        <v/>
      </c>
      <c r="P1184" s="5" t="n"/>
    </row>
    <row r="1185">
      <c r="A1185" s="8">
        <f>IF(OR($B1185="",$C1185=""),"",IFERROR(INDEX(PM_Short,MATCH($B1185,PM_ID,0))&amp;"-"&amp;TEXT($C1185,"00"),"?? no such product"))</f>
        <v/>
      </c>
      <c r="B1185" s="5" t="n"/>
      <c r="C1185" s="5" t="n"/>
      <c r="D1185" s="8">
        <f>IF($B1185="","",IFERROR(INDEX(PM_Category,MATCH($B1185,PM_ID,0)),""))</f>
        <v/>
      </c>
      <c r="E1185" s="8">
        <f>IF($B1185="","",IFERROR(INDEX(PM_Subcategory,MATCH($B1185,PM_ID,0)),""))</f>
        <v/>
      </c>
      <c r="F1185" s="8">
        <f>IF($B1185="","",IFERROR(INDEX(PM_Brand,MATCH($B1185,PM_ID,0)),""))</f>
        <v/>
      </c>
      <c r="G1185" s="8">
        <f>IF($B1185="","",IFERROR(INDEX(PM_Model,MATCH($B1185,PM_ID,0)),""))</f>
        <v/>
      </c>
      <c r="H1185" s="5" t="n"/>
      <c r="I1185" s="10" t="n"/>
      <c r="J1185" s="9" t="n"/>
      <c r="K1185" s="5" t="n"/>
      <c r="L1185" s="5" t="n"/>
      <c r="M1185" s="5" t="n"/>
      <c r="N1185" s="5" t="n"/>
      <c r="O1185" s="8">
        <f>IF($B1185="","",IF(AND($A1185&lt;&gt;"",COUNTIF(INV_ID,$A1185)&gt;1),"⚠ this Unit ID already exists",IF(AND($H1185&lt;&gt;"",COUNTIF(INV_Serial,$H1185)&gt;1),"⚠ this serial already exists",IF(COUNTIFS(INV_Product,$B1185,INV_No,$C1185)&gt;1,"⚠ piece number reused",""))))</f>
        <v/>
      </c>
      <c r="P1185" s="5" t="n"/>
    </row>
    <row r="1186">
      <c r="A1186" s="8">
        <f>IF(OR($B1186="",$C1186=""),"",IFERROR(INDEX(PM_Short,MATCH($B1186,PM_ID,0))&amp;"-"&amp;TEXT($C1186,"00"),"?? no such product"))</f>
        <v/>
      </c>
      <c r="B1186" s="5" t="n"/>
      <c r="C1186" s="5" t="n"/>
      <c r="D1186" s="8">
        <f>IF($B1186="","",IFERROR(INDEX(PM_Category,MATCH($B1186,PM_ID,0)),""))</f>
        <v/>
      </c>
      <c r="E1186" s="8">
        <f>IF($B1186="","",IFERROR(INDEX(PM_Subcategory,MATCH($B1186,PM_ID,0)),""))</f>
        <v/>
      </c>
      <c r="F1186" s="8">
        <f>IF($B1186="","",IFERROR(INDEX(PM_Brand,MATCH($B1186,PM_ID,0)),""))</f>
        <v/>
      </c>
      <c r="G1186" s="8">
        <f>IF($B1186="","",IFERROR(INDEX(PM_Model,MATCH($B1186,PM_ID,0)),""))</f>
        <v/>
      </c>
      <c r="H1186" s="5" t="n"/>
      <c r="I1186" s="10" t="n"/>
      <c r="J1186" s="9" t="n"/>
      <c r="K1186" s="5" t="n"/>
      <c r="L1186" s="5" t="n"/>
      <c r="M1186" s="5" t="n"/>
      <c r="N1186" s="5" t="n"/>
      <c r="O1186" s="8">
        <f>IF($B1186="","",IF(AND($A1186&lt;&gt;"",COUNTIF(INV_ID,$A1186)&gt;1),"⚠ this Unit ID already exists",IF(AND($H1186&lt;&gt;"",COUNTIF(INV_Serial,$H1186)&gt;1),"⚠ this serial already exists",IF(COUNTIFS(INV_Product,$B1186,INV_No,$C1186)&gt;1,"⚠ piece number reused",""))))</f>
        <v/>
      </c>
      <c r="P1186" s="5" t="n"/>
    </row>
    <row r="1187">
      <c r="A1187" s="8">
        <f>IF(OR($B1187="",$C1187=""),"",IFERROR(INDEX(PM_Short,MATCH($B1187,PM_ID,0))&amp;"-"&amp;TEXT($C1187,"00"),"?? no such product"))</f>
        <v/>
      </c>
      <c r="B1187" s="5" t="n"/>
      <c r="C1187" s="5" t="n"/>
      <c r="D1187" s="8">
        <f>IF($B1187="","",IFERROR(INDEX(PM_Category,MATCH($B1187,PM_ID,0)),""))</f>
        <v/>
      </c>
      <c r="E1187" s="8">
        <f>IF($B1187="","",IFERROR(INDEX(PM_Subcategory,MATCH($B1187,PM_ID,0)),""))</f>
        <v/>
      </c>
      <c r="F1187" s="8">
        <f>IF($B1187="","",IFERROR(INDEX(PM_Brand,MATCH($B1187,PM_ID,0)),""))</f>
        <v/>
      </c>
      <c r="G1187" s="8">
        <f>IF($B1187="","",IFERROR(INDEX(PM_Model,MATCH($B1187,PM_ID,0)),""))</f>
        <v/>
      </c>
      <c r="H1187" s="5" t="n"/>
      <c r="I1187" s="10" t="n"/>
      <c r="J1187" s="9" t="n"/>
      <c r="K1187" s="5" t="n"/>
      <c r="L1187" s="5" t="n"/>
      <c r="M1187" s="5" t="n"/>
      <c r="N1187" s="5" t="n"/>
      <c r="O1187" s="8">
        <f>IF($B1187="","",IF(AND($A1187&lt;&gt;"",COUNTIF(INV_ID,$A1187)&gt;1),"⚠ this Unit ID already exists",IF(AND($H1187&lt;&gt;"",COUNTIF(INV_Serial,$H1187)&gt;1),"⚠ this serial already exists",IF(COUNTIFS(INV_Product,$B1187,INV_No,$C1187)&gt;1,"⚠ piece number reused",""))))</f>
        <v/>
      </c>
      <c r="P1187" s="5" t="n"/>
    </row>
    <row r="1188">
      <c r="A1188" s="8">
        <f>IF(OR($B1188="",$C1188=""),"",IFERROR(INDEX(PM_Short,MATCH($B1188,PM_ID,0))&amp;"-"&amp;TEXT($C1188,"00"),"?? no such product"))</f>
        <v/>
      </c>
      <c r="B1188" s="5" t="n"/>
      <c r="C1188" s="5" t="n"/>
      <c r="D1188" s="8">
        <f>IF($B1188="","",IFERROR(INDEX(PM_Category,MATCH($B1188,PM_ID,0)),""))</f>
        <v/>
      </c>
      <c r="E1188" s="8">
        <f>IF($B1188="","",IFERROR(INDEX(PM_Subcategory,MATCH($B1188,PM_ID,0)),""))</f>
        <v/>
      </c>
      <c r="F1188" s="8">
        <f>IF($B1188="","",IFERROR(INDEX(PM_Brand,MATCH($B1188,PM_ID,0)),""))</f>
        <v/>
      </c>
      <c r="G1188" s="8">
        <f>IF($B1188="","",IFERROR(INDEX(PM_Model,MATCH($B1188,PM_ID,0)),""))</f>
        <v/>
      </c>
      <c r="H1188" s="5" t="n"/>
      <c r="I1188" s="10" t="n"/>
      <c r="J1188" s="9" t="n"/>
      <c r="K1188" s="5" t="n"/>
      <c r="L1188" s="5" t="n"/>
      <c r="M1188" s="5" t="n"/>
      <c r="N1188" s="5" t="n"/>
      <c r="O1188" s="8">
        <f>IF($B1188="","",IF(AND($A1188&lt;&gt;"",COUNTIF(INV_ID,$A1188)&gt;1),"⚠ this Unit ID already exists",IF(AND($H1188&lt;&gt;"",COUNTIF(INV_Serial,$H1188)&gt;1),"⚠ this serial already exists",IF(COUNTIFS(INV_Product,$B1188,INV_No,$C1188)&gt;1,"⚠ piece number reused",""))))</f>
        <v/>
      </c>
      <c r="P1188" s="5" t="n"/>
    </row>
    <row r="1189">
      <c r="A1189" s="8">
        <f>IF(OR($B1189="",$C1189=""),"",IFERROR(INDEX(PM_Short,MATCH($B1189,PM_ID,0))&amp;"-"&amp;TEXT($C1189,"00"),"?? no such product"))</f>
        <v/>
      </c>
      <c r="B1189" s="5" t="n"/>
      <c r="C1189" s="5" t="n"/>
      <c r="D1189" s="8">
        <f>IF($B1189="","",IFERROR(INDEX(PM_Category,MATCH($B1189,PM_ID,0)),""))</f>
        <v/>
      </c>
      <c r="E1189" s="8">
        <f>IF($B1189="","",IFERROR(INDEX(PM_Subcategory,MATCH($B1189,PM_ID,0)),""))</f>
        <v/>
      </c>
      <c r="F1189" s="8">
        <f>IF($B1189="","",IFERROR(INDEX(PM_Brand,MATCH($B1189,PM_ID,0)),""))</f>
        <v/>
      </c>
      <c r="G1189" s="8">
        <f>IF($B1189="","",IFERROR(INDEX(PM_Model,MATCH($B1189,PM_ID,0)),""))</f>
        <v/>
      </c>
      <c r="H1189" s="5" t="n"/>
      <c r="I1189" s="10" t="n"/>
      <c r="J1189" s="9" t="n"/>
      <c r="K1189" s="5" t="n"/>
      <c r="L1189" s="5" t="n"/>
      <c r="M1189" s="5" t="n"/>
      <c r="N1189" s="5" t="n"/>
      <c r="O1189" s="8">
        <f>IF($B1189="","",IF(AND($A1189&lt;&gt;"",COUNTIF(INV_ID,$A1189)&gt;1),"⚠ this Unit ID already exists",IF(AND($H1189&lt;&gt;"",COUNTIF(INV_Serial,$H1189)&gt;1),"⚠ this serial already exists",IF(COUNTIFS(INV_Product,$B1189,INV_No,$C1189)&gt;1,"⚠ piece number reused",""))))</f>
        <v/>
      </c>
      <c r="P1189" s="5" t="n"/>
    </row>
    <row r="1190">
      <c r="A1190" s="8">
        <f>IF(OR($B1190="",$C1190=""),"",IFERROR(INDEX(PM_Short,MATCH($B1190,PM_ID,0))&amp;"-"&amp;TEXT($C1190,"00"),"?? no such product"))</f>
        <v/>
      </c>
      <c r="B1190" s="5" t="n"/>
      <c r="C1190" s="5" t="n"/>
      <c r="D1190" s="8">
        <f>IF($B1190="","",IFERROR(INDEX(PM_Category,MATCH($B1190,PM_ID,0)),""))</f>
        <v/>
      </c>
      <c r="E1190" s="8">
        <f>IF($B1190="","",IFERROR(INDEX(PM_Subcategory,MATCH($B1190,PM_ID,0)),""))</f>
        <v/>
      </c>
      <c r="F1190" s="8">
        <f>IF($B1190="","",IFERROR(INDEX(PM_Brand,MATCH($B1190,PM_ID,0)),""))</f>
        <v/>
      </c>
      <c r="G1190" s="8">
        <f>IF($B1190="","",IFERROR(INDEX(PM_Model,MATCH($B1190,PM_ID,0)),""))</f>
        <v/>
      </c>
      <c r="H1190" s="5" t="n"/>
      <c r="I1190" s="10" t="n"/>
      <c r="J1190" s="9" t="n"/>
      <c r="K1190" s="5" t="n"/>
      <c r="L1190" s="5" t="n"/>
      <c r="M1190" s="5" t="n"/>
      <c r="N1190" s="5" t="n"/>
      <c r="O1190" s="8">
        <f>IF($B1190="","",IF(AND($A1190&lt;&gt;"",COUNTIF(INV_ID,$A1190)&gt;1),"⚠ this Unit ID already exists",IF(AND($H1190&lt;&gt;"",COUNTIF(INV_Serial,$H1190)&gt;1),"⚠ this serial already exists",IF(COUNTIFS(INV_Product,$B1190,INV_No,$C1190)&gt;1,"⚠ piece number reused",""))))</f>
        <v/>
      </c>
      <c r="P1190" s="5" t="n"/>
    </row>
    <row r="1191">
      <c r="A1191" s="8">
        <f>IF(OR($B1191="",$C1191=""),"",IFERROR(INDEX(PM_Short,MATCH($B1191,PM_ID,0))&amp;"-"&amp;TEXT($C1191,"00"),"?? no such product"))</f>
        <v/>
      </c>
      <c r="B1191" s="5" t="n"/>
      <c r="C1191" s="5" t="n"/>
      <c r="D1191" s="8">
        <f>IF($B1191="","",IFERROR(INDEX(PM_Category,MATCH($B1191,PM_ID,0)),""))</f>
        <v/>
      </c>
      <c r="E1191" s="8">
        <f>IF($B1191="","",IFERROR(INDEX(PM_Subcategory,MATCH($B1191,PM_ID,0)),""))</f>
        <v/>
      </c>
      <c r="F1191" s="8">
        <f>IF($B1191="","",IFERROR(INDEX(PM_Brand,MATCH($B1191,PM_ID,0)),""))</f>
        <v/>
      </c>
      <c r="G1191" s="8">
        <f>IF($B1191="","",IFERROR(INDEX(PM_Model,MATCH($B1191,PM_ID,0)),""))</f>
        <v/>
      </c>
      <c r="H1191" s="5" t="n"/>
      <c r="I1191" s="10" t="n"/>
      <c r="J1191" s="9" t="n"/>
      <c r="K1191" s="5" t="n"/>
      <c r="L1191" s="5" t="n"/>
      <c r="M1191" s="5" t="n"/>
      <c r="N1191" s="5" t="n"/>
      <c r="O1191" s="8">
        <f>IF($B1191="","",IF(AND($A1191&lt;&gt;"",COUNTIF(INV_ID,$A1191)&gt;1),"⚠ this Unit ID already exists",IF(AND($H1191&lt;&gt;"",COUNTIF(INV_Serial,$H1191)&gt;1),"⚠ this serial already exists",IF(COUNTIFS(INV_Product,$B1191,INV_No,$C1191)&gt;1,"⚠ piece number reused",""))))</f>
        <v/>
      </c>
      <c r="P1191" s="5" t="n"/>
    </row>
    <row r="1192">
      <c r="A1192" s="8">
        <f>IF(OR($B1192="",$C1192=""),"",IFERROR(INDEX(PM_Short,MATCH($B1192,PM_ID,0))&amp;"-"&amp;TEXT($C1192,"00"),"?? no such product"))</f>
        <v/>
      </c>
      <c r="B1192" s="5" t="n"/>
      <c r="C1192" s="5" t="n"/>
      <c r="D1192" s="8">
        <f>IF($B1192="","",IFERROR(INDEX(PM_Category,MATCH($B1192,PM_ID,0)),""))</f>
        <v/>
      </c>
      <c r="E1192" s="8">
        <f>IF($B1192="","",IFERROR(INDEX(PM_Subcategory,MATCH($B1192,PM_ID,0)),""))</f>
        <v/>
      </c>
      <c r="F1192" s="8">
        <f>IF($B1192="","",IFERROR(INDEX(PM_Brand,MATCH($B1192,PM_ID,0)),""))</f>
        <v/>
      </c>
      <c r="G1192" s="8">
        <f>IF($B1192="","",IFERROR(INDEX(PM_Model,MATCH($B1192,PM_ID,0)),""))</f>
        <v/>
      </c>
      <c r="H1192" s="5" t="n"/>
      <c r="I1192" s="10" t="n"/>
      <c r="J1192" s="9" t="n"/>
      <c r="K1192" s="5" t="n"/>
      <c r="L1192" s="5" t="n"/>
      <c r="M1192" s="5" t="n"/>
      <c r="N1192" s="5" t="n"/>
      <c r="O1192" s="8">
        <f>IF($B1192="","",IF(AND($A1192&lt;&gt;"",COUNTIF(INV_ID,$A1192)&gt;1),"⚠ this Unit ID already exists",IF(AND($H1192&lt;&gt;"",COUNTIF(INV_Serial,$H1192)&gt;1),"⚠ this serial already exists",IF(COUNTIFS(INV_Product,$B1192,INV_No,$C1192)&gt;1,"⚠ piece number reused",""))))</f>
        <v/>
      </c>
      <c r="P1192" s="5" t="n"/>
    </row>
    <row r="1193">
      <c r="A1193" s="8">
        <f>IF(OR($B1193="",$C1193=""),"",IFERROR(INDEX(PM_Short,MATCH($B1193,PM_ID,0))&amp;"-"&amp;TEXT($C1193,"00"),"?? no such product"))</f>
        <v/>
      </c>
      <c r="B1193" s="5" t="n"/>
      <c r="C1193" s="5" t="n"/>
      <c r="D1193" s="8">
        <f>IF($B1193="","",IFERROR(INDEX(PM_Category,MATCH($B1193,PM_ID,0)),""))</f>
        <v/>
      </c>
      <c r="E1193" s="8">
        <f>IF($B1193="","",IFERROR(INDEX(PM_Subcategory,MATCH($B1193,PM_ID,0)),""))</f>
        <v/>
      </c>
      <c r="F1193" s="8">
        <f>IF($B1193="","",IFERROR(INDEX(PM_Brand,MATCH($B1193,PM_ID,0)),""))</f>
        <v/>
      </c>
      <c r="G1193" s="8">
        <f>IF($B1193="","",IFERROR(INDEX(PM_Model,MATCH($B1193,PM_ID,0)),""))</f>
        <v/>
      </c>
      <c r="H1193" s="5" t="n"/>
      <c r="I1193" s="10" t="n"/>
      <c r="J1193" s="9" t="n"/>
      <c r="K1193" s="5" t="n"/>
      <c r="L1193" s="5" t="n"/>
      <c r="M1193" s="5" t="n"/>
      <c r="N1193" s="5" t="n"/>
      <c r="O1193" s="8">
        <f>IF($B1193="","",IF(AND($A1193&lt;&gt;"",COUNTIF(INV_ID,$A1193)&gt;1),"⚠ this Unit ID already exists",IF(AND($H1193&lt;&gt;"",COUNTIF(INV_Serial,$H1193)&gt;1),"⚠ this serial already exists",IF(COUNTIFS(INV_Product,$B1193,INV_No,$C1193)&gt;1,"⚠ piece number reused",""))))</f>
        <v/>
      </c>
      <c r="P1193" s="5" t="n"/>
    </row>
    <row r="1194">
      <c r="A1194" s="8">
        <f>IF(OR($B1194="",$C1194=""),"",IFERROR(INDEX(PM_Short,MATCH($B1194,PM_ID,0))&amp;"-"&amp;TEXT($C1194,"00"),"?? no such product"))</f>
        <v/>
      </c>
      <c r="B1194" s="5" t="n"/>
      <c r="C1194" s="5" t="n"/>
      <c r="D1194" s="8">
        <f>IF($B1194="","",IFERROR(INDEX(PM_Category,MATCH($B1194,PM_ID,0)),""))</f>
        <v/>
      </c>
      <c r="E1194" s="8">
        <f>IF($B1194="","",IFERROR(INDEX(PM_Subcategory,MATCH($B1194,PM_ID,0)),""))</f>
        <v/>
      </c>
      <c r="F1194" s="8">
        <f>IF($B1194="","",IFERROR(INDEX(PM_Brand,MATCH($B1194,PM_ID,0)),""))</f>
        <v/>
      </c>
      <c r="G1194" s="8">
        <f>IF($B1194="","",IFERROR(INDEX(PM_Model,MATCH($B1194,PM_ID,0)),""))</f>
        <v/>
      </c>
      <c r="H1194" s="5" t="n"/>
      <c r="I1194" s="10" t="n"/>
      <c r="J1194" s="9" t="n"/>
      <c r="K1194" s="5" t="n"/>
      <c r="L1194" s="5" t="n"/>
      <c r="M1194" s="5" t="n"/>
      <c r="N1194" s="5" t="n"/>
      <c r="O1194" s="8">
        <f>IF($B1194="","",IF(AND($A1194&lt;&gt;"",COUNTIF(INV_ID,$A1194)&gt;1),"⚠ this Unit ID already exists",IF(AND($H1194&lt;&gt;"",COUNTIF(INV_Serial,$H1194)&gt;1),"⚠ this serial already exists",IF(COUNTIFS(INV_Product,$B1194,INV_No,$C1194)&gt;1,"⚠ piece number reused",""))))</f>
        <v/>
      </c>
      <c r="P1194" s="5" t="n"/>
    </row>
    <row r="1195">
      <c r="A1195" s="8">
        <f>IF(OR($B1195="",$C1195=""),"",IFERROR(INDEX(PM_Short,MATCH($B1195,PM_ID,0))&amp;"-"&amp;TEXT($C1195,"00"),"?? no such product"))</f>
        <v/>
      </c>
      <c r="B1195" s="5" t="n"/>
      <c r="C1195" s="5" t="n"/>
      <c r="D1195" s="8">
        <f>IF($B1195="","",IFERROR(INDEX(PM_Category,MATCH($B1195,PM_ID,0)),""))</f>
        <v/>
      </c>
      <c r="E1195" s="8">
        <f>IF($B1195="","",IFERROR(INDEX(PM_Subcategory,MATCH($B1195,PM_ID,0)),""))</f>
        <v/>
      </c>
      <c r="F1195" s="8">
        <f>IF($B1195="","",IFERROR(INDEX(PM_Brand,MATCH($B1195,PM_ID,0)),""))</f>
        <v/>
      </c>
      <c r="G1195" s="8">
        <f>IF($B1195="","",IFERROR(INDEX(PM_Model,MATCH($B1195,PM_ID,0)),""))</f>
        <v/>
      </c>
      <c r="H1195" s="5" t="n"/>
      <c r="I1195" s="10" t="n"/>
      <c r="J1195" s="9" t="n"/>
      <c r="K1195" s="5" t="n"/>
      <c r="L1195" s="5" t="n"/>
      <c r="M1195" s="5" t="n"/>
      <c r="N1195" s="5" t="n"/>
      <c r="O1195" s="8">
        <f>IF($B1195="","",IF(AND($A1195&lt;&gt;"",COUNTIF(INV_ID,$A1195)&gt;1),"⚠ this Unit ID already exists",IF(AND($H1195&lt;&gt;"",COUNTIF(INV_Serial,$H1195)&gt;1),"⚠ this serial already exists",IF(COUNTIFS(INV_Product,$B1195,INV_No,$C1195)&gt;1,"⚠ piece number reused",""))))</f>
        <v/>
      </c>
      <c r="P1195" s="5" t="n"/>
    </row>
    <row r="1196">
      <c r="A1196" s="8">
        <f>IF(OR($B1196="",$C1196=""),"",IFERROR(INDEX(PM_Short,MATCH($B1196,PM_ID,0))&amp;"-"&amp;TEXT($C1196,"00"),"?? no such product"))</f>
        <v/>
      </c>
      <c r="B1196" s="5" t="n"/>
      <c r="C1196" s="5" t="n"/>
      <c r="D1196" s="8">
        <f>IF($B1196="","",IFERROR(INDEX(PM_Category,MATCH($B1196,PM_ID,0)),""))</f>
        <v/>
      </c>
      <c r="E1196" s="8">
        <f>IF($B1196="","",IFERROR(INDEX(PM_Subcategory,MATCH($B1196,PM_ID,0)),""))</f>
        <v/>
      </c>
      <c r="F1196" s="8">
        <f>IF($B1196="","",IFERROR(INDEX(PM_Brand,MATCH($B1196,PM_ID,0)),""))</f>
        <v/>
      </c>
      <c r="G1196" s="8">
        <f>IF($B1196="","",IFERROR(INDEX(PM_Model,MATCH($B1196,PM_ID,0)),""))</f>
        <v/>
      </c>
      <c r="H1196" s="5" t="n"/>
      <c r="I1196" s="10" t="n"/>
      <c r="J1196" s="9" t="n"/>
      <c r="K1196" s="5" t="n"/>
      <c r="L1196" s="5" t="n"/>
      <c r="M1196" s="5" t="n"/>
      <c r="N1196" s="5" t="n"/>
      <c r="O1196" s="8">
        <f>IF($B1196="","",IF(AND($A1196&lt;&gt;"",COUNTIF(INV_ID,$A1196)&gt;1),"⚠ this Unit ID already exists",IF(AND($H1196&lt;&gt;"",COUNTIF(INV_Serial,$H1196)&gt;1),"⚠ this serial already exists",IF(COUNTIFS(INV_Product,$B1196,INV_No,$C1196)&gt;1,"⚠ piece number reused",""))))</f>
        <v/>
      </c>
      <c r="P1196" s="5" t="n"/>
    </row>
    <row r="1197">
      <c r="A1197" s="8">
        <f>IF(OR($B1197="",$C1197=""),"",IFERROR(INDEX(PM_Short,MATCH($B1197,PM_ID,0))&amp;"-"&amp;TEXT($C1197,"00"),"?? no such product"))</f>
        <v/>
      </c>
      <c r="B1197" s="5" t="n"/>
      <c r="C1197" s="5" t="n"/>
      <c r="D1197" s="8">
        <f>IF($B1197="","",IFERROR(INDEX(PM_Category,MATCH($B1197,PM_ID,0)),""))</f>
        <v/>
      </c>
      <c r="E1197" s="8">
        <f>IF($B1197="","",IFERROR(INDEX(PM_Subcategory,MATCH($B1197,PM_ID,0)),""))</f>
        <v/>
      </c>
      <c r="F1197" s="8">
        <f>IF($B1197="","",IFERROR(INDEX(PM_Brand,MATCH($B1197,PM_ID,0)),""))</f>
        <v/>
      </c>
      <c r="G1197" s="8">
        <f>IF($B1197="","",IFERROR(INDEX(PM_Model,MATCH($B1197,PM_ID,0)),""))</f>
        <v/>
      </c>
      <c r="H1197" s="5" t="n"/>
      <c r="I1197" s="10" t="n"/>
      <c r="J1197" s="9" t="n"/>
      <c r="K1197" s="5" t="n"/>
      <c r="L1197" s="5" t="n"/>
      <c r="M1197" s="5" t="n"/>
      <c r="N1197" s="5" t="n"/>
      <c r="O1197" s="8">
        <f>IF($B1197="","",IF(AND($A1197&lt;&gt;"",COUNTIF(INV_ID,$A1197)&gt;1),"⚠ this Unit ID already exists",IF(AND($H1197&lt;&gt;"",COUNTIF(INV_Serial,$H1197)&gt;1),"⚠ this serial already exists",IF(COUNTIFS(INV_Product,$B1197,INV_No,$C1197)&gt;1,"⚠ piece number reused",""))))</f>
        <v/>
      </c>
      <c r="P1197" s="5" t="n"/>
    </row>
    <row r="1198">
      <c r="A1198" s="8">
        <f>IF(OR($B1198="",$C1198=""),"",IFERROR(INDEX(PM_Short,MATCH($B1198,PM_ID,0))&amp;"-"&amp;TEXT($C1198,"00"),"?? no such product"))</f>
        <v/>
      </c>
      <c r="B1198" s="5" t="n"/>
      <c r="C1198" s="5" t="n"/>
      <c r="D1198" s="8">
        <f>IF($B1198="","",IFERROR(INDEX(PM_Category,MATCH($B1198,PM_ID,0)),""))</f>
        <v/>
      </c>
      <c r="E1198" s="8">
        <f>IF($B1198="","",IFERROR(INDEX(PM_Subcategory,MATCH($B1198,PM_ID,0)),""))</f>
        <v/>
      </c>
      <c r="F1198" s="8">
        <f>IF($B1198="","",IFERROR(INDEX(PM_Brand,MATCH($B1198,PM_ID,0)),""))</f>
        <v/>
      </c>
      <c r="G1198" s="8">
        <f>IF($B1198="","",IFERROR(INDEX(PM_Model,MATCH($B1198,PM_ID,0)),""))</f>
        <v/>
      </c>
      <c r="H1198" s="5" t="n"/>
      <c r="I1198" s="10" t="n"/>
      <c r="J1198" s="9" t="n"/>
      <c r="K1198" s="5" t="n"/>
      <c r="L1198" s="5" t="n"/>
      <c r="M1198" s="5" t="n"/>
      <c r="N1198" s="5" t="n"/>
      <c r="O1198" s="8">
        <f>IF($B1198="","",IF(AND($A1198&lt;&gt;"",COUNTIF(INV_ID,$A1198)&gt;1),"⚠ this Unit ID already exists",IF(AND($H1198&lt;&gt;"",COUNTIF(INV_Serial,$H1198)&gt;1),"⚠ this serial already exists",IF(COUNTIFS(INV_Product,$B1198,INV_No,$C1198)&gt;1,"⚠ piece number reused",""))))</f>
        <v/>
      </c>
      <c r="P1198" s="5" t="n"/>
    </row>
    <row r="1199">
      <c r="A1199" s="8">
        <f>IF(OR($B1199="",$C1199=""),"",IFERROR(INDEX(PM_Short,MATCH($B1199,PM_ID,0))&amp;"-"&amp;TEXT($C1199,"00"),"?? no such product"))</f>
        <v/>
      </c>
      <c r="B1199" s="5" t="n"/>
      <c r="C1199" s="5" t="n"/>
      <c r="D1199" s="8">
        <f>IF($B1199="","",IFERROR(INDEX(PM_Category,MATCH($B1199,PM_ID,0)),""))</f>
        <v/>
      </c>
      <c r="E1199" s="8">
        <f>IF($B1199="","",IFERROR(INDEX(PM_Subcategory,MATCH($B1199,PM_ID,0)),""))</f>
        <v/>
      </c>
      <c r="F1199" s="8">
        <f>IF($B1199="","",IFERROR(INDEX(PM_Brand,MATCH($B1199,PM_ID,0)),""))</f>
        <v/>
      </c>
      <c r="G1199" s="8">
        <f>IF($B1199="","",IFERROR(INDEX(PM_Model,MATCH($B1199,PM_ID,0)),""))</f>
        <v/>
      </c>
      <c r="H1199" s="5" t="n"/>
      <c r="I1199" s="10" t="n"/>
      <c r="J1199" s="9" t="n"/>
      <c r="K1199" s="5" t="n"/>
      <c r="L1199" s="5" t="n"/>
      <c r="M1199" s="5" t="n"/>
      <c r="N1199" s="5" t="n"/>
      <c r="O1199" s="8">
        <f>IF($B1199="","",IF(AND($A1199&lt;&gt;"",COUNTIF(INV_ID,$A1199)&gt;1),"⚠ this Unit ID already exists",IF(AND($H1199&lt;&gt;"",COUNTIF(INV_Serial,$H1199)&gt;1),"⚠ this serial already exists",IF(COUNTIFS(INV_Product,$B1199,INV_No,$C1199)&gt;1,"⚠ piece number reused",""))))</f>
        <v/>
      </c>
      <c r="P1199" s="5" t="n"/>
    </row>
    <row r="1200">
      <c r="A1200" s="8">
        <f>IF(OR($B1200="",$C1200=""),"",IFERROR(INDEX(PM_Short,MATCH($B1200,PM_ID,0))&amp;"-"&amp;TEXT($C1200,"00"),"?? no such product"))</f>
        <v/>
      </c>
      <c r="B1200" s="5" t="n"/>
      <c r="C1200" s="5" t="n"/>
      <c r="D1200" s="8">
        <f>IF($B1200="","",IFERROR(INDEX(PM_Category,MATCH($B1200,PM_ID,0)),""))</f>
        <v/>
      </c>
      <c r="E1200" s="8">
        <f>IF($B1200="","",IFERROR(INDEX(PM_Subcategory,MATCH($B1200,PM_ID,0)),""))</f>
        <v/>
      </c>
      <c r="F1200" s="8">
        <f>IF($B1200="","",IFERROR(INDEX(PM_Brand,MATCH($B1200,PM_ID,0)),""))</f>
        <v/>
      </c>
      <c r="G1200" s="8">
        <f>IF($B1200="","",IFERROR(INDEX(PM_Model,MATCH($B1200,PM_ID,0)),""))</f>
        <v/>
      </c>
      <c r="H1200" s="5" t="n"/>
      <c r="I1200" s="10" t="n"/>
      <c r="J1200" s="9" t="n"/>
      <c r="K1200" s="5" t="n"/>
      <c r="L1200" s="5" t="n"/>
      <c r="M1200" s="5" t="n"/>
      <c r="N1200" s="5" t="n"/>
      <c r="O1200" s="8">
        <f>IF($B1200="","",IF(AND($A1200&lt;&gt;"",COUNTIF(INV_ID,$A1200)&gt;1),"⚠ this Unit ID already exists",IF(AND($H1200&lt;&gt;"",COUNTIF(INV_Serial,$H1200)&gt;1),"⚠ this serial already exists",IF(COUNTIFS(INV_Product,$B1200,INV_No,$C1200)&gt;1,"⚠ piece number reused",""))))</f>
        <v/>
      </c>
      <c r="P1200" s="5" t="n"/>
    </row>
    <row r="1201">
      <c r="A1201" s="8">
        <f>IF(OR($B1201="",$C1201=""),"",IFERROR(INDEX(PM_Short,MATCH($B1201,PM_ID,0))&amp;"-"&amp;TEXT($C1201,"00"),"?? no such product"))</f>
        <v/>
      </c>
      <c r="B1201" s="5" t="n"/>
      <c r="C1201" s="5" t="n"/>
      <c r="D1201" s="8">
        <f>IF($B1201="","",IFERROR(INDEX(PM_Category,MATCH($B1201,PM_ID,0)),""))</f>
        <v/>
      </c>
      <c r="E1201" s="8">
        <f>IF($B1201="","",IFERROR(INDEX(PM_Subcategory,MATCH($B1201,PM_ID,0)),""))</f>
        <v/>
      </c>
      <c r="F1201" s="8">
        <f>IF($B1201="","",IFERROR(INDEX(PM_Brand,MATCH($B1201,PM_ID,0)),""))</f>
        <v/>
      </c>
      <c r="G1201" s="8">
        <f>IF($B1201="","",IFERROR(INDEX(PM_Model,MATCH($B1201,PM_ID,0)),""))</f>
        <v/>
      </c>
      <c r="H1201" s="5" t="n"/>
      <c r="I1201" s="10" t="n"/>
      <c r="J1201" s="9" t="n"/>
      <c r="K1201" s="5" t="n"/>
      <c r="L1201" s="5" t="n"/>
      <c r="M1201" s="5" t="n"/>
      <c r="N1201" s="5" t="n"/>
      <c r="O1201" s="8">
        <f>IF($B1201="","",IF(AND($A1201&lt;&gt;"",COUNTIF(INV_ID,$A1201)&gt;1),"⚠ this Unit ID already exists",IF(AND($H1201&lt;&gt;"",COUNTIF(INV_Serial,$H1201)&gt;1),"⚠ this serial already exists",IF(COUNTIFS(INV_Product,$B1201,INV_No,$C1201)&gt;1,"⚠ piece number reused",""))))</f>
        <v/>
      </c>
      <c r="P1201" s="5" t="n"/>
    </row>
    <row r="1202">
      <c r="A1202" s="8">
        <f>IF(OR($B1202="",$C1202=""),"",IFERROR(INDEX(PM_Short,MATCH($B1202,PM_ID,0))&amp;"-"&amp;TEXT($C1202,"00"),"?? no such product"))</f>
        <v/>
      </c>
      <c r="B1202" s="5" t="n"/>
      <c r="C1202" s="5" t="n"/>
      <c r="D1202" s="8">
        <f>IF($B1202="","",IFERROR(INDEX(PM_Category,MATCH($B1202,PM_ID,0)),""))</f>
        <v/>
      </c>
      <c r="E1202" s="8">
        <f>IF($B1202="","",IFERROR(INDEX(PM_Subcategory,MATCH($B1202,PM_ID,0)),""))</f>
        <v/>
      </c>
      <c r="F1202" s="8">
        <f>IF($B1202="","",IFERROR(INDEX(PM_Brand,MATCH($B1202,PM_ID,0)),""))</f>
        <v/>
      </c>
      <c r="G1202" s="8">
        <f>IF($B1202="","",IFERROR(INDEX(PM_Model,MATCH($B1202,PM_ID,0)),""))</f>
        <v/>
      </c>
      <c r="H1202" s="5" t="n"/>
      <c r="I1202" s="10" t="n"/>
      <c r="J1202" s="9" t="n"/>
      <c r="K1202" s="5" t="n"/>
      <c r="L1202" s="5" t="n"/>
      <c r="M1202" s="5" t="n"/>
      <c r="N1202" s="5" t="n"/>
      <c r="O1202" s="8">
        <f>IF($B1202="","",IF(AND($A1202&lt;&gt;"",COUNTIF(INV_ID,$A1202)&gt;1),"⚠ this Unit ID already exists",IF(AND($H1202&lt;&gt;"",COUNTIF(INV_Serial,$H1202)&gt;1),"⚠ this serial already exists",IF(COUNTIFS(INV_Product,$B1202,INV_No,$C1202)&gt;1,"⚠ piece number reused",""))))</f>
        <v/>
      </c>
      <c r="P1202" s="5" t="n"/>
    </row>
    <row r="1203">
      <c r="A1203" s="8">
        <f>IF(OR($B1203="",$C1203=""),"",IFERROR(INDEX(PM_Short,MATCH($B1203,PM_ID,0))&amp;"-"&amp;TEXT($C1203,"00"),"?? no such product"))</f>
        <v/>
      </c>
      <c r="B1203" s="5" t="n"/>
      <c r="C1203" s="5" t="n"/>
      <c r="D1203" s="8">
        <f>IF($B1203="","",IFERROR(INDEX(PM_Category,MATCH($B1203,PM_ID,0)),""))</f>
        <v/>
      </c>
      <c r="E1203" s="8">
        <f>IF($B1203="","",IFERROR(INDEX(PM_Subcategory,MATCH($B1203,PM_ID,0)),""))</f>
        <v/>
      </c>
      <c r="F1203" s="8">
        <f>IF($B1203="","",IFERROR(INDEX(PM_Brand,MATCH($B1203,PM_ID,0)),""))</f>
        <v/>
      </c>
      <c r="G1203" s="8">
        <f>IF($B1203="","",IFERROR(INDEX(PM_Model,MATCH($B1203,PM_ID,0)),""))</f>
        <v/>
      </c>
      <c r="H1203" s="5" t="n"/>
      <c r="I1203" s="10" t="n"/>
      <c r="J1203" s="9" t="n"/>
      <c r="K1203" s="5" t="n"/>
      <c r="L1203" s="5" t="n"/>
      <c r="M1203" s="5" t="n"/>
      <c r="N1203" s="5" t="n"/>
      <c r="O1203" s="8">
        <f>IF($B1203="","",IF(AND($A1203&lt;&gt;"",COUNTIF(INV_ID,$A1203)&gt;1),"⚠ this Unit ID already exists",IF(AND($H1203&lt;&gt;"",COUNTIF(INV_Serial,$H1203)&gt;1),"⚠ this serial already exists",IF(COUNTIFS(INV_Product,$B1203,INV_No,$C1203)&gt;1,"⚠ piece number reused",""))))</f>
        <v/>
      </c>
      <c r="P1203" s="5" t="n"/>
    </row>
    <row r="1204">
      <c r="A1204" s="8">
        <f>IF(OR($B1204="",$C1204=""),"",IFERROR(INDEX(PM_Short,MATCH($B1204,PM_ID,0))&amp;"-"&amp;TEXT($C1204,"00"),"?? no such product"))</f>
        <v/>
      </c>
      <c r="B1204" s="5" t="n"/>
      <c r="C1204" s="5" t="n"/>
      <c r="D1204" s="8">
        <f>IF($B1204="","",IFERROR(INDEX(PM_Category,MATCH($B1204,PM_ID,0)),""))</f>
        <v/>
      </c>
      <c r="E1204" s="8">
        <f>IF($B1204="","",IFERROR(INDEX(PM_Subcategory,MATCH($B1204,PM_ID,0)),""))</f>
        <v/>
      </c>
      <c r="F1204" s="8">
        <f>IF($B1204="","",IFERROR(INDEX(PM_Brand,MATCH($B1204,PM_ID,0)),""))</f>
        <v/>
      </c>
      <c r="G1204" s="8">
        <f>IF($B1204="","",IFERROR(INDEX(PM_Model,MATCH($B1204,PM_ID,0)),""))</f>
        <v/>
      </c>
      <c r="H1204" s="5" t="n"/>
      <c r="I1204" s="10" t="n"/>
      <c r="J1204" s="9" t="n"/>
      <c r="K1204" s="5" t="n"/>
      <c r="L1204" s="5" t="n"/>
      <c r="M1204" s="5" t="n"/>
      <c r="N1204" s="5" t="n"/>
      <c r="O1204" s="8">
        <f>IF($B1204="","",IF(AND($A1204&lt;&gt;"",COUNTIF(INV_ID,$A1204)&gt;1),"⚠ this Unit ID already exists",IF(AND($H1204&lt;&gt;"",COUNTIF(INV_Serial,$H1204)&gt;1),"⚠ this serial already exists",IF(COUNTIFS(INV_Product,$B1204,INV_No,$C1204)&gt;1,"⚠ piece number reused",""))))</f>
        <v/>
      </c>
      <c r="P1204" s="5" t="n"/>
    </row>
    <row r="1205">
      <c r="A1205" s="8">
        <f>IF(OR($B1205="",$C1205=""),"",IFERROR(INDEX(PM_Short,MATCH($B1205,PM_ID,0))&amp;"-"&amp;TEXT($C1205,"00"),"?? no such product"))</f>
        <v/>
      </c>
      <c r="B1205" s="5" t="n"/>
      <c r="C1205" s="5" t="n"/>
      <c r="D1205" s="8">
        <f>IF($B1205="","",IFERROR(INDEX(PM_Category,MATCH($B1205,PM_ID,0)),""))</f>
        <v/>
      </c>
      <c r="E1205" s="8">
        <f>IF($B1205="","",IFERROR(INDEX(PM_Subcategory,MATCH($B1205,PM_ID,0)),""))</f>
        <v/>
      </c>
      <c r="F1205" s="8">
        <f>IF($B1205="","",IFERROR(INDEX(PM_Brand,MATCH($B1205,PM_ID,0)),""))</f>
        <v/>
      </c>
      <c r="G1205" s="8">
        <f>IF($B1205="","",IFERROR(INDEX(PM_Model,MATCH($B1205,PM_ID,0)),""))</f>
        <v/>
      </c>
      <c r="H1205" s="5" t="n"/>
      <c r="I1205" s="10" t="n"/>
      <c r="J1205" s="9" t="n"/>
      <c r="K1205" s="5" t="n"/>
      <c r="L1205" s="5" t="n"/>
      <c r="M1205" s="5" t="n"/>
      <c r="N1205" s="5" t="n"/>
      <c r="O1205" s="8">
        <f>IF($B1205="","",IF(AND($A1205&lt;&gt;"",COUNTIF(INV_ID,$A1205)&gt;1),"⚠ this Unit ID already exists",IF(AND($H1205&lt;&gt;"",COUNTIF(INV_Serial,$H1205)&gt;1),"⚠ this serial already exists",IF(COUNTIFS(INV_Product,$B1205,INV_No,$C1205)&gt;1,"⚠ piece number reused",""))))</f>
        <v/>
      </c>
      <c r="P1205" s="5" t="n"/>
    </row>
    <row r="1206">
      <c r="A1206" s="8">
        <f>IF(OR($B1206="",$C1206=""),"",IFERROR(INDEX(PM_Short,MATCH($B1206,PM_ID,0))&amp;"-"&amp;TEXT($C1206,"00"),"?? no such product"))</f>
        <v/>
      </c>
      <c r="B1206" s="5" t="n"/>
      <c r="C1206" s="5" t="n"/>
      <c r="D1206" s="8">
        <f>IF($B1206="","",IFERROR(INDEX(PM_Category,MATCH($B1206,PM_ID,0)),""))</f>
        <v/>
      </c>
      <c r="E1206" s="8">
        <f>IF($B1206="","",IFERROR(INDEX(PM_Subcategory,MATCH($B1206,PM_ID,0)),""))</f>
        <v/>
      </c>
      <c r="F1206" s="8">
        <f>IF($B1206="","",IFERROR(INDEX(PM_Brand,MATCH($B1206,PM_ID,0)),""))</f>
        <v/>
      </c>
      <c r="G1206" s="8">
        <f>IF($B1206="","",IFERROR(INDEX(PM_Model,MATCH($B1206,PM_ID,0)),""))</f>
        <v/>
      </c>
      <c r="H1206" s="5" t="n"/>
      <c r="I1206" s="10" t="n"/>
      <c r="J1206" s="9" t="n"/>
      <c r="K1206" s="5" t="n"/>
      <c r="L1206" s="5" t="n"/>
      <c r="M1206" s="5" t="n"/>
      <c r="N1206" s="5" t="n"/>
      <c r="O1206" s="8">
        <f>IF($B1206="","",IF(AND($A1206&lt;&gt;"",COUNTIF(INV_ID,$A1206)&gt;1),"⚠ this Unit ID already exists",IF(AND($H1206&lt;&gt;"",COUNTIF(INV_Serial,$H1206)&gt;1),"⚠ this serial already exists",IF(COUNTIFS(INV_Product,$B1206,INV_No,$C1206)&gt;1,"⚠ piece number reused",""))))</f>
        <v/>
      </c>
      <c r="P1206" s="5" t="n"/>
    </row>
    <row r="1207">
      <c r="A1207" s="8">
        <f>IF(OR($B1207="",$C1207=""),"",IFERROR(INDEX(PM_Short,MATCH($B1207,PM_ID,0))&amp;"-"&amp;TEXT($C1207,"00"),"?? no such product"))</f>
        <v/>
      </c>
      <c r="B1207" s="5" t="n"/>
      <c r="C1207" s="5" t="n"/>
      <c r="D1207" s="8">
        <f>IF($B1207="","",IFERROR(INDEX(PM_Category,MATCH($B1207,PM_ID,0)),""))</f>
        <v/>
      </c>
      <c r="E1207" s="8">
        <f>IF($B1207="","",IFERROR(INDEX(PM_Subcategory,MATCH($B1207,PM_ID,0)),""))</f>
        <v/>
      </c>
      <c r="F1207" s="8">
        <f>IF($B1207="","",IFERROR(INDEX(PM_Brand,MATCH($B1207,PM_ID,0)),""))</f>
        <v/>
      </c>
      <c r="G1207" s="8">
        <f>IF($B1207="","",IFERROR(INDEX(PM_Model,MATCH($B1207,PM_ID,0)),""))</f>
        <v/>
      </c>
      <c r="H1207" s="5" t="n"/>
      <c r="I1207" s="10" t="n"/>
      <c r="J1207" s="9" t="n"/>
      <c r="K1207" s="5" t="n"/>
      <c r="L1207" s="5" t="n"/>
      <c r="M1207" s="5" t="n"/>
      <c r="N1207" s="5" t="n"/>
      <c r="O1207" s="8">
        <f>IF($B1207="","",IF(AND($A1207&lt;&gt;"",COUNTIF(INV_ID,$A1207)&gt;1),"⚠ this Unit ID already exists",IF(AND($H1207&lt;&gt;"",COUNTIF(INV_Serial,$H1207)&gt;1),"⚠ this serial already exists",IF(COUNTIFS(INV_Product,$B1207,INV_No,$C1207)&gt;1,"⚠ piece number reused",""))))</f>
        <v/>
      </c>
      <c r="P1207" s="5" t="n"/>
    </row>
    <row r="1208">
      <c r="A1208" s="8">
        <f>IF(OR($B1208="",$C1208=""),"",IFERROR(INDEX(PM_Short,MATCH($B1208,PM_ID,0))&amp;"-"&amp;TEXT($C1208,"00"),"?? no such product"))</f>
        <v/>
      </c>
      <c r="B1208" s="5" t="n"/>
      <c r="C1208" s="5" t="n"/>
      <c r="D1208" s="8">
        <f>IF($B1208="","",IFERROR(INDEX(PM_Category,MATCH($B1208,PM_ID,0)),""))</f>
        <v/>
      </c>
      <c r="E1208" s="8">
        <f>IF($B1208="","",IFERROR(INDEX(PM_Subcategory,MATCH($B1208,PM_ID,0)),""))</f>
        <v/>
      </c>
      <c r="F1208" s="8">
        <f>IF($B1208="","",IFERROR(INDEX(PM_Brand,MATCH($B1208,PM_ID,0)),""))</f>
        <v/>
      </c>
      <c r="G1208" s="8">
        <f>IF($B1208="","",IFERROR(INDEX(PM_Model,MATCH($B1208,PM_ID,0)),""))</f>
        <v/>
      </c>
      <c r="H1208" s="5" t="n"/>
      <c r="I1208" s="10" t="n"/>
      <c r="J1208" s="9" t="n"/>
      <c r="K1208" s="5" t="n"/>
      <c r="L1208" s="5" t="n"/>
      <c r="M1208" s="5" t="n"/>
      <c r="N1208" s="5" t="n"/>
      <c r="O1208" s="8">
        <f>IF($B1208="","",IF(AND($A1208&lt;&gt;"",COUNTIF(INV_ID,$A1208)&gt;1),"⚠ this Unit ID already exists",IF(AND($H1208&lt;&gt;"",COUNTIF(INV_Serial,$H1208)&gt;1),"⚠ this serial already exists",IF(COUNTIFS(INV_Product,$B1208,INV_No,$C1208)&gt;1,"⚠ piece number reused",""))))</f>
        <v/>
      </c>
      <c r="P1208" s="5" t="n"/>
    </row>
    <row r="1209">
      <c r="A1209" s="8">
        <f>IF(OR($B1209="",$C1209=""),"",IFERROR(INDEX(PM_Short,MATCH($B1209,PM_ID,0))&amp;"-"&amp;TEXT($C1209,"00"),"?? no such product"))</f>
        <v/>
      </c>
      <c r="B1209" s="5" t="n"/>
      <c r="C1209" s="5" t="n"/>
      <c r="D1209" s="8">
        <f>IF($B1209="","",IFERROR(INDEX(PM_Category,MATCH($B1209,PM_ID,0)),""))</f>
        <v/>
      </c>
      <c r="E1209" s="8">
        <f>IF($B1209="","",IFERROR(INDEX(PM_Subcategory,MATCH($B1209,PM_ID,0)),""))</f>
        <v/>
      </c>
      <c r="F1209" s="8">
        <f>IF($B1209="","",IFERROR(INDEX(PM_Brand,MATCH($B1209,PM_ID,0)),""))</f>
        <v/>
      </c>
      <c r="G1209" s="8">
        <f>IF($B1209="","",IFERROR(INDEX(PM_Model,MATCH($B1209,PM_ID,0)),""))</f>
        <v/>
      </c>
      <c r="H1209" s="5" t="n"/>
      <c r="I1209" s="10" t="n"/>
      <c r="J1209" s="9" t="n"/>
      <c r="K1209" s="5" t="n"/>
      <c r="L1209" s="5" t="n"/>
      <c r="M1209" s="5" t="n"/>
      <c r="N1209" s="5" t="n"/>
      <c r="O1209" s="8">
        <f>IF($B1209="","",IF(AND($A1209&lt;&gt;"",COUNTIF(INV_ID,$A1209)&gt;1),"⚠ this Unit ID already exists",IF(AND($H1209&lt;&gt;"",COUNTIF(INV_Serial,$H1209)&gt;1),"⚠ this serial already exists",IF(COUNTIFS(INV_Product,$B1209,INV_No,$C1209)&gt;1,"⚠ piece number reused",""))))</f>
        <v/>
      </c>
      <c r="P1209" s="5" t="n"/>
    </row>
    <row r="1210">
      <c r="A1210" s="8">
        <f>IF(OR($B1210="",$C1210=""),"",IFERROR(INDEX(PM_Short,MATCH($B1210,PM_ID,0))&amp;"-"&amp;TEXT($C1210,"00"),"?? no such product"))</f>
        <v/>
      </c>
      <c r="B1210" s="5" t="n"/>
      <c r="C1210" s="5" t="n"/>
      <c r="D1210" s="8">
        <f>IF($B1210="","",IFERROR(INDEX(PM_Category,MATCH($B1210,PM_ID,0)),""))</f>
        <v/>
      </c>
      <c r="E1210" s="8">
        <f>IF($B1210="","",IFERROR(INDEX(PM_Subcategory,MATCH($B1210,PM_ID,0)),""))</f>
        <v/>
      </c>
      <c r="F1210" s="8">
        <f>IF($B1210="","",IFERROR(INDEX(PM_Brand,MATCH($B1210,PM_ID,0)),""))</f>
        <v/>
      </c>
      <c r="G1210" s="8">
        <f>IF($B1210="","",IFERROR(INDEX(PM_Model,MATCH($B1210,PM_ID,0)),""))</f>
        <v/>
      </c>
      <c r="H1210" s="5" t="n"/>
      <c r="I1210" s="10" t="n"/>
      <c r="J1210" s="9" t="n"/>
      <c r="K1210" s="5" t="n"/>
      <c r="L1210" s="5" t="n"/>
      <c r="M1210" s="5" t="n"/>
      <c r="N1210" s="5" t="n"/>
      <c r="O1210" s="8">
        <f>IF($B1210="","",IF(AND($A1210&lt;&gt;"",COUNTIF(INV_ID,$A1210)&gt;1),"⚠ this Unit ID already exists",IF(AND($H1210&lt;&gt;"",COUNTIF(INV_Serial,$H1210)&gt;1),"⚠ this serial already exists",IF(COUNTIFS(INV_Product,$B1210,INV_No,$C1210)&gt;1,"⚠ piece number reused",""))))</f>
        <v/>
      </c>
      <c r="P1210" s="5" t="n"/>
    </row>
    <row r="1211">
      <c r="A1211" s="8">
        <f>IF(OR($B1211="",$C1211=""),"",IFERROR(INDEX(PM_Short,MATCH($B1211,PM_ID,0))&amp;"-"&amp;TEXT($C1211,"00"),"?? no such product"))</f>
        <v/>
      </c>
      <c r="B1211" s="5" t="n"/>
      <c r="C1211" s="5" t="n"/>
      <c r="D1211" s="8">
        <f>IF($B1211="","",IFERROR(INDEX(PM_Category,MATCH($B1211,PM_ID,0)),""))</f>
        <v/>
      </c>
      <c r="E1211" s="8">
        <f>IF($B1211="","",IFERROR(INDEX(PM_Subcategory,MATCH($B1211,PM_ID,0)),""))</f>
        <v/>
      </c>
      <c r="F1211" s="8">
        <f>IF($B1211="","",IFERROR(INDEX(PM_Brand,MATCH($B1211,PM_ID,0)),""))</f>
        <v/>
      </c>
      <c r="G1211" s="8">
        <f>IF($B1211="","",IFERROR(INDEX(PM_Model,MATCH($B1211,PM_ID,0)),""))</f>
        <v/>
      </c>
      <c r="H1211" s="5" t="n"/>
      <c r="I1211" s="10" t="n"/>
      <c r="J1211" s="9" t="n"/>
      <c r="K1211" s="5" t="n"/>
      <c r="L1211" s="5" t="n"/>
      <c r="M1211" s="5" t="n"/>
      <c r="N1211" s="5" t="n"/>
      <c r="O1211" s="8">
        <f>IF($B1211="","",IF(AND($A1211&lt;&gt;"",COUNTIF(INV_ID,$A1211)&gt;1),"⚠ this Unit ID already exists",IF(AND($H1211&lt;&gt;"",COUNTIF(INV_Serial,$H1211)&gt;1),"⚠ this serial already exists",IF(COUNTIFS(INV_Product,$B1211,INV_No,$C1211)&gt;1,"⚠ piece number reused",""))))</f>
        <v/>
      </c>
      <c r="P1211" s="5" t="n"/>
    </row>
    <row r="1212">
      <c r="A1212" s="8">
        <f>IF(OR($B1212="",$C1212=""),"",IFERROR(INDEX(PM_Short,MATCH($B1212,PM_ID,0))&amp;"-"&amp;TEXT($C1212,"00"),"?? no such product"))</f>
        <v/>
      </c>
      <c r="B1212" s="5" t="n"/>
      <c r="C1212" s="5" t="n"/>
      <c r="D1212" s="8">
        <f>IF($B1212="","",IFERROR(INDEX(PM_Category,MATCH($B1212,PM_ID,0)),""))</f>
        <v/>
      </c>
      <c r="E1212" s="8">
        <f>IF($B1212="","",IFERROR(INDEX(PM_Subcategory,MATCH($B1212,PM_ID,0)),""))</f>
        <v/>
      </c>
      <c r="F1212" s="8">
        <f>IF($B1212="","",IFERROR(INDEX(PM_Brand,MATCH($B1212,PM_ID,0)),""))</f>
        <v/>
      </c>
      <c r="G1212" s="8">
        <f>IF($B1212="","",IFERROR(INDEX(PM_Model,MATCH($B1212,PM_ID,0)),""))</f>
        <v/>
      </c>
      <c r="H1212" s="5" t="n"/>
      <c r="I1212" s="10" t="n"/>
      <c r="J1212" s="9" t="n"/>
      <c r="K1212" s="5" t="n"/>
      <c r="L1212" s="5" t="n"/>
      <c r="M1212" s="5" t="n"/>
      <c r="N1212" s="5" t="n"/>
      <c r="O1212" s="8">
        <f>IF($B1212="","",IF(AND($A1212&lt;&gt;"",COUNTIF(INV_ID,$A1212)&gt;1),"⚠ this Unit ID already exists",IF(AND($H1212&lt;&gt;"",COUNTIF(INV_Serial,$H1212)&gt;1),"⚠ this serial already exists",IF(COUNTIFS(INV_Product,$B1212,INV_No,$C1212)&gt;1,"⚠ piece number reused",""))))</f>
        <v/>
      </c>
      <c r="P1212" s="5" t="n"/>
    </row>
    <row r="1213">
      <c r="A1213" s="8">
        <f>IF(OR($B1213="",$C1213=""),"",IFERROR(INDEX(PM_Short,MATCH($B1213,PM_ID,0))&amp;"-"&amp;TEXT($C1213,"00"),"?? no such product"))</f>
        <v/>
      </c>
      <c r="B1213" s="5" t="n"/>
      <c r="C1213" s="5" t="n"/>
      <c r="D1213" s="8">
        <f>IF($B1213="","",IFERROR(INDEX(PM_Category,MATCH($B1213,PM_ID,0)),""))</f>
        <v/>
      </c>
      <c r="E1213" s="8">
        <f>IF($B1213="","",IFERROR(INDEX(PM_Subcategory,MATCH($B1213,PM_ID,0)),""))</f>
        <v/>
      </c>
      <c r="F1213" s="8">
        <f>IF($B1213="","",IFERROR(INDEX(PM_Brand,MATCH($B1213,PM_ID,0)),""))</f>
        <v/>
      </c>
      <c r="G1213" s="8">
        <f>IF($B1213="","",IFERROR(INDEX(PM_Model,MATCH($B1213,PM_ID,0)),""))</f>
        <v/>
      </c>
      <c r="H1213" s="5" t="n"/>
      <c r="I1213" s="10" t="n"/>
      <c r="J1213" s="9" t="n"/>
      <c r="K1213" s="5" t="n"/>
      <c r="L1213" s="5" t="n"/>
      <c r="M1213" s="5" t="n"/>
      <c r="N1213" s="5" t="n"/>
      <c r="O1213" s="8">
        <f>IF($B1213="","",IF(AND($A1213&lt;&gt;"",COUNTIF(INV_ID,$A1213)&gt;1),"⚠ this Unit ID already exists",IF(AND($H1213&lt;&gt;"",COUNTIF(INV_Serial,$H1213)&gt;1),"⚠ this serial already exists",IF(COUNTIFS(INV_Product,$B1213,INV_No,$C1213)&gt;1,"⚠ piece number reused",""))))</f>
        <v/>
      </c>
      <c r="P1213" s="5" t="n"/>
    </row>
    <row r="1214">
      <c r="A1214" s="8">
        <f>IF(OR($B1214="",$C1214=""),"",IFERROR(INDEX(PM_Short,MATCH($B1214,PM_ID,0))&amp;"-"&amp;TEXT($C1214,"00"),"?? no such product"))</f>
        <v/>
      </c>
      <c r="B1214" s="5" t="n"/>
      <c r="C1214" s="5" t="n"/>
      <c r="D1214" s="8">
        <f>IF($B1214="","",IFERROR(INDEX(PM_Category,MATCH($B1214,PM_ID,0)),""))</f>
        <v/>
      </c>
      <c r="E1214" s="8">
        <f>IF($B1214="","",IFERROR(INDEX(PM_Subcategory,MATCH($B1214,PM_ID,0)),""))</f>
        <v/>
      </c>
      <c r="F1214" s="8">
        <f>IF($B1214="","",IFERROR(INDEX(PM_Brand,MATCH($B1214,PM_ID,0)),""))</f>
        <v/>
      </c>
      <c r="G1214" s="8">
        <f>IF($B1214="","",IFERROR(INDEX(PM_Model,MATCH($B1214,PM_ID,0)),""))</f>
        <v/>
      </c>
      <c r="H1214" s="5" t="n"/>
      <c r="I1214" s="10" t="n"/>
      <c r="J1214" s="9" t="n"/>
      <c r="K1214" s="5" t="n"/>
      <c r="L1214" s="5" t="n"/>
      <c r="M1214" s="5" t="n"/>
      <c r="N1214" s="5" t="n"/>
      <c r="O1214" s="8">
        <f>IF($B1214="","",IF(AND($A1214&lt;&gt;"",COUNTIF(INV_ID,$A1214)&gt;1),"⚠ this Unit ID already exists",IF(AND($H1214&lt;&gt;"",COUNTIF(INV_Serial,$H1214)&gt;1),"⚠ this serial already exists",IF(COUNTIFS(INV_Product,$B1214,INV_No,$C1214)&gt;1,"⚠ piece number reused",""))))</f>
        <v/>
      </c>
      <c r="P1214" s="5" t="n"/>
    </row>
    <row r="1215">
      <c r="A1215" s="8">
        <f>IF(OR($B1215="",$C1215=""),"",IFERROR(INDEX(PM_Short,MATCH($B1215,PM_ID,0))&amp;"-"&amp;TEXT($C1215,"00"),"?? no such product"))</f>
        <v/>
      </c>
      <c r="B1215" s="5" t="n"/>
      <c r="C1215" s="5" t="n"/>
      <c r="D1215" s="8">
        <f>IF($B1215="","",IFERROR(INDEX(PM_Category,MATCH($B1215,PM_ID,0)),""))</f>
        <v/>
      </c>
      <c r="E1215" s="8">
        <f>IF($B1215="","",IFERROR(INDEX(PM_Subcategory,MATCH($B1215,PM_ID,0)),""))</f>
        <v/>
      </c>
      <c r="F1215" s="8">
        <f>IF($B1215="","",IFERROR(INDEX(PM_Brand,MATCH($B1215,PM_ID,0)),""))</f>
        <v/>
      </c>
      <c r="G1215" s="8">
        <f>IF($B1215="","",IFERROR(INDEX(PM_Model,MATCH($B1215,PM_ID,0)),""))</f>
        <v/>
      </c>
      <c r="H1215" s="5" t="n"/>
      <c r="I1215" s="10" t="n"/>
      <c r="J1215" s="9" t="n"/>
      <c r="K1215" s="5" t="n"/>
      <c r="L1215" s="5" t="n"/>
      <c r="M1215" s="5" t="n"/>
      <c r="N1215" s="5" t="n"/>
      <c r="O1215" s="8">
        <f>IF($B1215="","",IF(AND($A1215&lt;&gt;"",COUNTIF(INV_ID,$A1215)&gt;1),"⚠ this Unit ID already exists",IF(AND($H1215&lt;&gt;"",COUNTIF(INV_Serial,$H1215)&gt;1),"⚠ this serial already exists",IF(COUNTIFS(INV_Product,$B1215,INV_No,$C1215)&gt;1,"⚠ piece number reused",""))))</f>
        <v/>
      </c>
      <c r="P1215" s="5" t="n"/>
    </row>
    <row r="1216">
      <c r="A1216" s="8">
        <f>IF(OR($B1216="",$C1216=""),"",IFERROR(INDEX(PM_Short,MATCH($B1216,PM_ID,0))&amp;"-"&amp;TEXT($C1216,"00"),"?? no such product"))</f>
        <v/>
      </c>
      <c r="B1216" s="5" t="n"/>
      <c r="C1216" s="5" t="n"/>
      <c r="D1216" s="8">
        <f>IF($B1216="","",IFERROR(INDEX(PM_Category,MATCH($B1216,PM_ID,0)),""))</f>
        <v/>
      </c>
      <c r="E1216" s="8">
        <f>IF($B1216="","",IFERROR(INDEX(PM_Subcategory,MATCH($B1216,PM_ID,0)),""))</f>
        <v/>
      </c>
      <c r="F1216" s="8">
        <f>IF($B1216="","",IFERROR(INDEX(PM_Brand,MATCH($B1216,PM_ID,0)),""))</f>
        <v/>
      </c>
      <c r="G1216" s="8">
        <f>IF($B1216="","",IFERROR(INDEX(PM_Model,MATCH($B1216,PM_ID,0)),""))</f>
        <v/>
      </c>
      <c r="H1216" s="5" t="n"/>
      <c r="I1216" s="10" t="n"/>
      <c r="J1216" s="9" t="n"/>
      <c r="K1216" s="5" t="n"/>
      <c r="L1216" s="5" t="n"/>
      <c r="M1216" s="5" t="n"/>
      <c r="N1216" s="5" t="n"/>
      <c r="O1216" s="8">
        <f>IF($B1216="","",IF(AND($A1216&lt;&gt;"",COUNTIF(INV_ID,$A1216)&gt;1),"⚠ this Unit ID already exists",IF(AND($H1216&lt;&gt;"",COUNTIF(INV_Serial,$H1216)&gt;1),"⚠ this serial already exists",IF(COUNTIFS(INV_Product,$B1216,INV_No,$C1216)&gt;1,"⚠ piece number reused",""))))</f>
        <v/>
      </c>
      <c r="P1216" s="5" t="n"/>
    </row>
    <row r="1217">
      <c r="A1217" s="8">
        <f>IF(OR($B1217="",$C1217=""),"",IFERROR(INDEX(PM_Short,MATCH($B1217,PM_ID,0))&amp;"-"&amp;TEXT($C1217,"00"),"?? no such product"))</f>
        <v/>
      </c>
      <c r="B1217" s="5" t="n"/>
      <c r="C1217" s="5" t="n"/>
      <c r="D1217" s="8">
        <f>IF($B1217="","",IFERROR(INDEX(PM_Category,MATCH($B1217,PM_ID,0)),""))</f>
        <v/>
      </c>
      <c r="E1217" s="8">
        <f>IF($B1217="","",IFERROR(INDEX(PM_Subcategory,MATCH($B1217,PM_ID,0)),""))</f>
        <v/>
      </c>
      <c r="F1217" s="8">
        <f>IF($B1217="","",IFERROR(INDEX(PM_Brand,MATCH($B1217,PM_ID,0)),""))</f>
        <v/>
      </c>
      <c r="G1217" s="8">
        <f>IF($B1217="","",IFERROR(INDEX(PM_Model,MATCH($B1217,PM_ID,0)),""))</f>
        <v/>
      </c>
      <c r="H1217" s="5" t="n"/>
      <c r="I1217" s="10" t="n"/>
      <c r="J1217" s="9" t="n"/>
      <c r="K1217" s="5" t="n"/>
      <c r="L1217" s="5" t="n"/>
      <c r="M1217" s="5" t="n"/>
      <c r="N1217" s="5" t="n"/>
      <c r="O1217" s="8">
        <f>IF($B1217="","",IF(AND($A1217&lt;&gt;"",COUNTIF(INV_ID,$A1217)&gt;1),"⚠ this Unit ID already exists",IF(AND($H1217&lt;&gt;"",COUNTIF(INV_Serial,$H1217)&gt;1),"⚠ this serial already exists",IF(COUNTIFS(INV_Product,$B1217,INV_No,$C1217)&gt;1,"⚠ piece number reused",""))))</f>
        <v/>
      </c>
      <c r="P1217" s="5" t="n"/>
    </row>
    <row r="1218">
      <c r="A1218" s="8">
        <f>IF(OR($B1218="",$C1218=""),"",IFERROR(INDEX(PM_Short,MATCH($B1218,PM_ID,0))&amp;"-"&amp;TEXT($C1218,"00"),"?? no such product"))</f>
        <v/>
      </c>
      <c r="B1218" s="5" t="n"/>
      <c r="C1218" s="5" t="n"/>
      <c r="D1218" s="8">
        <f>IF($B1218="","",IFERROR(INDEX(PM_Category,MATCH($B1218,PM_ID,0)),""))</f>
        <v/>
      </c>
      <c r="E1218" s="8">
        <f>IF($B1218="","",IFERROR(INDEX(PM_Subcategory,MATCH($B1218,PM_ID,0)),""))</f>
        <v/>
      </c>
      <c r="F1218" s="8">
        <f>IF($B1218="","",IFERROR(INDEX(PM_Brand,MATCH($B1218,PM_ID,0)),""))</f>
        <v/>
      </c>
      <c r="G1218" s="8">
        <f>IF($B1218="","",IFERROR(INDEX(PM_Model,MATCH($B1218,PM_ID,0)),""))</f>
        <v/>
      </c>
      <c r="H1218" s="5" t="n"/>
      <c r="I1218" s="10" t="n"/>
      <c r="J1218" s="9" t="n"/>
      <c r="K1218" s="5" t="n"/>
      <c r="L1218" s="5" t="n"/>
      <c r="M1218" s="5" t="n"/>
      <c r="N1218" s="5" t="n"/>
      <c r="O1218" s="8">
        <f>IF($B1218="","",IF(AND($A1218&lt;&gt;"",COUNTIF(INV_ID,$A1218)&gt;1),"⚠ this Unit ID already exists",IF(AND($H1218&lt;&gt;"",COUNTIF(INV_Serial,$H1218)&gt;1),"⚠ this serial already exists",IF(COUNTIFS(INV_Product,$B1218,INV_No,$C1218)&gt;1,"⚠ piece number reused",""))))</f>
        <v/>
      </c>
      <c r="P1218" s="5" t="n"/>
    </row>
    <row r="1219">
      <c r="A1219" s="8">
        <f>IF(OR($B1219="",$C1219=""),"",IFERROR(INDEX(PM_Short,MATCH($B1219,PM_ID,0))&amp;"-"&amp;TEXT($C1219,"00"),"?? no such product"))</f>
        <v/>
      </c>
      <c r="B1219" s="5" t="n"/>
      <c r="C1219" s="5" t="n"/>
      <c r="D1219" s="8">
        <f>IF($B1219="","",IFERROR(INDEX(PM_Category,MATCH($B1219,PM_ID,0)),""))</f>
        <v/>
      </c>
      <c r="E1219" s="8">
        <f>IF($B1219="","",IFERROR(INDEX(PM_Subcategory,MATCH($B1219,PM_ID,0)),""))</f>
        <v/>
      </c>
      <c r="F1219" s="8">
        <f>IF($B1219="","",IFERROR(INDEX(PM_Brand,MATCH($B1219,PM_ID,0)),""))</f>
        <v/>
      </c>
      <c r="G1219" s="8">
        <f>IF($B1219="","",IFERROR(INDEX(PM_Model,MATCH($B1219,PM_ID,0)),""))</f>
        <v/>
      </c>
      <c r="H1219" s="5" t="n"/>
      <c r="I1219" s="10" t="n"/>
      <c r="J1219" s="9" t="n"/>
      <c r="K1219" s="5" t="n"/>
      <c r="L1219" s="5" t="n"/>
      <c r="M1219" s="5" t="n"/>
      <c r="N1219" s="5" t="n"/>
      <c r="O1219" s="8">
        <f>IF($B1219="","",IF(AND($A1219&lt;&gt;"",COUNTIF(INV_ID,$A1219)&gt;1),"⚠ this Unit ID already exists",IF(AND($H1219&lt;&gt;"",COUNTIF(INV_Serial,$H1219)&gt;1),"⚠ this serial already exists",IF(COUNTIFS(INV_Product,$B1219,INV_No,$C1219)&gt;1,"⚠ piece number reused",""))))</f>
        <v/>
      </c>
      <c r="P1219" s="5" t="n"/>
    </row>
    <row r="1220">
      <c r="A1220" s="8">
        <f>IF(OR($B1220="",$C1220=""),"",IFERROR(INDEX(PM_Short,MATCH($B1220,PM_ID,0))&amp;"-"&amp;TEXT($C1220,"00"),"?? no such product"))</f>
        <v/>
      </c>
      <c r="B1220" s="5" t="n"/>
      <c r="C1220" s="5" t="n"/>
      <c r="D1220" s="8">
        <f>IF($B1220="","",IFERROR(INDEX(PM_Category,MATCH($B1220,PM_ID,0)),""))</f>
        <v/>
      </c>
      <c r="E1220" s="8">
        <f>IF($B1220="","",IFERROR(INDEX(PM_Subcategory,MATCH($B1220,PM_ID,0)),""))</f>
        <v/>
      </c>
      <c r="F1220" s="8">
        <f>IF($B1220="","",IFERROR(INDEX(PM_Brand,MATCH($B1220,PM_ID,0)),""))</f>
        <v/>
      </c>
      <c r="G1220" s="8">
        <f>IF($B1220="","",IFERROR(INDEX(PM_Model,MATCH($B1220,PM_ID,0)),""))</f>
        <v/>
      </c>
      <c r="H1220" s="5" t="n"/>
      <c r="I1220" s="10" t="n"/>
      <c r="J1220" s="9" t="n"/>
      <c r="K1220" s="5" t="n"/>
      <c r="L1220" s="5" t="n"/>
      <c r="M1220" s="5" t="n"/>
      <c r="N1220" s="5" t="n"/>
      <c r="O1220" s="8">
        <f>IF($B1220="","",IF(AND($A1220&lt;&gt;"",COUNTIF(INV_ID,$A1220)&gt;1),"⚠ this Unit ID already exists",IF(AND($H1220&lt;&gt;"",COUNTIF(INV_Serial,$H1220)&gt;1),"⚠ this serial already exists",IF(COUNTIFS(INV_Product,$B1220,INV_No,$C1220)&gt;1,"⚠ piece number reused",""))))</f>
        <v/>
      </c>
      <c r="P1220" s="5" t="n"/>
    </row>
    <row r="1221">
      <c r="A1221" s="8">
        <f>IF(OR($B1221="",$C1221=""),"",IFERROR(INDEX(PM_Short,MATCH($B1221,PM_ID,0))&amp;"-"&amp;TEXT($C1221,"00"),"?? no such product"))</f>
        <v/>
      </c>
      <c r="B1221" s="5" t="n"/>
      <c r="C1221" s="5" t="n"/>
      <c r="D1221" s="8">
        <f>IF($B1221="","",IFERROR(INDEX(PM_Category,MATCH($B1221,PM_ID,0)),""))</f>
        <v/>
      </c>
      <c r="E1221" s="8">
        <f>IF($B1221="","",IFERROR(INDEX(PM_Subcategory,MATCH($B1221,PM_ID,0)),""))</f>
        <v/>
      </c>
      <c r="F1221" s="8">
        <f>IF($B1221="","",IFERROR(INDEX(PM_Brand,MATCH($B1221,PM_ID,0)),""))</f>
        <v/>
      </c>
      <c r="G1221" s="8">
        <f>IF($B1221="","",IFERROR(INDEX(PM_Model,MATCH($B1221,PM_ID,0)),""))</f>
        <v/>
      </c>
      <c r="H1221" s="5" t="n"/>
      <c r="I1221" s="10" t="n"/>
      <c r="J1221" s="9" t="n"/>
      <c r="K1221" s="5" t="n"/>
      <c r="L1221" s="5" t="n"/>
      <c r="M1221" s="5" t="n"/>
      <c r="N1221" s="5" t="n"/>
      <c r="O1221" s="8">
        <f>IF($B1221="","",IF(AND($A1221&lt;&gt;"",COUNTIF(INV_ID,$A1221)&gt;1),"⚠ this Unit ID already exists",IF(AND($H1221&lt;&gt;"",COUNTIF(INV_Serial,$H1221)&gt;1),"⚠ this serial already exists",IF(COUNTIFS(INV_Product,$B1221,INV_No,$C1221)&gt;1,"⚠ piece number reused",""))))</f>
        <v/>
      </c>
      <c r="P1221" s="5" t="n"/>
    </row>
    <row r="1222">
      <c r="A1222" s="8">
        <f>IF(OR($B1222="",$C1222=""),"",IFERROR(INDEX(PM_Short,MATCH($B1222,PM_ID,0))&amp;"-"&amp;TEXT($C1222,"00"),"?? no such product"))</f>
        <v/>
      </c>
      <c r="B1222" s="5" t="n"/>
      <c r="C1222" s="5" t="n"/>
      <c r="D1222" s="8">
        <f>IF($B1222="","",IFERROR(INDEX(PM_Category,MATCH($B1222,PM_ID,0)),""))</f>
        <v/>
      </c>
      <c r="E1222" s="8">
        <f>IF($B1222="","",IFERROR(INDEX(PM_Subcategory,MATCH($B1222,PM_ID,0)),""))</f>
        <v/>
      </c>
      <c r="F1222" s="8">
        <f>IF($B1222="","",IFERROR(INDEX(PM_Brand,MATCH($B1222,PM_ID,0)),""))</f>
        <v/>
      </c>
      <c r="G1222" s="8">
        <f>IF($B1222="","",IFERROR(INDEX(PM_Model,MATCH($B1222,PM_ID,0)),""))</f>
        <v/>
      </c>
      <c r="H1222" s="5" t="n"/>
      <c r="I1222" s="10" t="n"/>
      <c r="J1222" s="9" t="n"/>
      <c r="K1222" s="5" t="n"/>
      <c r="L1222" s="5" t="n"/>
      <c r="M1222" s="5" t="n"/>
      <c r="N1222" s="5" t="n"/>
      <c r="O1222" s="8">
        <f>IF($B1222="","",IF(AND($A1222&lt;&gt;"",COUNTIF(INV_ID,$A1222)&gt;1),"⚠ this Unit ID already exists",IF(AND($H1222&lt;&gt;"",COUNTIF(INV_Serial,$H1222)&gt;1),"⚠ this serial already exists",IF(COUNTIFS(INV_Product,$B1222,INV_No,$C1222)&gt;1,"⚠ piece number reused",""))))</f>
        <v/>
      </c>
      <c r="P1222" s="5" t="n"/>
    </row>
    <row r="1223">
      <c r="A1223" s="8">
        <f>IF(OR($B1223="",$C1223=""),"",IFERROR(INDEX(PM_Short,MATCH($B1223,PM_ID,0))&amp;"-"&amp;TEXT($C1223,"00"),"?? no such product"))</f>
        <v/>
      </c>
      <c r="B1223" s="5" t="n"/>
      <c r="C1223" s="5" t="n"/>
      <c r="D1223" s="8">
        <f>IF($B1223="","",IFERROR(INDEX(PM_Category,MATCH($B1223,PM_ID,0)),""))</f>
        <v/>
      </c>
      <c r="E1223" s="8">
        <f>IF($B1223="","",IFERROR(INDEX(PM_Subcategory,MATCH($B1223,PM_ID,0)),""))</f>
        <v/>
      </c>
      <c r="F1223" s="8">
        <f>IF($B1223="","",IFERROR(INDEX(PM_Brand,MATCH($B1223,PM_ID,0)),""))</f>
        <v/>
      </c>
      <c r="G1223" s="8">
        <f>IF($B1223="","",IFERROR(INDEX(PM_Model,MATCH($B1223,PM_ID,0)),""))</f>
        <v/>
      </c>
      <c r="H1223" s="5" t="n"/>
      <c r="I1223" s="10" t="n"/>
      <c r="J1223" s="9" t="n"/>
      <c r="K1223" s="5" t="n"/>
      <c r="L1223" s="5" t="n"/>
      <c r="M1223" s="5" t="n"/>
      <c r="N1223" s="5" t="n"/>
      <c r="O1223" s="8">
        <f>IF($B1223="","",IF(AND($A1223&lt;&gt;"",COUNTIF(INV_ID,$A1223)&gt;1),"⚠ this Unit ID already exists",IF(AND($H1223&lt;&gt;"",COUNTIF(INV_Serial,$H1223)&gt;1),"⚠ this serial already exists",IF(COUNTIFS(INV_Product,$B1223,INV_No,$C1223)&gt;1,"⚠ piece number reused",""))))</f>
        <v/>
      </c>
      <c r="P1223" s="5" t="n"/>
    </row>
    <row r="1224">
      <c r="A1224" s="8">
        <f>IF(OR($B1224="",$C1224=""),"",IFERROR(INDEX(PM_Short,MATCH($B1224,PM_ID,0))&amp;"-"&amp;TEXT($C1224,"00"),"?? no such product"))</f>
        <v/>
      </c>
      <c r="B1224" s="5" t="n"/>
      <c r="C1224" s="5" t="n"/>
      <c r="D1224" s="8">
        <f>IF($B1224="","",IFERROR(INDEX(PM_Category,MATCH($B1224,PM_ID,0)),""))</f>
        <v/>
      </c>
      <c r="E1224" s="8">
        <f>IF($B1224="","",IFERROR(INDEX(PM_Subcategory,MATCH($B1224,PM_ID,0)),""))</f>
        <v/>
      </c>
      <c r="F1224" s="8">
        <f>IF($B1224="","",IFERROR(INDEX(PM_Brand,MATCH($B1224,PM_ID,0)),""))</f>
        <v/>
      </c>
      <c r="G1224" s="8">
        <f>IF($B1224="","",IFERROR(INDEX(PM_Model,MATCH($B1224,PM_ID,0)),""))</f>
        <v/>
      </c>
      <c r="H1224" s="5" t="n"/>
      <c r="I1224" s="10" t="n"/>
      <c r="J1224" s="9" t="n"/>
      <c r="K1224" s="5" t="n"/>
      <c r="L1224" s="5" t="n"/>
      <c r="M1224" s="5" t="n"/>
      <c r="N1224" s="5" t="n"/>
      <c r="O1224" s="8">
        <f>IF($B1224="","",IF(AND($A1224&lt;&gt;"",COUNTIF(INV_ID,$A1224)&gt;1),"⚠ this Unit ID already exists",IF(AND($H1224&lt;&gt;"",COUNTIF(INV_Serial,$H1224)&gt;1),"⚠ this serial already exists",IF(COUNTIFS(INV_Product,$B1224,INV_No,$C1224)&gt;1,"⚠ piece number reused",""))))</f>
        <v/>
      </c>
      <c r="P1224" s="5" t="n"/>
    </row>
    <row r="1225">
      <c r="A1225" s="8">
        <f>IF(OR($B1225="",$C1225=""),"",IFERROR(INDEX(PM_Short,MATCH($B1225,PM_ID,0))&amp;"-"&amp;TEXT($C1225,"00"),"?? no such product"))</f>
        <v/>
      </c>
      <c r="B1225" s="5" t="n"/>
      <c r="C1225" s="5" t="n"/>
      <c r="D1225" s="8">
        <f>IF($B1225="","",IFERROR(INDEX(PM_Category,MATCH($B1225,PM_ID,0)),""))</f>
        <v/>
      </c>
      <c r="E1225" s="8">
        <f>IF($B1225="","",IFERROR(INDEX(PM_Subcategory,MATCH($B1225,PM_ID,0)),""))</f>
        <v/>
      </c>
      <c r="F1225" s="8">
        <f>IF($B1225="","",IFERROR(INDEX(PM_Brand,MATCH($B1225,PM_ID,0)),""))</f>
        <v/>
      </c>
      <c r="G1225" s="8">
        <f>IF($B1225="","",IFERROR(INDEX(PM_Model,MATCH($B1225,PM_ID,0)),""))</f>
        <v/>
      </c>
      <c r="H1225" s="5" t="n"/>
      <c r="I1225" s="10" t="n"/>
      <c r="J1225" s="9" t="n"/>
      <c r="K1225" s="5" t="n"/>
      <c r="L1225" s="5" t="n"/>
      <c r="M1225" s="5" t="n"/>
      <c r="N1225" s="5" t="n"/>
      <c r="O1225" s="8">
        <f>IF($B1225="","",IF(AND($A1225&lt;&gt;"",COUNTIF(INV_ID,$A1225)&gt;1),"⚠ this Unit ID already exists",IF(AND($H1225&lt;&gt;"",COUNTIF(INV_Serial,$H1225)&gt;1),"⚠ this serial already exists",IF(COUNTIFS(INV_Product,$B1225,INV_No,$C1225)&gt;1,"⚠ piece number reused",""))))</f>
        <v/>
      </c>
      <c r="P1225" s="5" t="n"/>
    </row>
    <row r="1226">
      <c r="A1226" s="8">
        <f>IF(OR($B1226="",$C1226=""),"",IFERROR(INDEX(PM_Short,MATCH($B1226,PM_ID,0))&amp;"-"&amp;TEXT($C1226,"00"),"?? no such product"))</f>
        <v/>
      </c>
      <c r="B1226" s="5" t="n"/>
      <c r="C1226" s="5" t="n"/>
      <c r="D1226" s="8">
        <f>IF($B1226="","",IFERROR(INDEX(PM_Category,MATCH($B1226,PM_ID,0)),""))</f>
        <v/>
      </c>
      <c r="E1226" s="8">
        <f>IF($B1226="","",IFERROR(INDEX(PM_Subcategory,MATCH($B1226,PM_ID,0)),""))</f>
        <v/>
      </c>
      <c r="F1226" s="8">
        <f>IF($B1226="","",IFERROR(INDEX(PM_Brand,MATCH($B1226,PM_ID,0)),""))</f>
        <v/>
      </c>
      <c r="G1226" s="8">
        <f>IF($B1226="","",IFERROR(INDEX(PM_Model,MATCH($B1226,PM_ID,0)),""))</f>
        <v/>
      </c>
      <c r="H1226" s="5" t="n"/>
      <c r="I1226" s="10" t="n"/>
      <c r="J1226" s="9" t="n"/>
      <c r="K1226" s="5" t="n"/>
      <c r="L1226" s="5" t="n"/>
      <c r="M1226" s="5" t="n"/>
      <c r="N1226" s="5" t="n"/>
      <c r="O1226" s="8">
        <f>IF($B1226="","",IF(AND($A1226&lt;&gt;"",COUNTIF(INV_ID,$A1226)&gt;1),"⚠ this Unit ID already exists",IF(AND($H1226&lt;&gt;"",COUNTIF(INV_Serial,$H1226)&gt;1),"⚠ this serial already exists",IF(COUNTIFS(INV_Product,$B1226,INV_No,$C1226)&gt;1,"⚠ piece number reused",""))))</f>
        <v/>
      </c>
      <c r="P1226" s="5" t="n"/>
    </row>
    <row r="1227">
      <c r="A1227" s="8">
        <f>IF(OR($B1227="",$C1227=""),"",IFERROR(INDEX(PM_Short,MATCH($B1227,PM_ID,0))&amp;"-"&amp;TEXT($C1227,"00"),"?? no such product"))</f>
        <v/>
      </c>
      <c r="B1227" s="5" t="n"/>
      <c r="C1227" s="5" t="n"/>
      <c r="D1227" s="8">
        <f>IF($B1227="","",IFERROR(INDEX(PM_Category,MATCH($B1227,PM_ID,0)),""))</f>
        <v/>
      </c>
      <c r="E1227" s="8">
        <f>IF($B1227="","",IFERROR(INDEX(PM_Subcategory,MATCH($B1227,PM_ID,0)),""))</f>
        <v/>
      </c>
      <c r="F1227" s="8">
        <f>IF($B1227="","",IFERROR(INDEX(PM_Brand,MATCH($B1227,PM_ID,0)),""))</f>
        <v/>
      </c>
      <c r="G1227" s="8">
        <f>IF($B1227="","",IFERROR(INDEX(PM_Model,MATCH($B1227,PM_ID,0)),""))</f>
        <v/>
      </c>
      <c r="H1227" s="5" t="n"/>
      <c r="I1227" s="10" t="n"/>
      <c r="J1227" s="9" t="n"/>
      <c r="K1227" s="5" t="n"/>
      <c r="L1227" s="5" t="n"/>
      <c r="M1227" s="5" t="n"/>
      <c r="N1227" s="5" t="n"/>
      <c r="O1227" s="8">
        <f>IF($B1227="","",IF(AND($A1227&lt;&gt;"",COUNTIF(INV_ID,$A1227)&gt;1),"⚠ this Unit ID already exists",IF(AND($H1227&lt;&gt;"",COUNTIF(INV_Serial,$H1227)&gt;1),"⚠ this serial already exists",IF(COUNTIFS(INV_Product,$B1227,INV_No,$C1227)&gt;1,"⚠ piece number reused",""))))</f>
        <v/>
      </c>
      <c r="P1227" s="5" t="n"/>
    </row>
    <row r="1228">
      <c r="A1228" s="8">
        <f>IF(OR($B1228="",$C1228=""),"",IFERROR(INDEX(PM_Short,MATCH($B1228,PM_ID,0))&amp;"-"&amp;TEXT($C1228,"00"),"?? no such product"))</f>
        <v/>
      </c>
      <c r="B1228" s="5" t="n"/>
      <c r="C1228" s="5" t="n"/>
      <c r="D1228" s="8">
        <f>IF($B1228="","",IFERROR(INDEX(PM_Category,MATCH($B1228,PM_ID,0)),""))</f>
        <v/>
      </c>
      <c r="E1228" s="8">
        <f>IF($B1228="","",IFERROR(INDEX(PM_Subcategory,MATCH($B1228,PM_ID,0)),""))</f>
        <v/>
      </c>
      <c r="F1228" s="8">
        <f>IF($B1228="","",IFERROR(INDEX(PM_Brand,MATCH($B1228,PM_ID,0)),""))</f>
        <v/>
      </c>
      <c r="G1228" s="8">
        <f>IF($B1228="","",IFERROR(INDEX(PM_Model,MATCH($B1228,PM_ID,0)),""))</f>
        <v/>
      </c>
      <c r="H1228" s="5" t="n"/>
      <c r="I1228" s="10" t="n"/>
      <c r="J1228" s="9" t="n"/>
      <c r="K1228" s="5" t="n"/>
      <c r="L1228" s="5" t="n"/>
      <c r="M1228" s="5" t="n"/>
      <c r="N1228" s="5" t="n"/>
      <c r="O1228" s="8">
        <f>IF($B1228="","",IF(AND($A1228&lt;&gt;"",COUNTIF(INV_ID,$A1228)&gt;1),"⚠ this Unit ID already exists",IF(AND($H1228&lt;&gt;"",COUNTIF(INV_Serial,$H1228)&gt;1),"⚠ this serial already exists",IF(COUNTIFS(INV_Product,$B1228,INV_No,$C1228)&gt;1,"⚠ piece number reused",""))))</f>
        <v/>
      </c>
      <c r="P1228" s="5" t="n"/>
    </row>
    <row r="1229">
      <c r="A1229" s="8">
        <f>IF(OR($B1229="",$C1229=""),"",IFERROR(INDEX(PM_Short,MATCH($B1229,PM_ID,0))&amp;"-"&amp;TEXT($C1229,"00"),"?? no such product"))</f>
        <v/>
      </c>
      <c r="B1229" s="5" t="n"/>
      <c r="C1229" s="5" t="n"/>
      <c r="D1229" s="8">
        <f>IF($B1229="","",IFERROR(INDEX(PM_Category,MATCH($B1229,PM_ID,0)),""))</f>
        <v/>
      </c>
      <c r="E1229" s="8">
        <f>IF($B1229="","",IFERROR(INDEX(PM_Subcategory,MATCH($B1229,PM_ID,0)),""))</f>
        <v/>
      </c>
      <c r="F1229" s="8">
        <f>IF($B1229="","",IFERROR(INDEX(PM_Brand,MATCH($B1229,PM_ID,0)),""))</f>
        <v/>
      </c>
      <c r="G1229" s="8">
        <f>IF($B1229="","",IFERROR(INDEX(PM_Model,MATCH($B1229,PM_ID,0)),""))</f>
        <v/>
      </c>
      <c r="H1229" s="5" t="n"/>
      <c r="I1229" s="10" t="n"/>
      <c r="J1229" s="9" t="n"/>
      <c r="K1229" s="5" t="n"/>
      <c r="L1229" s="5" t="n"/>
      <c r="M1229" s="5" t="n"/>
      <c r="N1229" s="5" t="n"/>
      <c r="O1229" s="8">
        <f>IF($B1229="","",IF(AND($A1229&lt;&gt;"",COUNTIF(INV_ID,$A1229)&gt;1),"⚠ this Unit ID already exists",IF(AND($H1229&lt;&gt;"",COUNTIF(INV_Serial,$H1229)&gt;1),"⚠ this serial already exists",IF(COUNTIFS(INV_Product,$B1229,INV_No,$C1229)&gt;1,"⚠ piece number reused",""))))</f>
        <v/>
      </c>
      <c r="P1229" s="5" t="n"/>
    </row>
    <row r="1230">
      <c r="A1230" s="8">
        <f>IF(OR($B1230="",$C1230=""),"",IFERROR(INDEX(PM_Short,MATCH($B1230,PM_ID,0))&amp;"-"&amp;TEXT($C1230,"00"),"?? no such product"))</f>
        <v/>
      </c>
      <c r="B1230" s="5" t="n"/>
      <c r="C1230" s="5" t="n"/>
      <c r="D1230" s="8">
        <f>IF($B1230="","",IFERROR(INDEX(PM_Category,MATCH($B1230,PM_ID,0)),""))</f>
        <v/>
      </c>
      <c r="E1230" s="8">
        <f>IF($B1230="","",IFERROR(INDEX(PM_Subcategory,MATCH($B1230,PM_ID,0)),""))</f>
        <v/>
      </c>
      <c r="F1230" s="8">
        <f>IF($B1230="","",IFERROR(INDEX(PM_Brand,MATCH($B1230,PM_ID,0)),""))</f>
        <v/>
      </c>
      <c r="G1230" s="8">
        <f>IF($B1230="","",IFERROR(INDEX(PM_Model,MATCH($B1230,PM_ID,0)),""))</f>
        <v/>
      </c>
      <c r="H1230" s="5" t="n"/>
      <c r="I1230" s="10" t="n"/>
      <c r="J1230" s="9" t="n"/>
      <c r="K1230" s="5" t="n"/>
      <c r="L1230" s="5" t="n"/>
      <c r="M1230" s="5" t="n"/>
      <c r="N1230" s="5" t="n"/>
      <c r="O1230" s="8">
        <f>IF($B1230="","",IF(AND($A1230&lt;&gt;"",COUNTIF(INV_ID,$A1230)&gt;1),"⚠ this Unit ID already exists",IF(AND($H1230&lt;&gt;"",COUNTIF(INV_Serial,$H1230)&gt;1),"⚠ this serial already exists",IF(COUNTIFS(INV_Product,$B1230,INV_No,$C1230)&gt;1,"⚠ piece number reused",""))))</f>
        <v/>
      </c>
      <c r="P1230" s="5" t="n"/>
    </row>
    <row r="1231">
      <c r="A1231" s="8">
        <f>IF(OR($B1231="",$C1231=""),"",IFERROR(INDEX(PM_Short,MATCH($B1231,PM_ID,0))&amp;"-"&amp;TEXT($C1231,"00"),"?? no such product"))</f>
        <v/>
      </c>
      <c r="B1231" s="5" t="n"/>
      <c r="C1231" s="5" t="n"/>
      <c r="D1231" s="8">
        <f>IF($B1231="","",IFERROR(INDEX(PM_Category,MATCH($B1231,PM_ID,0)),""))</f>
        <v/>
      </c>
      <c r="E1231" s="8">
        <f>IF($B1231="","",IFERROR(INDEX(PM_Subcategory,MATCH($B1231,PM_ID,0)),""))</f>
        <v/>
      </c>
      <c r="F1231" s="8">
        <f>IF($B1231="","",IFERROR(INDEX(PM_Brand,MATCH($B1231,PM_ID,0)),""))</f>
        <v/>
      </c>
      <c r="G1231" s="8">
        <f>IF($B1231="","",IFERROR(INDEX(PM_Model,MATCH($B1231,PM_ID,0)),""))</f>
        <v/>
      </c>
      <c r="H1231" s="5" t="n"/>
      <c r="I1231" s="10" t="n"/>
      <c r="J1231" s="9" t="n"/>
      <c r="K1231" s="5" t="n"/>
      <c r="L1231" s="5" t="n"/>
      <c r="M1231" s="5" t="n"/>
      <c r="N1231" s="5" t="n"/>
      <c r="O1231" s="8">
        <f>IF($B1231="","",IF(AND($A1231&lt;&gt;"",COUNTIF(INV_ID,$A1231)&gt;1),"⚠ this Unit ID already exists",IF(AND($H1231&lt;&gt;"",COUNTIF(INV_Serial,$H1231)&gt;1),"⚠ this serial already exists",IF(COUNTIFS(INV_Product,$B1231,INV_No,$C1231)&gt;1,"⚠ piece number reused",""))))</f>
        <v/>
      </c>
      <c r="P1231" s="5" t="n"/>
    </row>
    <row r="1232">
      <c r="A1232" s="8">
        <f>IF(OR($B1232="",$C1232=""),"",IFERROR(INDEX(PM_Short,MATCH($B1232,PM_ID,0))&amp;"-"&amp;TEXT($C1232,"00"),"?? no such product"))</f>
        <v/>
      </c>
      <c r="B1232" s="5" t="n"/>
      <c r="C1232" s="5" t="n"/>
      <c r="D1232" s="8">
        <f>IF($B1232="","",IFERROR(INDEX(PM_Category,MATCH($B1232,PM_ID,0)),""))</f>
        <v/>
      </c>
      <c r="E1232" s="8">
        <f>IF($B1232="","",IFERROR(INDEX(PM_Subcategory,MATCH($B1232,PM_ID,0)),""))</f>
        <v/>
      </c>
      <c r="F1232" s="8">
        <f>IF($B1232="","",IFERROR(INDEX(PM_Brand,MATCH($B1232,PM_ID,0)),""))</f>
        <v/>
      </c>
      <c r="G1232" s="8">
        <f>IF($B1232="","",IFERROR(INDEX(PM_Model,MATCH($B1232,PM_ID,0)),""))</f>
        <v/>
      </c>
      <c r="H1232" s="5" t="n"/>
      <c r="I1232" s="10" t="n"/>
      <c r="J1232" s="9" t="n"/>
      <c r="K1232" s="5" t="n"/>
      <c r="L1232" s="5" t="n"/>
      <c r="M1232" s="5" t="n"/>
      <c r="N1232" s="5" t="n"/>
      <c r="O1232" s="8">
        <f>IF($B1232="","",IF(AND($A1232&lt;&gt;"",COUNTIF(INV_ID,$A1232)&gt;1),"⚠ this Unit ID already exists",IF(AND($H1232&lt;&gt;"",COUNTIF(INV_Serial,$H1232)&gt;1),"⚠ this serial already exists",IF(COUNTIFS(INV_Product,$B1232,INV_No,$C1232)&gt;1,"⚠ piece number reused",""))))</f>
        <v/>
      </c>
      <c r="P1232" s="5" t="n"/>
    </row>
    <row r="1233">
      <c r="A1233" s="8">
        <f>IF(OR($B1233="",$C1233=""),"",IFERROR(INDEX(PM_Short,MATCH($B1233,PM_ID,0))&amp;"-"&amp;TEXT($C1233,"00"),"?? no such product"))</f>
        <v/>
      </c>
      <c r="B1233" s="5" t="n"/>
      <c r="C1233" s="5" t="n"/>
      <c r="D1233" s="8">
        <f>IF($B1233="","",IFERROR(INDEX(PM_Category,MATCH($B1233,PM_ID,0)),""))</f>
        <v/>
      </c>
      <c r="E1233" s="8">
        <f>IF($B1233="","",IFERROR(INDEX(PM_Subcategory,MATCH($B1233,PM_ID,0)),""))</f>
        <v/>
      </c>
      <c r="F1233" s="8">
        <f>IF($B1233="","",IFERROR(INDEX(PM_Brand,MATCH($B1233,PM_ID,0)),""))</f>
        <v/>
      </c>
      <c r="G1233" s="8">
        <f>IF($B1233="","",IFERROR(INDEX(PM_Model,MATCH($B1233,PM_ID,0)),""))</f>
        <v/>
      </c>
      <c r="H1233" s="5" t="n"/>
      <c r="I1233" s="10" t="n"/>
      <c r="J1233" s="9" t="n"/>
      <c r="K1233" s="5" t="n"/>
      <c r="L1233" s="5" t="n"/>
      <c r="M1233" s="5" t="n"/>
      <c r="N1233" s="5" t="n"/>
      <c r="O1233" s="8">
        <f>IF($B1233="","",IF(AND($A1233&lt;&gt;"",COUNTIF(INV_ID,$A1233)&gt;1),"⚠ this Unit ID already exists",IF(AND($H1233&lt;&gt;"",COUNTIF(INV_Serial,$H1233)&gt;1),"⚠ this serial already exists",IF(COUNTIFS(INV_Product,$B1233,INV_No,$C1233)&gt;1,"⚠ piece number reused",""))))</f>
        <v/>
      </c>
      <c r="P1233" s="5" t="n"/>
    </row>
    <row r="1234">
      <c r="A1234" s="8">
        <f>IF(OR($B1234="",$C1234=""),"",IFERROR(INDEX(PM_Short,MATCH($B1234,PM_ID,0))&amp;"-"&amp;TEXT($C1234,"00"),"?? no such product"))</f>
        <v/>
      </c>
      <c r="B1234" s="5" t="n"/>
      <c r="C1234" s="5" t="n"/>
      <c r="D1234" s="8">
        <f>IF($B1234="","",IFERROR(INDEX(PM_Category,MATCH($B1234,PM_ID,0)),""))</f>
        <v/>
      </c>
      <c r="E1234" s="8">
        <f>IF($B1234="","",IFERROR(INDEX(PM_Subcategory,MATCH($B1234,PM_ID,0)),""))</f>
        <v/>
      </c>
      <c r="F1234" s="8">
        <f>IF($B1234="","",IFERROR(INDEX(PM_Brand,MATCH($B1234,PM_ID,0)),""))</f>
        <v/>
      </c>
      <c r="G1234" s="8">
        <f>IF($B1234="","",IFERROR(INDEX(PM_Model,MATCH($B1234,PM_ID,0)),""))</f>
        <v/>
      </c>
      <c r="H1234" s="5" t="n"/>
      <c r="I1234" s="10" t="n"/>
      <c r="J1234" s="9" t="n"/>
      <c r="K1234" s="5" t="n"/>
      <c r="L1234" s="5" t="n"/>
      <c r="M1234" s="5" t="n"/>
      <c r="N1234" s="5" t="n"/>
      <c r="O1234" s="8">
        <f>IF($B1234="","",IF(AND($A1234&lt;&gt;"",COUNTIF(INV_ID,$A1234)&gt;1),"⚠ this Unit ID already exists",IF(AND($H1234&lt;&gt;"",COUNTIF(INV_Serial,$H1234)&gt;1),"⚠ this serial already exists",IF(COUNTIFS(INV_Product,$B1234,INV_No,$C1234)&gt;1,"⚠ piece number reused",""))))</f>
        <v/>
      </c>
      <c r="P1234" s="5" t="n"/>
    </row>
    <row r="1235">
      <c r="A1235" s="8">
        <f>IF(OR($B1235="",$C1235=""),"",IFERROR(INDEX(PM_Short,MATCH($B1235,PM_ID,0))&amp;"-"&amp;TEXT($C1235,"00"),"?? no such product"))</f>
        <v/>
      </c>
      <c r="B1235" s="5" t="n"/>
      <c r="C1235" s="5" t="n"/>
      <c r="D1235" s="8">
        <f>IF($B1235="","",IFERROR(INDEX(PM_Category,MATCH($B1235,PM_ID,0)),""))</f>
        <v/>
      </c>
      <c r="E1235" s="8">
        <f>IF($B1235="","",IFERROR(INDEX(PM_Subcategory,MATCH($B1235,PM_ID,0)),""))</f>
        <v/>
      </c>
      <c r="F1235" s="8">
        <f>IF($B1235="","",IFERROR(INDEX(PM_Brand,MATCH($B1235,PM_ID,0)),""))</f>
        <v/>
      </c>
      <c r="G1235" s="8">
        <f>IF($B1235="","",IFERROR(INDEX(PM_Model,MATCH($B1235,PM_ID,0)),""))</f>
        <v/>
      </c>
      <c r="H1235" s="5" t="n"/>
      <c r="I1235" s="10" t="n"/>
      <c r="J1235" s="9" t="n"/>
      <c r="K1235" s="5" t="n"/>
      <c r="L1235" s="5" t="n"/>
      <c r="M1235" s="5" t="n"/>
      <c r="N1235" s="5" t="n"/>
      <c r="O1235" s="8">
        <f>IF($B1235="","",IF(AND($A1235&lt;&gt;"",COUNTIF(INV_ID,$A1235)&gt;1),"⚠ this Unit ID already exists",IF(AND($H1235&lt;&gt;"",COUNTIF(INV_Serial,$H1235)&gt;1),"⚠ this serial already exists",IF(COUNTIFS(INV_Product,$B1235,INV_No,$C1235)&gt;1,"⚠ piece number reused",""))))</f>
        <v/>
      </c>
      <c r="P1235" s="5" t="n"/>
    </row>
    <row r="1236">
      <c r="A1236" s="8">
        <f>IF(OR($B1236="",$C1236=""),"",IFERROR(INDEX(PM_Short,MATCH($B1236,PM_ID,0))&amp;"-"&amp;TEXT($C1236,"00"),"?? no such product"))</f>
        <v/>
      </c>
      <c r="B1236" s="5" t="n"/>
      <c r="C1236" s="5" t="n"/>
      <c r="D1236" s="8">
        <f>IF($B1236="","",IFERROR(INDEX(PM_Category,MATCH($B1236,PM_ID,0)),""))</f>
        <v/>
      </c>
      <c r="E1236" s="8">
        <f>IF($B1236="","",IFERROR(INDEX(PM_Subcategory,MATCH($B1236,PM_ID,0)),""))</f>
        <v/>
      </c>
      <c r="F1236" s="8">
        <f>IF($B1236="","",IFERROR(INDEX(PM_Brand,MATCH($B1236,PM_ID,0)),""))</f>
        <v/>
      </c>
      <c r="G1236" s="8">
        <f>IF($B1236="","",IFERROR(INDEX(PM_Model,MATCH($B1236,PM_ID,0)),""))</f>
        <v/>
      </c>
      <c r="H1236" s="5" t="n"/>
      <c r="I1236" s="10" t="n"/>
      <c r="J1236" s="9" t="n"/>
      <c r="K1236" s="5" t="n"/>
      <c r="L1236" s="5" t="n"/>
      <c r="M1236" s="5" t="n"/>
      <c r="N1236" s="5" t="n"/>
      <c r="O1236" s="8">
        <f>IF($B1236="","",IF(AND($A1236&lt;&gt;"",COUNTIF(INV_ID,$A1236)&gt;1),"⚠ this Unit ID already exists",IF(AND($H1236&lt;&gt;"",COUNTIF(INV_Serial,$H1236)&gt;1),"⚠ this serial already exists",IF(COUNTIFS(INV_Product,$B1236,INV_No,$C1236)&gt;1,"⚠ piece number reused",""))))</f>
        <v/>
      </c>
      <c r="P1236" s="5" t="n"/>
    </row>
    <row r="1237">
      <c r="A1237" s="8">
        <f>IF(OR($B1237="",$C1237=""),"",IFERROR(INDEX(PM_Short,MATCH($B1237,PM_ID,0))&amp;"-"&amp;TEXT($C1237,"00"),"?? no such product"))</f>
        <v/>
      </c>
      <c r="B1237" s="5" t="n"/>
      <c r="C1237" s="5" t="n"/>
      <c r="D1237" s="8">
        <f>IF($B1237="","",IFERROR(INDEX(PM_Category,MATCH($B1237,PM_ID,0)),""))</f>
        <v/>
      </c>
      <c r="E1237" s="8">
        <f>IF($B1237="","",IFERROR(INDEX(PM_Subcategory,MATCH($B1237,PM_ID,0)),""))</f>
        <v/>
      </c>
      <c r="F1237" s="8">
        <f>IF($B1237="","",IFERROR(INDEX(PM_Brand,MATCH($B1237,PM_ID,0)),""))</f>
        <v/>
      </c>
      <c r="G1237" s="8">
        <f>IF($B1237="","",IFERROR(INDEX(PM_Model,MATCH($B1237,PM_ID,0)),""))</f>
        <v/>
      </c>
      <c r="H1237" s="5" t="n"/>
      <c r="I1237" s="10" t="n"/>
      <c r="J1237" s="9" t="n"/>
      <c r="K1237" s="5" t="n"/>
      <c r="L1237" s="5" t="n"/>
      <c r="M1237" s="5" t="n"/>
      <c r="N1237" s="5" t="n"/>
      <c r="O1237" s="8">
        <f>IF($B1237="","",IF(AND($A1237&lt;&gt;"",COUNTIF(INV_ID,$A1237)&gt;1),"⚠ this Unit ID already exists",IF(AND($H1237&lt;&gt;"",COUNTIF(INV_Serial,$H1237)&gt;1),"⚠ this serial already exists",IF(COUNTIFS(INV_Product,$B1237,INV_No,$C1237)&gt;1,"⚠ piece number reused",""))))</f>
        <v/>
      </c>
      <c r="P1237" s="5" t="n"/>
    </row>
    <row r="1238">
      <c r="A1238" s="8">
        <f>IF(OR($B1238="",$C1238=""),"",IFERROR(INDEX(PM_Short,MATCH($B1238,PM_ID,0))&amp;"-"&amp;TEXT($C1238,"00"),"?? no such product"))</f>
        <v/>
      </c>
      <c r="B1238" s="5" t="n"/>
      <c r="C1238" s="5" t="n"/>
      <c r="D1238" s="8">
        <f>IF($B1238="","",IFERROR(INDEX(PM_Category,MATCH($B1238,PM_ID,0)),""))</f>
        <v/>
      </c>
      <c r="E1238" s="8">
        <f>IF($B1238="","",IFERROR(INDEX(PM_Subcategory,MATCH($B1238,PM_ID,0)),""))</f>
        <v/>
      </c>
      <c r="F1238" s="8">
        <f>IF($B1238="","",IFERROR(INDEX(PM_Brand,MATCH($B1238,PM_ID,0)),""))</f>
        <v/>
      </c>
      <c r="G1238" s="8">
        <f>IF($B1238="","",IFERROR(INDEX(PM_Model,MATCH($B1238,PM_ID,0)),""))</f>
        <v/>
      </c>
      <c r="H1238" s="5" t="n"/>
      <c r="I1238" s="10" t="n"/>
      <c r="J1238" s="9" t="n"/>
      <c r="K1238" s="5" t="n"/>
      <c r="L1238" s="5" t="n"/>
      <c r="M1238" s="5" t="n"/>
      <c r="N1238" s="5" t="n"/>
      <c r="O1238" s="8">
        <f>IF($B1238="","",IF(AND($A1238&lt;&gt;"",COUNTIF(INV_ID,$A1238)&gt;1),"⚠ this Unit ID already exists",IF(AND($H1238&lt;&gt;"",COUNTIF(INV_Serial,$H1238)&gt;1),"⚠ this serial already exists",IF(COUNTIFS(INV_Product,$B1238,INV_No,$C1238)&gt;1,"⚠ piece number reused",""))))</f>
        <v/>
      </c>
      <c r="P1238" s="5" t="n"/>
    </row>
    <row r="1239">
      <c r="A1239" s="8">
        <f>IF(OR($B1239="",$C1239=""),"",IFERROR(INDEX(PM_Short,MATCH($B1239,PM_ID,0))&amp;"-"&amp;TEXT($C1239,"00"),"?? no such product"))</f>
        <v/>
      </c>
      <c r="B1239" s="5" t="n"/>
      <c r="C1239" s="5" t="n"/>
      <c r="D1239" s="8">
        <f>IF($B1239="","",IFERROR(INDEX(PM_Category,MATCH($B1239,PM_ID,0)),""))</f>
        <v/>
      </c>
      <c r="E1239" s="8">
        <f>IF($B1239="","",IFERROR(INDEX(PM_Subcategory,MATCH($B1239,PM_ID,0)),""))</f>
        <v/>
      </c>
      <c r="F1239" s="8">
        <f>IF($B1239="","",IFERROR(INDEX(PM_Brand,MATCH($B1239,PM_ID,0)),""))</f>
        <v/>
      </c>
      <c r="G1239" s="8">
        <f>IF($B1239="","",IFERROR(INDEX(PM_Model,MATCH($B1239,PM_ID,0)),""))</f>
        <v/>
      </c>
      <c r="H1239" s="5" t="n"/>
      <c r="I1239" s="10" t="n"/>
      <c r="J1239" s="9" t="n"/>
      <c r="K1239" s="5" t="n"/>
      <c r="L1239" s="5" t="n"/>
      <c r="M1239" s="5" t="n"/>
      <c r="N1239" s="5" t="n"/>
      <c r="O1239" s="8">
        <f>IF($B1239="","",IF(AND($A1239&lt;&gt;"",COUNTIF(INV_ID,$A1239)&gt;1),"⚠ this Unit ID already exists",IF(AND($H1239&lt;&gt;"",COUNTIF(INV_Serial,$H1239)&gt;1),"⚠ this serial already exists",IF(COUNTIFS(INV_Product,$B1239,INV_No,$C1239)&gt;1,"⚠ piece number reused",""))))</f>
        <v/>
      </c>
      <c r="P1239" s="5" t="n"/>
    </row>
    <row r="1240">
      <c r="A1240" s="8">
        <f>IF(OR($B1240="",$C1240=""),"",IFERROR(INDEX(PM_Short,MATCH($B1240,PM_ID,0))&amp;"-"&amp;TEXT($C1240,"00"),"?? no such product"))</f>
        <v/>
      </c>
      <c r="B1240" s="5" t="n"/>
      <c r="C1240" s="5" t="n"/>
      <c r="D1240" s="8">
        <f>IF($B1240="","",IFERROR(INDEX(PM_Category,MATCH($B1240,PM_ID,0)),""))</f>
        <v/>
      </c>
      <c r="E1240" s="8">
        <f>IF($B1240="","",IFERROR(INDEX(PM_Subcategory,MATCH($B1240,PM_ID,0)),""))</f>
        <v/>
      </c>
      <c r="F1240" s="8">
        <f>IF($B1240="","",IFERROR(INDEX(PM_Brand,MATCH($B1240,PM_ID,0)),""))</f>
        <v/>
      </c>
      <c r="G1240" s="8">
        <f>IF($B1240="","",IFERROR(INDEX(PM_Model,MATCH($B1240,PM_ID,0)),""))</f>
        <v/>
      </c>
      <c r="H1240" s="5" t="n"/>
      <c r="I1240" s="10" t="n"/>
      <c r="J1240" s="9" t="n"/>
      <c r="K1240" s="5" t="n"/>
      <c r="L1240" s="5" t="n"/>
      <c r="M1240" s="5" t="n"/>
      <c r="N1240" s="5" t="n"/>
      <c r="O1240" s="8">
        <f>IF($B1240="","",IF(AND($A1240&lt;&gt;"",COUNTIF(INV_ID,$A1240)&gt;1),"⚠ this Unit ID already exists",IF(AND($H1240&lt;&gt;"",COUNTIF(INV_Serial,$H1240)&gt;1),"⚠ this serial already exists",IF(COUNTIFS(INV_Product,$B1240,INV_No,$C1240)&gt;1,"⚠ piece number reused",""))))</f>
        <v/>
      </c>
      <c r="P1240" s="5" t="n"/>
    </row>
    <row r="1241">
      <c r="A1241" s="8">
        <f>IF(OR($B1241="",$C1241=""),"",IFERROR(INDEX(PM_Short,MATCH($B1241,PM_ID,0))&amp;"-"&amp;TEXT($C1241,"00"),"?? no such product"))</f>
        <v/>
      </c>
      <c r="B1241" s="5" t="n"/>
      <c r="C1241" s="5" t="n"/>
      <c r="D1241" s="8">
        <f>IF($B1241="","",IFERROR(INDEX(PM_Category,MATCH($B1241,PM_ID,0)),""))</f>
        <v/>
      </c>
      <c r="E1241" s="8">
        <f>IF($B1241="","",IFERROR(INDEX(PM_Subcategory,MATCH($B1241,PM_ID,0)),""))</f>
        <v/>
      </c>
      <c r="F1241" s="8">
        <f>IF($B1241="","",IFERROR(INDEX(PM_Brand,MATCH($B1241,PM_ID,0)),""))</f>
        <v/>
      </c>
      <c r="G1241" s="8">
        <f>IF($B1241="","",IFERROR(INDEX(PM_Model,MATCH($B1241,PM_ID,0)),""))</f>
        <v/>
      </c>
      <c r="H1241" s="5" t="n"/>
      <c r="I1241" s="10" t="n"/>
      <c r="J1241" s="9" t="n"/>
      <c r="K1241" s="5" t="n"/>
      <c r="L1241" s="5" t="n"/>
      <c r="M1241" s="5" t="n"/>
      <c r="N1241" s="5" t="n"/>
      <c r="O1241" s="8">
        <f>IF($B1241="","",IF(AND($A1241&lt;&gt;"",COUNTIF(INV_ID,$A1241)&gt;1),"⚠ this Unit ID already exists",IF(AND($H1241&lt;&gt;"",COUNTIF(INV_Serial,$H1241)&gt;1),"⚠ this serial already exists",IF(COUNTIFS(INV_Product,$B1241,INV_No,$C1241)&gt;1,"⚠ piece number reused",""))))</f>
        <v/>
      </c>
      <c r="P1241" s="5" t="n"/>
    </row>
    <row r="1242">
      <c r="A1242" s="8">
        <f>IF(OR($B1242="",$C1242=""),"",IFERROR(INDEX(PM_Short,MATCH($B1242,PM_ID,0))&amp;"-"&amp;TEXT($C1242,"00"),"?? no such product"))</f>
        <v/>
      </c>
      <c r="B1242" s="5" t="n"/>
      <c r="C1242" s="5" t="n"/>
      <c r="D1242" s="8">
        <f>IF($B1242="","",IFERROR(INDEX(PM_Category,MATCH($B1242,PM_ID,0)),""))</f>
        <v/>
      </c>
      <c r="E1242" s="8">
        <f>IF($B1242="","",IFERROR(INDEX(PM_Subcategory,MATCH($B1242,PM_ID,0)),""))</f>
        <v/>
      </c>
      <c r="F1242" s="8">
        <f>IF($B1242="","",IFERROR(INDEX(PM_Brand,MATCH($B1242,PM_ID,0)),""))</f>
        <v/>
      </c>
      <c r="G1242" s="8">
        <f>IF($B1242="","",IFERROR(INDEX(PM_Model,MATCH($B1242,PM_ID,0)),""))</f>
        <v/>
      </c>
      <c r="H1242" s="5" t="n"/>
      <c r="I1242" s="10" t="n"/>
      <c r="J1242" s="9" t="n"/>
      <c r="K1242" s="5" t="n"/>
      <c r="L1242" s="5" t="n"/>
      <c r="M1242" s="5" t="n"/>
      <c r="N1242" s="5" t="n"/>
      <c r="O1242" s="8">
        <f>IF($B1242="","",IF(AND($A1242&lt;&gt;"",COUNTIF(INV_ID,$A1242)&gt;1),"⚠ this Unit ID already exists",IF(AND($H1242&lt;&gt;"",COUNTIF(INV_Serial,$H1242)&gt;1),"⚠ this serial already exists",IF(COUNTIFS(INV_Product,$B1242,INV_No,$C1242)&gt;1,"⚠ piece number reused",""))))</f>
        <v/>
      </c>
      <c r="P1242" s="5" t="n"/>
    </row>
    <row r="1243">
      <c r="A1243" s="8">
        <f>IF(OR($B1243="",$C1243=""),"",IFERROR(INDEX(PM_Short,MATCH($B1243,PM_ID,0))&amp;"-"&amp;TEXT($C1243,"00"),"?? no such product"))</f>
        <v/>
      </c>
      <c r="B1243" s="5" t="n"/>
      <c r="C1243" s="5" t="n"/>
      <c r="D1243" s="8">
        <f>IF($B1243="","",IFERROR(INDEX(PM_Category,MATCH($B1243,PM_ID,0)),""))</f>
        <v/>
      </c>
      <c r="E1243" s="8">
        <f>IF($B1243="","",IFERROR(INDEX(PM_Subcategory,MATCH($B1243,PM_ID,0)),""))</f>
        <v/>
      </c>
      <c r="F1243" s="8">
        <f>IF($B1243="","",IFERROR(INDEX(PM_Brand,MATCH($B1243,PM_ID,0)),""))</f>
        <v/>
      </c>
      <c r="G1243" s="8">
        <f>IF($B1243="","",IFERROR(INDEX(PM_Model,MATCH($B1243,PM_ID,0)),""))</f>
        <v/>
      </c>
      <c r="H1243" s="5" t="n"/>
      <c r="I1243" s="10" t="n"/>
      <c r="J1243" s="9" t="n"/>
      <c r="K1243" s="5" t="n"/>
      <c r="L1243" s="5" t="n"/>
      <c r="M1243" s="5" t="n"/>
      <c r="N1243" s="5" t="n"/>
      <c r="O1243" s="8">
        <f>IF($B1243="","",IF(AND($A1243&lt;&gt;"",COUNTIF(INV_ID,$A1243)&gt;1),"⚠ this Unit ID already exists",IF(AND($H1243&lt;&gt;"",COUNTIF(INV_Serial,$H1243)&gt;1),"⚠ this serial already exists",IF(COUNTIFS(INV_Product,$B1243,INV_No,$C1243)&gt;1,"⚠ piece number reused",""))))</f>
        <v/>
      </c>
      <c r="P1243" s="5" t="n"/>
    </row>
    <row r="1244">
      <c r="A1244" s="8">
        <f>IF(OR($B1244="",$C1244=""),"",IFERROR(INDEX(PM_Short,MATCH($B1244,PM_ID,0))&amp;"-"&amp;TEXT($C1244,"00"),"?? no such product"))</f>
        <v/>
      </c>
      <c r="B1244" s="5" t="n"/>
      <c r="C1244" s="5" t="n"/>
      <c r="D1244" s="8">
        <f>IF($B1244="","",IFERROR(INDEX(PM_Category,MATCH($B1244,PM_ID,0)),""))</f>
        <v/>
      </c>
      <c r="E1244" s="8">
        <f>IF($B1244="","",IFERROR(INDEX(PM_Subcategory,MATCH($B1244,PM_ID,0)),""))</f>
        <v/>
      </c>
      <c r="F1244" s="8">
        <f>IF($B1244="","",IFERROR(INDEX(PM_Brand,MATCH($B1244,PM_ID,0)),""))</f>
        <v/>
      </c>
      <c r="G1244" s="8">
        <f>IF($B1244="","",IFERROR(INDEX(PM_Model,MATCH($B1244,PM_ID,0)),""))</f>
        <v/>
      </c>
      <c r="H1244" s="5" t="n"/>
      <c r="I1244" s="10" t="n"/>
      <c r="J1244" s="9" t="n"/>
      <c r="K1244" s="5" t="n"/>
      <c r="L1244" s="5" t="n"/>
      <c r="M1244" s="5" t="n"/>
      <c r="N1244" s="5" t="n"/>
      <c r="O1244" s="8">
        <f>IF($B1244="","",IF(AND($A1244&lt;&gt;"",COUNTIF(INV_ID,$A1244)&gt;1),"⚠ this Unit ID already exists",IF(AND($H1244&lt;&gt;"",COUNTIF(INV_Serial,$H1244)&gt;1),"⚠ this serial already exists",IF(COUNTIFS(INV_Product,$B1244,INV_No,$C1244)&gt;1,"⚠ piece number reused",""))))</f>
        <v/>
      </c>
      <c r="P1244" s="5" t="n"/>
    </row>
    <row r="1245">
      <c r="A1245" s="8">
        <f>IF(OR($B1245="",$C1245=""),"",IFERROR(INDEX(PM_Short,MATCH($B1245,PM_ID,0))&amp;"-"&amp;TEXT($C1245,"00"),"?? no such product"))</f>
        <v/>
      </c>
      <c r="B1245" s="5" t="n"/>
      <c r="C1245" s="5" t="n"/>
      <c r="D1245" s="8">
        <f>IF($B1245="","",IFERROR(INDEX(PM_Category,MATCH($B1245,PM_ID,0)),""))</f>
        <v/>
      </c>
      <c r="E1245" s="8">
        <f>IF($B1245="","",IFERROR(INDEX(PM_Subcategory,MATCH($B1245,PM_ID,0)),""))</f>
        <v/>
      </c>
      <c r="F1245" s="8">
        <f>IF($B1245="","",IFERROR(INDEX(PM_Brand,MATCH($B1245,PM_ID,0)),""))</f>
        <v/>
      </c>
      <c r="G1245" s="8">
        <f>IF($B1245="","",IFERROR(INDEX(PM_Model,MATCH($B1245,PM_ID,0)),""))</f>
        <v/>
      </c>
      <c r="H1245" s="5" t="n"/>
      <c r="I1245" s="10" t="n"/>
      <c r="J1245" s="9" t="n"/>
      <c r="K1245" s="5" t="n"/>
      <c r="L1245" s="5" t="n"/>
      <c r="M1245" s="5" t="n"/>
      <c r="N1245" s="5" t="n"/>
      <c r="O1245" s="8">
        <f>IF($B1245="","",IF(AND($A1245&lt;&gt;"",COUNTIF(INV_ID,$A1245)&gt;1),"⚠ this Unit ID already exists",IF(AND($H1245&lt;&gt;"",COUNTIF(INV_Serial,$H1245)&gt;1),"⚠ this serial already exists",IF(COUNTIFS(INV_Product,$B1245,INV_No,$C1245)&gt;1,"⚠ piece number reused",""))))</f>
        <v/>
      </c>
      <c r="P1245" s="5" t="n"/>
    </row>
    <row r="1246">
      <c r="A1246" s="8">
        <f>IF(OR($B1246="",$C1246=""),"",IFERROR(INDEX(PM_Short,MATCH($B1246,PM_ID,0))&amp;"-"&amp;TEXT($C1246,"00"),"?? no such product"))</f>
        <v/>
      </c>
      <c r="B1246" s="5" t="n"/>
      <c r="C1246" s="5" t="n"/>
      <c r="D1246" s="8">
        <f>IF($B1246="","",IFERROR(INDEX(PM_Category,MATCH($B1246,PM_ID,0)),""))</f>
        <v/>
      </c>
      <c r="E1246" s="8">
        <f>IF($B1246="","",IFERROR(INDEX(PM_Subcategory,MATCH($B1246,PM_ID,0)),""))</f>
        <v/>
      </c>
      <c r="F1246" s="8">
        <f>IF($B1246="","",IFERROR(INDEX(PM_Brand,MATCH($B1246,PM_ID,0)),""))</f>
        <v/>
      </c>
      <c r="G1246" s="8">
        <f>IF($B1246="","",IFERROR(INDEX(PM_Model,MATCH($B1246,PM_ID,0)),""))</f>
        <v/>
      </c>
      <c r="H1246" s="5" t="n"/>
      <c r="I1246" s="10" t="n"/>
      <c r="J1246" s="9" t="n"/>
      <c r="K1246" s="5" t="n"/>
      <c r="L1246" s="5" t="n"/>
      <c r="M1246" s="5" t="n"/>
      <c r="N1246" s="5" t="n"/>
      <c r="O1246" s="8">
        <f>IF($B1246="","",IF(AND($A1246&lt;&gt;"",COUNTIF(INV_ID,$A1246)&gt;1),"⚠ this Unit ID already exists",IF(AND($H1246&lt;&gt;"",COUNTIF(INV_Serial,$H1246)&gt;1),"⚠ this serial already exists",IF(COUNTIFS(INV_Product,$B1246,INV_No,$C1246)&gt;1,"⚠ piece number reused",""))))</f>
        <v/>
      </c>
      <c r="P1246" s="5" t="n"/>
    </row>
    <row r="1247">
      <c r="A1247" s="8">
        <f>IF(OR($B1247="",$C1247=""),"",IFERROR(INDEX(PM_Short,MATCH($B1247,PM_ID,0))&amp;"-"&amp;TEXT($C1247,"00"),"?? no such product"))</f>
        <v/>
      </c>
      <c r="B1247" s="5" t="n"/>
      <c r="C1247" s="5" t="n"/>
      <c r="D1247" s="8">
        <f>IF($B1247="","",IFERROR(INDEX(PM_Category,MATCH($B1247,PM_ID,0)),""))</f>
        <v/>
      </c>
      <c r="E1247" s="8">
        <f>IF($B1247="","",IFERROR(INDEX(PM_Subcategory,MATCH($B1247,PM_ID,0)),""))</f>
        <v/>
      </c>
      <c r="F1247" s="8">
        <f>IF($B1247="","",IFERROR(INDEX(PM_Brand,MATCH($B1247,PM_ID,0)),""))</f>
        <v/>
      </c>
      <c r="G1247" s="8">
        <f>IF($B1247="","",IFERROR(INDEX(PM_Model,MATCH($B1247,PM_ID,0)),""))</f>
        <v/>
      </c>
      <c r="H1247" s="5" t="n"/>
      <c r="I1247" s="10" t="n"/>
      <c r="J1247" s="9" t="n"/>
      <c r="K1247" s="5" t="n"/>
      <c r="L1247" s="5" t="n"/>
      <c r="M1247" s="5" t="n"/>
      <c r="N1247" s="5" t="n"/>
      <c r="O1247" s="8">
        <f>IF($B1247="","",IF(AND($A1247&lt;&gt;"",COUNTIF(INV_ID,$A1247)&gt;1),"⚠ this Unit ID already exists",IF(AND($H1247&lt;&gt;"",COUNTIF(INV_Serial,$H1247)&gt;1),"⚠ this serial already exists",IF(COUNTIFS(INV_Product,$B1247,INV_No,$C1247)&gt;1,"⚠ piece number reused",""))))</f>
        <v/>
      </c>
      <c r="P1247" s="5" t="n"/>
    </row>
    <row r="1248">
      <c r="A1248" s="8">
        <f>IF(OR($B1248="",$C1248=""),"",IFERROR(INDEX(PM_Short,MATCH($B1248,PM_ID,0))&amp;"-"&amp;TEXT($C1248,"00"),"?? no such product"))</f>
        <v/>
      </c>
      <c r="B1248" s="5" t="n"/>
      <c r="C1248" s="5" t="n"/>
      <c r="D1248" s="8">
        <f>IF($B1248="","",IFERROR(INDEX(PM_Category,MATCH($B1248,PM_ID,0)),""))</f>
        <v/>
      </c>
      <c r="E1248" s="8">
        <f>IF($B1248="","",IFERROR(INDEX(PM_Subcategory,MATCH($B1248,PM_ID,0)),""))</f>
        <v/>
      </c>
      <c r="F1248" s="8">
        <f>IF($B1248="","",IFERROR(INDEX(PM_Brand,MATCH($B1248,PM_ID,0)),""))</f>
        <v/>
      </c>
      <c r="G1248" s="8">
        <f>IF($B1248="","",IFERROR(INDEX(PM_Model,MATCH($B1248,PM_ID,0)),""))</f>
        <v/>
      </c>
      <c r="H1248" s="5" t="n"/>
      <c r="I1248" s="10" t="n"/>
      <c r="J1248" s="9" t="n"/>
      <c r="K1248" s="5" t="n"/>
      <c r="L1248" s="5" t="n"/>
      <c r="M1248" s="5" t="n"/>
      <c r="N1248" s="5" t="n"/>
      <c r="O1248" s="8">
        <f>IF($B1248="","",IF(AND($A1248&lt;&gt;"",COUNTIF(INV_ID,$A1248)&gt;1),"⚠ this Unit ID already exists",IF(AND($H1248&lt;&gt;"",COUNTIF(INV_Serial,$H1248)&gt;1),"⚠ this serial already exists",IF(COUNTIFS(INV_Product,$B1248,INV_No,$C1248)&gt;1,"⚠ piece number reused",""))))</f>
        <v/>
      </c>
      <c r="P1248" s="5" t="n"/>
    </row>
    <row r="1249">
      <c r="A1249" s="8">
        <f>IF(OR($B1249="",$C1249=""),"",IFERROR(INDEX(PM_Short,MATCH($B1249,PM_ID,0))&amp;"-"&amp;TEXT($C1249,"00"),"?? no such product"))</f>
        <v/>
      </c>
      <c r="B1249" s="5" t="n"/>
      <c r="C1249" s="5" t="n"/>
      <c r="D1249" s="8">
        <f>IF($B1249="","",IFERROR(INDEX(PM_Category,MATCH($B1249,PM_ID,0)),""))</f>
        <v/>
      </c>
      <c r="E1249" s="8">
        <f>IF($B1249="","",IFERROR(INDEX(PM_Subcategory,MATCH($B1249,PM_ID,0)),""))</f>
        <v/>
      </c>
      <c r="F1249" s="8">
        <f>IF($B1249="","",IFERROR(INDEX(PM_Brand,MATCH($B1249,PM_ID,0)),""))</f>
        <v/>
      </c>
      <c r="G1249" s="8">
        <f>IF($B1249="","",IFERROR(INDEX(PM_Model,MATCH($B1249,PM_ID,0)),""))</f>
        <v/>
      </c>
      <c r="H1249" s="5" t="n"/>
      <c r="I1249" s="10" t="n"/>
      <c r="J1249" s="9" t="n"/>
      <c r="K1249" s="5" t="n"/>
      <c r="L1249" s="5" t="n"/>
      <c r="M1249" s="5" t="n"/>
      <c r="N1249" s="5" t="n"/>
      <c r="O1249" s="8">
        <f>IF($B1249="","",IF(AND($A1249&lt;&gt;"",COUNTIF(INV_ID,$A1249)&gt;1),"⚠ this Unit ID already exists",IF(AND($H1249&lt;&gt;"",COUNTIF(INV_Serial,$H1249)&gt;1),"⚠ this serial already exists",IF(COUNTIFS(INV_Product,$B1249,INV_No,$C1249)&gt;1,"⚠ piece number reused",""))))</f>
        <v/>
      </c>
      <c r="P1249" s="5" t="n"/>
    </row>
    <row r="1250">
      <c r="A1250" s="8">
        <f>IF(OR($B1250="",$C1250=""),"",IFERROR(INDEX(PM_Short,MATCH($B1250,PM_ID,0))&amp;"-"&amp;TEXT($C1250,"00"),"?? no such product"))</f>
        <v/>
      </c>
      <c r="B1250" s="5" t="n"/>
      <c r="C1250" s="5" t="n"/>
      <c r="D1250" s="8">
        <f>IF($B1250="","",IFERROR(INDEX(PM_Category,MATCH($B1250,PM_ID,0)),""))</f>
        <v/>
      </c>
      <c r="E1250" s="8">
        <f>IF($B1250="","",IFERROR(INDEX(PM_Subcategory,MATCH($B1250,PM_ID,0)),""))</f>
        <v/>
      </c>
      <c r="F1250" s="8">
        <f>IF($B1250="","",IFERROR(INDEX(PM_Brand,MATCH($B1250,PM_ID,0)),""))</f>
        <v/>
      </c>
      <c r="G1250" s="8">
        <f>IF($B1250="","",IFERROR(INDEX(PM_Model,MATCH($B1250,PM_ID,0)),""))</f>
        <v/>
      </c>
      <c r="H1250" s="5" t="n"/>
      <c r="I1250" s="10" t="n"/>
      <c r="J1250" s="9" t="n"/>
      <c r="K1250" s="5" t="n"/>
      <c r="L1250" s="5" t="n"/>
      <c r="M1250" s="5" t="n"/>
      <c r="N1250" s="5" t="n"/>
      <c r="O1250" s="8">
        <f>IF($B1250="","",IF(AND($A1250&lt;&gt;"",COUNTIF(INV_ID,$A1250)&gt;1),"⚠ this Unit ID already exists",IF(AND($H1250&lt;&gt;"",COUNTIF(INV_Serial,$H1250)&gt;1),"⚠ this serial already exists",IF(COUNTIFS(INV_Product,$B1250,INV_No,$C1250)&gt;1,"⚠ piece number reused",""))))</f>
        <v/>
      </c>
      <c r="P1250" s="5" t="n"/>
    </row>
    <row r="1251">
      <c r="A1251" s="8">
        <f>IF(OR($B1251="",$C1251=""),"",IFERROR(INDEX(PM_Short,MATCH($B1251,PM_ID,0))&amp;"-"&amp;TEXT($C1251,"00"),"?? no such product"))</f>
        <v/>
      </c>
      <c r="B1251" s="5" t="n"/>
      <c r="C1251" s="5" t="n"/>
      <c r="D1251" s="8">
        <f>IF($B1251="","",IFERROR(INDEX(PM_Category,MATCH($B1251,PM_ID,0)),""))</f>
        <v/>
      </c>
      <c r="E1251" s="8">
        <f>IF($B1251="","",IFERROR(INDEX(PM_Subcategory,MATCH($B1251,PM_ID,0)),""))</f>
        <v/>
      </c>
      <c r="F1251" s="8">
        <f>IF($B1251="","",IFERROR(INDEX(PM_Brand,MATCH($B1251,PM_ID,0)),""))</f>
        <v/>
      </c>
      <c r="G1251" s="8">
        <f>IF($B1251="","",IFERROR(INDEX(PM_Model,MATCH($B1251,PM_ID,0)),""))</f>
        <v/>
      </c>
      <c r="H1251" s="5" t="n"/>
      <c r="I1251" s="10" t="n"/>
      <c r="J1251" s="9" t="n"/>
      <c r="K1251" s="5" t="n"/>
      <c r="L1251" s="5" t="n"/>
      <c r="M1251" s="5" t="n"/>
      <c r="N1251" s="5" t="n"/>
      <c r="O1251" s="8">
        <f>IF($B1251="","",IF(AND($A1251&lt;&gt;"",COUNTIF(INV_ID,$A1251)&gt;1),"⚠ this Unit ID already exists",IF(AND($H1251&lt;&gt;"",COUNTIF(INV_Serial,$H1251)&gt;1),"⚠ this serial already exists",IF(COUNTIFS(INV_Product,$B1251,INV_No,$C1251)&gt;1,"⚠ piece number reused",""))))</f>
        <v/>
      </c>
      <c r="P1251" s="5" t="n"/>
    </row>
    <row r="1252">
      <c r="A1252" s="8">
        <f>IF(OR($B1252="",$C1252=""),"",IFERROR(INDEX(PM_Short,MATCH($B1252,PM_ID,0))&amp;"-"&amp;TEXT($C1252,"00"),"?? no such product"))</f>
        <v/>
      </c>
      <c r="B1252" s="5" t="n"/>
      <c r="C1252" s="5" t="n"/>
      <c r="D1252" s="8">
        <f>IF($B1252="","",IFERROR(INDEX(PM_Category,MATCH($B1252,PM_ID,0)),""))</f>
        <v/>
      </c>
      <c r="E1252" s="8">
        <f>IF($B1252="","",IFERROR(INDEX(PM_Subcategory,MATCH($B1252,PM_ID,0)),""))</f>
        <v/>
      </c>
      <c r="F1252" s="8">
        <f>IF($B1252="","",IFERROR(INDEX(PM_Brand,MATCH($B1252,PM_ID,0)),""))</f>
        <v/>
      </c>
      <c r="G1252" s="8">
        <f>IF($B1252="","",IFERROR(INDEX(PM_Model,MATCH($B1252,PM_ID,0)),""))</f>
        <v/>
      </c>
      <c r="H1252" s="5" t="n"/>
      <c r="I1252" s="10" t="n"/>
      <c r="J1252" s="9" t="n"/>
      <c r="K1252" s="5" t="n"/>
      <c r="L1252" s="5" t="n"/>
      <c r="M1252" s="5" t="n"/>
      <c r="N1252" s="5" t="n"/>
      <c r="O1252" s="8">
        <f>IF($B1252="","",IF(AND($A1252&lt;&gt;"",COUNTIF(INV_ID,$A1252)&gt;1),"⚠ this Unit ID already exists",IF(AND($H1252&lt;&gt;"",COUNTIF(INV_Serial,$H1252)&gt;1),"⚠ this serial already exists",IF(COUNTIFS(INV_Product,$B1252,INV_No,$C1252)&gt;1,"⚠ piece number reused",""))))</f>
        <v/>
      </c>
      <c r="P1252" s="5" t="n"/>
    </row>
    <row r="1253">
      <c r="A1253" s="8">
        <f>IF(OR($B1253="",$C1253=""),"",IFERROR(INDEX(PM_Short,MATCH($B1253,PM_ID,0))&amp;"-"&amp;TEXT($C1253,"00"),"?? no such product"))</f>
        <v/>
      </c>
      <c r="B1253" s="5" t="n"/>
      <c r="C1253" s="5" t="n"/>
      <c r="D1253" s="8">
        <f>IF($B1253="","",IFERROR(INDEX(PM_Category,MATCH($B1253,PM_ID,0)),""))</f>
        <v/>
      </c>
      <c r="E1253" s="8">
        <f>IF($B1253="","",IFERROR(INDEX(PM_Subcategory,MATCH($B1253,PM_ID,0)),""))</f>
        <v/>
      </c>
      <c r="F1253" s="8">
        <f>IF($B1253="","",IFERROR(INDEX(PM_Brand,MATCH($B1253,PM_ID,0)),""))</f>
        <v/>
      </c>
      <c r="G1253" s="8">
        <f>IF($B1253="","",IFERROR(INDEX(PM_Model,MATCH($B1253,PM_ID,0)),""))</f>
        <v/>
      </c>
      <c r="H1253" s="5" t="n"/>
      <c r="I1253" s="10" t="n"/>
      <c r="J1253" s="9" t="n"/>
      <c r="K1253" s="5" t="n"/>
      <c r="L1253" s="5" t="n"/>
      <c r="M1253" s="5" t="n"/>
      <c r="N1253" s="5" t="n"/>
      <c r="O1253" s="8">
        <f>IF($B1253="","",IF(AND($A1253&lt;&gt;"",COUNTIF(INV_ID,$A1253)&gt;1),"⚠ this Unit ID already exists",IF(AND($H1253&lt;&gt;"",COUNTIF(INV_Serial,$H1253)&gt;1),"⚠ this serial already exists",IF(COUNTIFS(INV_Product,$B1253,INV_No,$C1253)&gt;1,"⚠ piece number reused",""))))</f>
        <v/>
      </c>
      <c r="P1253" s="5" t="n"/>
    </row>
    <row r="1254">
      <c r="A1254" s="8">
        <f>IF(OR($B1254="",$C1254=""),"",IFERROR(INDEX(PM_Short,MATCH($B1254,PM_ID,0))&amp;"-"&amp;TEXT($C1254,"00"),"?? no such product"))</f>
        <v/>
      </c>
      <c r="B1254" s="5" t="n"/>
      <c r="C1254" s="5" t="n"/>
      <c r="D1254" s="8">
        <f>IF($B1254="","",IFERROR(INDEX(PM_Category,MATCH($B1254,PM_ID,0)),""))</f>
        <v/>
      </c>
      <c r="E1254" s="8">
        <f>IF($B1254="","",IFERROR(INDEX(PM_Subcategory,MATCH($B1254,PM_ID,0)),""))</f>
        <v/>
      </c>
      <c r="F1254" s="8">
        <f>IF($B1254="","",IFERROR(INDEX(PM_Brand,MATCH($B1254,PM_ID,0)),""))</f>
        <v/>
      </c>
      <c r="G1254" s="8">
        <f>IF($B1254="","",IFERROR(INDEX(PM_Model,MATCH($B1254,PM_ID,0)),""))</f>
        <v/>
      </c>
      <c r="H1254" s="5" t="n"/>
      <c r="I1254" s="10" t="n"/>
      <c r="J1254" s="9" t="n"/>
      <c r="K1254" s="5" t="n"/>
      <c r="L1254" s="5" t="n"/>
      <c r="M1254" s="5" t="n"/>
      <c r="N1254" s="5" t="n"/>
      <c r="O1254" s="8">
        <f>IF($B1254="","",IF(AND($A1254&lt;&gt;"",COUNTIF(INV_ID,$A1254)&gt;1),"⚠ this Unit ID already exists",IF(AND($H1254&lt;&gt;"",COUNTIF(INV_Serial,$H1254)&gt;1),"⚠ this serial already exists",IF(COUNTIFS(INV_Product,$B1254,INV_No,$C1254)&gt;1,"⚠ piece number reused",""))))</f>
        <v/>
      </c>
      <c r="P1254" s="5" t="n"/>
    </row>
    <row r="1255">
      <c r="A1255" s="8">
        <f>IF(OR($B1255="",$C1255=""),"",IFERROR(INDEX(PM_Short,MATCH($B1255,PM_ID,0))&amp;"-"&amp;TEXT($C1255,"00"),"?? no such product"))</f>
        <v/>
      </c>
      <c r="B1255" s="5" t="n"/>
      <c r="C1255" s="5" t="n"/>
      <c r="D1255" s="8">
        <f>IF($B1255="","",IFERROR(INDEX(PM_Category,MATCH($B1255,PM_ID,0)),""))</f>
        <v/>
      </c>
      <c r="E1255" s="8">
        <f>IF($B1255="","",IFERROR(INDEX(PM_Subcategory,MATCH($B1255,PM_ID,0)),""))</f>
        <v/>
      </c>
      <c r="F1255" s="8">
        <f>IF($B1255="","",IFERROR(INDEX(PM_Brand,MATCH($B1255,PM_ID,0)),""))</f>
        <v/>
      </c>
      <c r="G1255" s="8">
        <f>IF($B1255="","",IFERROR(INDEX(PM_Model,MATCH($B1255,PM_ID,0)),""))</f>
        <v/>
      </c>
      <c r="H1255" s="5" t="n"/>
      <c r="I1255" s="10" t="n"/>
      <c r="J1255" s="9" t="n"/>
      <c r="K1255" s="5" t="n"/>
      <c r="L1255" s="5" t="n"/>
      <c r="M1255" s="5" t="n"/>
      <c r="N1255" s="5" t="n"/>
      <c r="O1255" s="8">
        <f>IF($B1255="","",IF(AND($A1255&lt;&gt;"",COUNTIF(INV_ID,$A1255)&gt;1),"⚠ this Unit ID already exists",IF(AND($H1255&lt;&gt;"",COUNTIF(INV_Serial,$H1255)&gt;1),"⚠ this serial already exists",IF(COUNTIFS(INV_Product,$B1255,INV_No,$C1255)&gt;1,"⚠ piece number reused",""))))</f>
        <v/>
      </c>
      <c r="P1255" s="5" t="n"/>
    </row>
    <row r="1256">
      <c r="A1256" s="8">
        <f>IF(OR($B1256="",$C1256=""),"",IFERROR(INDEX(PM_Short,MATCH($B1256,PM_ID,0))&amp;"-"&amp;TEXT($C1256,"00"),"?? no such product"))</f>
        <v/>
      </c>
      <c r="B1256" s="5" t="n"/>
      <c r="C1256" s="5" t="n"/>
      <c r="D1256" s="8">
        <f>IF($B1256="","",IFERROR(INDEX(PM_Category,MATCH($B1256,PM_ID,0)),""))</f>
        <v/>
      </c>
      <c r="E1256" s="8">
        <f>IF($B1256="","",IFERROR(INDEX(PM_Subcategory,MATCH($B1256,PM_ID,0)),""))</f>
        <v/>
      </c>
      <c r="F1256" s="8">
        <f>IF($B1256="","",IFERROR(INDEX(PM_Brand,MATCH($B1256,PM_ID,0)),""))</f>
        <v/>
      </c>
      <c r="G1256" s="8">
        <f>IF($B1256="","",IFERROR(INDEX(PM_Model,MATCH($B1256,PM_ID,0)),""))</f>
        <v/>
      </c>
      <c r="H1256" s="5" t="n"/>
      <c r="I1256" s="10" t="n"/>
      <c r="J1256" s="9" t="n"/>
      <c r="K1256" s="5" t="n"/>
      <c r="L1256" s="5" t="n"/>
      <c r="M1256" s="5" t="n"/>
      <c r="N1256" s="5" t="n"/>
      <c r="O1256" s="8">
        <f>IF($B1256="","",IF(AND($A1256&lt;&gt;"",COUNTIF(INV_ID,$A1256)&gt;1),"⚠ this Unit ID already exists",IF(AND($H1256&lt;&gt;"",COUNTIF(INV_Serial,$H1256)&gt;1),"⚠ this serial already exists",IF(COUNTIFS(INV_Product,$B1256,INV_No,$C1256)&gt;1,"⚠ piece number reused",""))))</f>
        <v/>
      </c>
      <c r="P1256" s="5" t="n"/>
    </row>
    <row r="1257">
      <c r="A1257" s="8">
        <f>IF(OR($B1257="",$C1257=""),"",IFERROR(INDEX(PM_Short,MATCH($B1257,PM_ID,0))&amp;"-"&amp;TEXT($C1257,"00"),"?? no such product"))</f>
        <v/>
      </c>
      <c r="B1257" s="5" t="n"/>
      <c r="C1257" s="5" t="n"/>
      <c r="D1257" s="8">
        <f>IF($B1257="","",IFERROR(INDEX(PM_Category,MATCH($B1257,PM_ID,0)),""))</f>
        <v/>
      </c>
      <c r="E1257" s="8">
        <f>IF($B1257="","",IFERROR(INDEX(PM_Subcategory,MATCH($B1257,PM_ID,0)),""))</f>
        <v/>
      </c>
      <c r="F1257" s="8">
        <f>IF($B1257="","",IFERROR(INDEX(PM_Brand,MATCH($B1257,PM_ID,0)),""))</f>
        <v/>
      </c>
      <c r="G1257" s="8">
        <f>IF($B1257="","",IFERROR(INDEX(PM_Model,MATCH($B1257,PM_ID,0)),""))</f>
        <v/>
      </c>
      <c r="H1257" s="5" t="n"/>
      <c r="I1257" s="10" t="n"/>
      <c r="J1257" s="9" t="n"/>
      <c r="K1257" s="5" t="n"/>
      <c r="L1257" s="5" t="n"/>
      <c r="M1257" s="5" t="n"/>
      <c r="N1257" s="5" t="n"/>
      <c r="O1257" s="8">
        <f>IF($B1257="","",IF(AND($A1257&lt;&gt;"",COUNTIF(INV_ID,$A1257)&gt;1),"⚠ this Unit ID already exists",IF(AND($H1257&lt;&gt;"",COUNTIF(INV_Serial,$H1257)&gt;1),"⚠ this serial already exists",IF(COUNTIFS(INV_Product,$B1257,INV_No,$C1257)&gt;1,"⚠ piece number reused",""))))</f>
        <v/>
      </c>
      <c r="P1257" s="5" t="n"/>
    </row>
    <row r="1258">
      <c r="A1258" s="8">
        <f>IF(OR($B1258="",$C1258=""),"",IFERROR(INDEX(PM_Short,MATCH($B1258,PM_ID,0))&amp;"-"&amp;TEXT($C1258,"00"),"?? no such product"))</f>
        <v/>
      </c>
      <c r="B1258" s="5" t="n"/>
      <c r="C1258" s="5" t="n"/>
      <c r="D1258" s="8">
        <f>IF($B1258="","",IFERROR(INDEX(PM_Category,MATCH($B1258,PM_ID,0)),""))</f>
        <v/>
      </c>
      <c r="E1258" s="8">
        <f>IF($B1258="","",IFERROR(INDEX(PM_Subcategory,MATCH($B1258,PM_ID,0)),""))</f>
        <v/>
      </c>
      <c r="F1258" s="8">
        <f>IF($B1258="","",IFERROR(INDEX(PM_Brand,MATCH($B1258,PM_ID,0)),""))</f>
        <v/>
      </c>
      <c r="G1258" s="8">
        <f>IF($B1258="","",IFERROR(INDEX(PM_Model,MATCH($B1258,PM_ID,0)),""))</f>
        <v/>
      </c>
      <c r="H1258" s="5" t="n"/>
      <c r="I1258" s="10" t="n"/>
      <c r="J1258" s="9" t="n"/>
      <c r="K1258" s="5" t="n"/>
      <c r="L1258" s="5" t="n"/>
      <c r="M1258" s="5" t="n"/>
      <c r="N1258" s="5" t="n"/>
      <c r="O1258" s="8">
        <f>IF($B1258="","",IF(AND($A1258&lt;&gt;"",COUNTIF(INV_ID,$A1258)&gt;1),"⚠ this Unit ID already exists",IF(AND($H1258&lt;&gt;"",COUNTIF(INV_Serial,$H1258)&gt;1),"⚠ this serial already exists",IF(COUNTIFS(INV_Product,$B1258,INV_No,$C1258)&gt;1,"⚠ piece number reused",""))))</f>
        <v/>
      </c>
      <c r="P1258" s="5" t="n"/>
    </row>
    <row r="1259">
      <c r="A1259" s="8">
        <f>IF(OR($B1259="",$C1259=""),"",IFERROR(INDEX(PM_Short,MATCH($B1259,PM_ID,0))&amp;"-"&amp;TEXT($C1259,"00"),"?? no such product"))</f>
        <v/>
      </c>
      <c r="B1259" s="5" t="n"/>
      <c r="C1259" s="5" t="n"/>
      <c r="D1259" s="8">
        <f>IF($B1259="","",IFERROR(INDEX(PM_Category,MATCH($B1259,PM_ID,0)),""))</f>
        <v/>
      </c>
      <c r="E1259" s="8">
        <f>IF($B1259="","",IFERROR(INDEX(PM_Subcategory,MATCH($B1259,PM_ID,0)),""))</f>
        <v/>
      </c>
      <c r="F1259" s="8">
        <f>IF($B1259="","",IFERROR(INDEX(PM_Brand,MATCH($B1259,PM_ID,0)),""))</f>
        <v/>
      </c>
      <c r="G1259" s="8">
        <f>IF($B1259="","",IFERROR(INDEX(PM_Model,MATCH($B1259,PM_ID,0)),""))</f>
        <v/>
      </c>
      <c r="H1259" s="5" t="n"/>
      <c r="I1259" s="10" t="n"/>
      <c r="J1259" s="9" t="n"/>
      <c r="K1259" s="5" t="n"/>
      <c r="L1259" s="5" t="n"/>
      <c r="M1259" s="5" t="n"/>
      <c r="N1259" s="5" t="n"/>
      <c r="O1259" s="8">
        <f>IF($B1259="","",IF(AND($A1259&lt;&gt;"",COUNTIF(INV_ID,$A1259)&gt;1),"⚠ this Unit ID already exists",IF(AND($H1259&lt;&gt;"",COUNTIF(INV_Serial,$H1259)&gt;1),"⚠ this serial already exists",IF(COUNTIFS(INV_Product,$B1259,INV_No,$C1259)&gt;1,"⚠ piece number reused",""))))</f>
        <v/>
      </c>
      <c r="P1259" s="5" t="n"/>
    </row>
    <row r="1260">
      <c r="A1260" s="8">
        <f>IF(OR($B1260="",$C1260=""),"",IFERROR(INDEX(PM_Short,MATCH($B1260,PM_ID,0))&amp;"-"&amp;TEXT($C1260,"00"),"?? no such product"))</f>
        <v/>
      </c>
      <c r="B1260" s="5" t="n"/>
      <c r="C1260" s="5" t="n"/>
      <c r="D1260" s="8">
        <f>IF($B1260="","",IFERROR(INDEX(PM_Category,MATCH($B1260,PM_ID,0)),""))</f>
        <v/>
      </c>
      <c r="E1260" s="8">
        <f>IF($B1260="","",IFERROR(INDEX(PM_Subcategory,MATCH($B1260,PM_ID,0)),""))</f>
        <v/>
      </c>
      <c r="F1260" s="8">
        <f>IF($B1260="","",IFERROR(INDEX(PM_Brand,MATCH($B1260,PM_ID,0)),""))</f>
        <v/>
      </c>
      <c r="G1260" s="8">
        <f>IF($B1260="","",IFERROR(INDEX(PM_Model,MATCH($B1260,PM_ID,0)),""))</f>
        <v/>
      </c>
      <c r="H1260" s="5" t="n"/>
      <c r="I1260" s="10" t="n"/>
      <c r="J1260" s="9" t="n"/>
      <c r="K1260" s="5" t="n"/>
      <c r="L1260" s="5" t="n"/>
      <c r="M1260" s="5" t="n"/>
      <c r="N1260" s="5" t="n"/>
      <c r="O1260" s="8">
        <f>IF($B1260="","",IF(AND($A1260&lt;&gt;"",COUNTIF(INV_ID,$A1260)&gt;1),"⚠ this Unit ID already exists",IF(AND($H1260&lt;&gt;"",COUNTIF(INV_Serial,$H1260)&gt;1),"⚠ this serial already exists",IF(COUNTIFS(INV_Product,$B1260,INV_No,$C1260)&gt;1,"⚠ piece number reused",""))))</f>
        <v/>
      </c>
      <c r="P1260" s="5" t="n"/>
    </row>
    <row r="1261">
      <c r="A1261" s="8">
        <f>IF(OR($B1261="",$C1261=""),"",IFERROR(INDEX(PM_Short,MATCH($B1261,PM_ID,0))&amp;"-"&amp;TEXT($C1261,"00"),"?? no such product"))</f>
        <v/>
      </c>
      <c r="B1261" s="5" t="n"/>
      <c r="C1261" s="5" t="n"/>
      <c r="D1261" s="8">
        <f>IF($B1261="","",IFERROR(INDEX(PM_Category,MATCH($B1261,PM_ID,0)),""))</f>
        <v/>
      </c>
      <c r="E1261" s="8">
        <f>IF($B1261="","",IFERROR(INDEX(PM_Subcategory,MATCH($B1261,PM_ID,0)),""))</f>
        <v/>
      </c>
      <c r="F1261" s="8">
        <f>IF($B1261="","",IFERROR(INDEX(PM_Brand,MATCH($B1261,PM_ID,0)),""))</f>
        <v/>
      </c>
      <c r="G1261" s="8">
        <f>IF($B1261="","",IFERROR(INDEX(PM_Model,MATCH($B1261,PM_ID,0)),""))</f>
        <v/>
      </c>
      <c r="H1261" s="5" t="n"/>
      <c r="I1261" s="10" t="n"/>
      <c r="J1261" s="9" t="n"/>
      <c r="K1261" s="5" t="n"/>
      <c r="L1261" s="5" t="n"/>
      <c r="M1261" s="5" t="n"/>
      <c r="N1261" s="5" t="n"/>
      <c r="O1261" s="8">
        <f>IF($B1261="","",IF(AND($A1261&lt;&gt;"",COUNTIF(INV_ID,$A1261)&gt;1),"⚠ this Unit ID already exists",IF(AND($H1261&lt;&gt;"",COUNTIF(INV_Serial,$H1261)&gt;1),"⚠ this serial already exists",IF(COUNTIFS(INV_Product,$B1261,INV_No,$C1261)&gt;1,"⚠ piece number reused",""))))</f>
        <v/>
      </c>
      <c r="P1261" s="5" t="n"/>
    </row>
    <row r="1262">
      <c r="A1262" s="8">
        <f>IF(OR($B1262="",$C1262=""),"",IFERROR(INDEX(PM_Short,MATCH($B1262,PM_ID,0))&amp;"-"&amp;TEXT($C1262,"00"),"?? no such product"))</f>
        <v/>
      </c>
      <c r="B1262" s="5" t="n"/>
      <c r="C1262" s="5" t="n"/>
      <c r="D1262" s="8">
        <f>IF($B1262="","",IFERROR(INDEX(PM_Category,MATCH($B1262,PM_ID,0)),""))</f>
        <v/>
      </c>
      <c r="E1262" s="8">
        <f>IF($B1262="","",IFERROR(INDEX(PM_Subcategory,MATCH($B1262,PM_ID,0)),""))</f>
        <v/>
      </c>
      <c r="F1262" s="8">
        <f>IF($B1262="","",IFERROR(INDEX(PM_Brand,MATCH($B1262,PM_ID,0)),""))</f>
        <v/>
      </c>
      <c r="G1262" s="8">
        <f>IF($B1262="","",IFERROR(INDEX(PM_Model,MATCH($B1262,PM_ID,0)),""))</f>
        <v/>
      </c>
      <c r="H1262" s="5" t="n"/>
      <c r="I1262" s="10" t="n"/>
      <c r="J1262" s="9" t="n"/>
      <c r="K1262" s="5" t="n"/>
      <c r="L1262" s="5" t="n"/>
      <c r="M1262" s="5" t="n"/>
      <c r="N1262" s="5" t="n"/>
      <c r="O1262" s="8">
        <f>IF($B1262="","",IF(AND($A1262&lt;&gt;"",COUNTIF(INV_ID,$A1262)&gt;1),"⚠ this Unit ID already exists",IF(AND($H1262&lt;&gt;"",COUNTIF(INV_Serial,$H1262)&gt;1),"⚠ this serial already exists",IF(COUNTIFS(INV_Product,$B1262,INV_No,$C1262)&gt;1,"⚠ piece number reused",""))))</f>
        <v/>
      </c>
      <c r="P1262" s="5" t="n"/>
    </row>
    <row r="1263">
      <c r="A1263" s="8">
        <f>IF(OR($B1263="",$C1263=""),"",IFERROR(INDEX(PM_Short,MATCH($B1263,PM_ID,0))&amp;"-"&amp;TEXT($C1263,"00"),"?? no such product"))</f>
        <v/>
      </c>
      <c r="B1263" s="5" t="n"/>
      <c r="C1263" s="5" t="n"/>
      <c r="D1263" s="8">
        <f>IF($B1263="","",IFERROR(INDEX(PM_Category,MATCH($B1263,PM_ID,0)),""))</f>
        <v/>
      </c>
      <c r="E1263" s="8">
        <f>IF($B1263="","",IFERROR(INDEX(PM_Subcategory,MATCH($B1263,PM_ID,0)),""))</f>
        <v/>
      </c>
      <c r="F1263" s="8">
        <f>IF($B1263="","",IFERROR(INDEX(PM_Brand,MATCH($B1263,PM_ID,0)),""))</f>
        <v/>
      </c>
      <c r="G1263" s="8">
        <f>IF($B1263="","",IFERROR(INDEX(PM_Model,MATCH($B1263,PM_ID,0)),""))</f>
        <v/>
      </c>
      <c r="H1263" s="5" t="n"/>
      <c r="I1263" s="10" t="n"/>
      <c r="J1263" s="9" t="n"/>
      <c r="K1263" s="5" t="n"/>
      <c r="L1263" s="5" t="n"/>
      <c r="M1263" s="5" t="n"/>
      <c r="N1263" s="5" t="n"/>
      <c r="O1263" s="8">
        <f>IF($B1263="","",IF(AND($A1263&lt;&gt;"",COUNTIF(INV_ID,$A1263)&gt;1),"⚠ this Unit ID already exists",IF(AND($H1263&lt;&gt;"",COUNTIF(INV_Serial,$H1263)&gt;1),"⚠ this serial already exists",IF(COUNTIFS(INV_Product,$B1263,INV_No,$C1263)&gt;1,"⚠ piece number reused",""))))</f>
        <v/>
      </c>
      <c r="P1263" s="5" t="n"/>
    </row>
    <row r="1264">
      <c r="A1264" s="8">
        <f>IF(OR($B1264="",$C1264=""),"",IFERROR(INDEX(PM_Short,MATCH($B1264,PM_ID,0))&amp;"-"&amp;TEXT($C1264,"00"),"?? no such product"))</f>
        <v/>
      </c>
      <c r="B1264" s="5" t="n"/>
      <c r="C1264" s="5" t="n"/>
      <c r="D1264" s="8">
        <f>IF($B1264="","",IFERROR(INDEX(PM_Category,MATCH($B1264,PM_ID,0)),""))</f>
        <v/>
      </c>
      <c r="E1264" s="8">
        <f>IF($B1264="","",IFERROR(INDEX(PM_Subcategory,MATCH($B1264,PM_ID,0)),""))</f>
        <v/>
      </c>
      <c r="F1264" s="8">
        <f>IF($B1264="","",IFERROR(INDEX(PM_Brand,MATCH($B1264,PM_ID,0)),""))</f>
        <v/>
      </c>
      <c r="G1264" s="8">
        <f>IF($B1264="","",IFERROR(INDEX(PM_Model,MATCH($B1264,PM_ID,0)),""))</f>
        <v/>
      </c>
      <c r="H1264" s="5" t="n"/>
      <c r="I1264" s="10" t="n"/>
      <c r="J1264" s="9" t="n"/>
      <c r="K1264" s="5" t="n"/>
      <c r="L1264" s="5" t="n"/>
      <c r="M1264" s="5" t="n"/>
      <c r="N1264" s="5" t="n"/>
      <c r="O1264" s="8">
        <f>IF($B1264="","",IF(AND($A1264&lt;&gt;"",COUNTIF(INV_ID,$A1264)&gt;1),"⚠ this Unit ID already exists",IF(AND($H1264&lt;&gt;"",COUNTIF(INV_Serial,$H1264)&gt;1),"⚠ this serial already exists",IF(COUNTIFS(INV_Product,$B1264,INV_No,$C1264)&gt;1,"⚠ piece number reused",""))))</f>
        <v/>
      </c>
      <c r="P1264" s="5" t="n"/>
    </row>
    <row r="1265">
      <c r="A1265" s="8">
        <f>IF(OR($B1265="",$C1265=""),"",IFERROR(INDEX(PM_Short,MATCH($B1265,PM_ID,0))&amp;"-"&amp;TEXT($C1265,"00"),"?? no such product"))</f>
        <v/>
      </c>
      <c r="B1265" s="5" t="n"/>
      <c r="C1265" s="5" t="n"/>
      <c r="D1265" s="8">
        <f>IF($B1265="","",IFERROR(INDEX(PM_Category,MATCH($B1265,PM_ID,0)),""))</f>
        <v/>
      </c>
      <c r="E1265" s="8">
        <f>IF($B1265="","",IFERROR(INDEX(PM_Subcategory,MATCH($B1265,PM_ID,0)),""))</f>
        <v/>
      </c>
      <c r="F1265" s="8">
        <f>IF($B1265="","",IFERROR(INDEX(PM_Brand,MATCH($B1265,PM_ID,0)),""))</f>
        <v/>
      </c>
      <c r="G1265" s="8">
        <f>IF($B1265="","",IFERROR(INDEX(PM_Model,MATCH($B1265,PM_ID,0)),""))</f>
        <v/>
      </c>
      <c r="H1265" s="5" t="n"/>
      <c r="I1265" s="10" t="n"/>
      <c r="J1265" s="9" t="n"/>
      <c r="K1265" s="5" t="n"/>
      <c r="L1265" s="5" t="n"/>
      <c r="M1265" s="5" t="n"/>
      <c r="N1265" s="5" t="n"/>
      <c r="O1265" s="8">
        <f>IF($B1265="","",IF(AND($A1265&lt;&gt;"",COUNTIF(INV_ID,$A1265)&gt;1),"⚠ this Unit ID already exists",IF(AND($H1265&lt;&gt;"",COUNTIF(INV_Serial,$H1265)&gt;1),"⚠ this serial already exists",IF(COUNTIFS(INV_Product,$B1265,INV_No,$C1265)&gt;1,"⚠ piece number reused",""))))</f>
        <v/>
      </c>
      <c r="P1265" s="5" t="n"/>
    </row>
    <row r="1266">
      <c r="A1266" s="8">
        <f>IF(OR($B1266="",$C1266=""),"",IFERROR(INDEX(PM_Short,MATCH($B1266,PM_ID,0))&amp;"-"&amp;TEXT($C1266,"00"),"?? no such product"))</f>
        <v/>
      </c>
      <c r="B1266" s="5" t="n"/>
      <c r="C1266" s="5" t="n"/>
      <c r="D1266" s="8">
        <f>IF($B1266="","",IFERROR(INDEX(PM_Category,MATCH($B1266,PM_ID,0)),""))</f>
        <v/>
      </c>
      <c r="E1266" s="8">
        <f>IF($B1266="","",IFERROR(INDEX(PM_Subcategory,MATCH($B1266,PM_ID,0)),""))</f>
        <v/>
      </c>
      <c r="F1266" s="8">
        <f>IF($B1266="","",IFERROR(INDEX(PM_Brand,MATCH($B1266,PM_ID,0)),""))</f>
        <v/>
      </c>
      <c r="G1266" s="8">
        <f>IF($B1266="","",IFERROR(INDEX(PM_Model,MATCH($B1266,PM_ID,0)),""))</f>
        <v/>
      </c>
      <c r="H1266" s="5" t="n"/>
      <c r="I1266" s="10" t="n"/>
      <c r="J1266" s="9" t="n"/>
      <c r="K1266" s="5" t="n"/>
      <c r="L1266" s="5" t="n"/>
      <c r="M1266" s="5" t="n"/>
      <c r="N1266" s="5" t="n"/>
      <c r="O1266" s="8">
        <f>IF($B1266="","",IF(AND($A1266&lt;&gt;"",COUNTIF(INV_ID,$A1266)&gt;1),"⚠ this Unit ID already exists",IF(AND($H1266&lt;&gt;"",COUNTIF(INV_Serial,$H1266)&gt;1),"⚠ this serial already exists",IF(COUNTIFS(INV_Product,$B1266,INV_No,$C1266)&gt;1,"⚠ piece number reused",""))))</f>
        <v/>
      </c>
      <c r="P1266" s="5" t="n"/>
    </row>
    <row r="1267">
      <c r="A1267" s="8">
        <f>IF(OR($B1267="",$C1267=""),"",IFERROR(INDEX(PM_Short,MATCH($B1267,PM_ID,0))&amp;"-"&amp;TEXT($C1267,"00"),"?? no such product"))</f>
        <v/>
      </c>
      <c r="B1267" s="5" t="n"/>
      <c r="C1267" s="5" t="n"/>
      <c r="D1267" s="8">
        <f>IF($B1267="","",IFERROR(INDEX(PM_Category,MATCH($B1267,PM_ID,0)),""))</f>
        <v/>
      </c>
      <c r="E1267" s="8">
        <f>IF($B1267="","",IFERROR(INDEX(PM_Subcategory,MATCH($B1267,PM_ID,0)),""))</f>
        <v/>
      </c>
      <c r="F1267" s="8">
        <f>IF($B1267="","",IFERROR(INDEX(PM_Brand,MATCH($B1267,PM_ID,0)),""))</f>
        <v/>
      </c>
      <c r="G1267" s="8">
        <f>IF($B1267="","",IFERROR(INDEX(PM_Model,MATCH($B1267,PM_ID,0)),""))</f>
        <v/>
      </c>
      <c r="H1267" s="5" t="n"/>
      <c r="I1267" s="10" t="n"/>
      <c r="J1267" s="9" t="n"/>
      <c r="K1267" s="5" t="n"/>
      <c r="L1267" s="5" t="n"/>
      <c r="M1267" s="5" t="n"/>
      <c r="N1267" s="5" t="n"/>
      <c r="O1267" s="8">
        <f>IF($B1267="","",IF(AND($A1267&lt;&gt;"",COUNTIF(INV_ID,$A1267)&gt;1),"⚠ this Unit ID already exists",IF(AND($H1267&lt;&gt;"",COUNTIF(INV_Serial,$H1267)&gt;1),"⚠ this serial already exists",IF(COUNTIFS(INV_Product,$B1267,INV_No,$C1267)&gt;1,"⚠ piece number reused",""))))</f>
        <v/>
      </c>
      <c r="P1267" s="5" t="n"/>
    </row>
    <row r="1268">
      <c r="A1268" s="8">
        <f>IF(OR($B1268="",$C1268=""),"",IFERROR(INDEX(PM_Short,MATCH($B1268,PM_ID,0))&amp;"-"&amp;TEXT($C1268,"00"),"?? no such product"))</f>
        <v/>
      </c>
      <c r="B1268" s="5" t="n"/>
      <c r="C1268" s="5" t="n"/>
      <c r="D1268" s="8">
        <f>IF($B1268="","",IFERROR(INDEX(PM_Category,MATCH($B1268,PM_ID,0)),""))</f>
        <v/>
      </c>
      <c r="E1268" s="8">
        <f>IF($B1268="","",IFERROR(INDEX(PM_Subcategory,MATCH($B1268,PM_ID,0)),""))</f>
        <v/>
      </c>
      <c r="F1268" s="8">
        <f>IF($B1268="","",IFERROR(INDEX(PM_Brand,MATCH($B1268,PM_ID,0)),""))</f>
        <v/>
      </c>
      <c r="G1268" s="8">
        <f>IF($B1268="","",IFERROR(INDEX(PM_Model,MATCH($B1268,PM_ID,0)),""))</f>
        <v/>
      </c>
      <c r="H1268" s="5" t="n"/>
      <c r="I1268" s="10" t="n"/>
      <c r="J1268" s="9" t="n"/>
      <c r="K1268" s="5" t="n"/>
      <c r="L1268" s="5" t="n"/>
      <c r="M1268" s="5" t="n"/>
      <c r="N1268" s="5" t="n"/>
      <c r="O1268" s="8">
        <f>IF($B1268="","",IF(AND($A1268&lt;&gt;"",COUNTIF(INV_ID,$A1268)&gt;1),"⚠ this Unit ID already exists",IF(AND($H1268&lt;&gt;"",COUNTIF(INV_Serial,$H1268)&gt;1),"⚠ this serial already exists",IF(COUNTIFS(INV_Product,$B1268,INV_No,$C1268)&gt;1,"⚠ piece number reused",""))))</f>
        <v/>
      </c>
      <c r="P1268" s="5" t="n"/>
    </row>
    <row r="1269">
      <c r="A1269" s="8">
        <f>IF(OR($B1269="",$C1269=""),"",IFERROR(INDEX(PM_Short,MATCH($B1269,PM_ID,0))&amp;"-"&amp;TEXT($C1269,"00"),"?? no such product"))</f>
        <v/>
      </c>
      <c r="B1269" s="5" t="n"/>
      <c r="C1269" s="5" t="n"/>
      <c r="D1269" s="8">
        <f>IF($B1269="","",IFERROR(INDEX(PM_Category,MATCH($B1269,PM_ID,0)),""))</f>
        <v/>
      </c>
      <c r="E1269" s="8">
        <f>IF($B1269="","",IFERROR(INDEX(PM_Subcategory,MATCH($B1269,PM_ID,0)),""))</f>
        <v/>
      </c>
      <c r="F1269" s="8">
        <f>IF($B1269="","",IFERROR(INDEX(PM_Brand,MATCH($B1269,PM_ID,0)),""))</f>
        <v/>
      </c>
      <c r="G1269" s="8">
        <f>IF($B1269="","",IFERROR(INDEX(PM_Model,MATCH($B1269,PM_ID,0)),""))</f>
        <v/>
      </c>
      <c r="H1269" s="5" t="n"/>
      <c r="I1269" s="10" t="n"/>
      <c r="J1269" s="9" t="n"/>
      <c r="K1269" s="5" t="n"/>
      <c r="L1269" s="5" t="n"/>
      <c r="M1269" s="5" t="n"/>
      <c r="N1269" s="5" t="n"/>
      <c r="O1269" s="8">
        <f>IF($B1269="","",IF(AND($A1269&lt;&gt;"",COUNTIF(INV_ID,$A1269)&gt;1),"⚠ this Unit ID already exists",IF(AND($H1269&lt;&gt;"",COUNTIF(INV_Serial,$H1269)&gt;1),"⚠ this serial already exists",IF(COUNTIFS(INV_Product,$B1269,INV_No,$C1269)&gt;1,"⚠ piece number reused",""))))</f>
        <v/>
      </c>
      <c r="P1269" s="5" t="n"/>
    </row>
    <row r="1270">
      <c r="A1270" s="8">
        <f>IF(OR($B1270="",$C1270=""),"",IFERROR(INDEX(PM_Short,MATCH($B1270,PM_ID,0))&amp;"-"&amp;TEXT($C1270,"00"),"?? no such product"))</f>
        <v/>
      </c>
      <c r="B1270" s="5" t="n"/>
      <c r="C1270" s="5" t="n"/>
      <c r="D1270" s="8">
        <f>IF($B1270="","",IFERROR(INDEX(PM_Category,MATCH($B1270,PM_ID,0)),""))</f>
        <v/>
      </c>
      <c r="E1270" s="8">
        <f>IF($B1270="","",IFERROR(INDEX(PM_Subcategory,MATCH($B1270,PM_ID,0)),""))</f>
        <v/>
      </c>
      <c r="F1270" s="8">
        <f>IF($B1270="","",IFERROR(INDEX(PM_Brand,MATCH($B1270,PM_ID,0)),""))</f>
        <v/>
      </c>
      <c r="G1270" s="8">
        <f>IF($B1270="","",IFERROR(INDEX(PM_Model,MATCH($B1270,PM_ID,0)),""))</f>
        <v/>
      </c>
      <c r="H1270" s="5" t="n"/>
      <c r="I1270" s="10" t="n"/>
      <c r="J1270" s="9" t="n"/>
      <c r="K1270" s="5" t="n"/>
      <c r="L1270" s="5" t="n"/>
      <c r="M1270" s="5" t="n"/>
      <c r="N1270" s="5" t="n"/>
      <c r="O1270" s="8">
        <f>IF($B1270="","",IF(AND($A1270&lt;&gt;"",COUNTIF(INV_ID,$A1270)&gt;1),"⚠ this Unit ID already exists",IF(AND($H1270&lt;&gt;"",COUNTIF(INV_Serial,$H1270)&gt;1),"⚠ this serial already exists",IF(COUNTIFS(INV_Product,$B1270,INV_No,$C1270)&gt;1,"⚠ piece number reused",""))))</f>
        <v/>
      </c>
      <c r="P1270" s="5" t="n"/>
    </row>
    <row r="1271">
      <c r="A1271" s="8">
        <f>IF(OR($B1271="",$C1271=""),"",IFERROR(INDEX(PM_Short,MATCH($B1271,PM_ID,0))&amp;"-"&amp;TEXT($C1271,"00"),"?? no such product"))</f>
        <v/>
      </c>
      <c r="B1271" s="5" t="n"/>
      <c r="C1271" s="5" t="n"/>
      <c r="D1271" s="8">
        <f>IF($B1271="","",IFERROR(INDEX(PM_Category,MATCH($B1271,PM_ID,0)),""))</f>
        <v/>
      </c>
      <c r="E1271" s="8">
        <f>IF($B1271="","",IFERROR(INDEX(PM_Subcategory,MATCH($B1271,PM_ID,0)),""))</f>
        <v/>
      </c>
      <c r="F1271" s="8">
        <f>IF($B1271="","",IFERROR(INDEX(PM_Brand,MATCH($B1271,PM_ID,0)),""))</f>
        <v/>
      </c>
      <c r="G1271" s="8">
        <f>IF($B1271="","",IFERROR(INDEX(PM_Model,MATCH($B1271,PM_ID,0)),""))</f>
        <v/>
      </c>
      <c r="H1271" s="5" t="n"/>
      <c r="I1271" s="10" t="n"/>
      <c r="J1271" s="9" t="n"/>
      <c r="K1271" s="5" t="n"/>
      <c r="L1271" s="5" t="n"/>
      <c r="M1271" s="5" t="n"/>
      <c r="N1271" s="5" t="n"/>
      <c r="O1271" s="8">
        <f>IF($B1271="","",IF(AND($A1271&lt;&gt;"",COUNTIF(INV_ID,$A1271)&gt;1),"⚠ this Unit ID already exists",IF(AND($H1271&lt;&gt;"",COUNTIF(INV_Serial,$H1271)&gt;1),"⚠ this serial already exists",IF(COUNTIFS(INV_Product,$B1271,INV_No,$C1271)&gt;1,"⚠ piece number reused",""))))</f>
        <v/>
      </c>
      <c r="P1271" s="5" t="n"/>
    </row>
    <row r="1272">
      <c r="A1272" s="8">
        <f>IF(OR($B1272="",$C1272=""),"",IFERROR(INDEX(PM_Short,MATCH($B1272,PM_ID,0))&amp;"-"&amp;TEXT($C1272,"00"),"?? no such product"))</f>
        <v/>
      </c>
      <c r="B1272" s="5" t="n"/>
      <c r="C1272" s="5" t="n"/>
      <c r="D1272" s="8">
        <f>IF($B1272="","",IFERROR(INDEX(PM_Category,MATCH($B1272,PM_ID,0)),""))</f>
        <v/>
      </c>
      <c r="E1272" s="8">
        <f>IF($B1272="","",IFERROR(INDEX(PM_Subcategory,MATCH($B1272,PM_ID,0)),""))</f>
        <v/>
      </c>
      <c r="F1272" s="8">
        <f>IF($B1272="","",IFERROR(INDEX(PM_Brand,MATCH($B1272,PM_ID,0)),""))</f>
        <v/>
      </c>
      <c r="G1272" s="8">
        <f>IF($B1272="","",IFERROR(INDEX(PM_Model,MATCH($B1272,PM_ID,0)),""))</f>
        <v/>
      </c>
      <c r="H1272" s="5" t="n"/>
      <c r="I1272" s="10" t="n"/>
      <c r="J1272" s="9" t="n"/>
      <c r="K1272" s="5" t="n"/>
      <c r="L1272" s="5" t="n"/>
      <c r="M1272" s="5" t="n"/>
      <c r="N1272" s="5" t="n"/>
      <c r="O1272" s="8">
        <f>IF($B1272="","",IF(AND($A1272&lt;&gt;"",COUNTIF(INV_ID,$A1272)&gt;1),"⚠ this Unit ID already exists",IF(AND($H1272&lt;&gt;"",COUNTIF(INV_Serial,$H1272)&gt;1),"⚠ this serial already exists",IF(COUNTIFS(INV_Product,$B1272,INV_No,$C1272)&gt;1,"⚠ piece number reused",""))))</f>
        <v/>
      </c>
      <c r="P1272" s="5" t="n"/>
    </row>
    <row r="1273">
      <c r="A1273" s="8">
        <f>IF(OR($B1273="",$C1273=""),"",IFERROR(INDEX(PM_Short,MATCH($B1273,PM_ID,0))&amp;"-"&amp;TEXT($C1273,"00"),"?? no such product"))</f>
        <v/>
      </c>
      <c r="B1273" s="5" t="n"/>
      <c r="C1273" s="5" t="n"/>
      <c r="D1273" s="8">
        <f>IF($B1273="","",IFERROR(INDEX(PM_Category,MATCH($B1273,PM_ID,0)),""))</f>
        <v/>
      </c>
      <c r="E1273" s="8">
        <f>IF($B1273="","",IFERROR(INDEX(PM_Subcategory,MATCH($B1273,PM_ID,0)),""))</f>
        <v/>
      </c>
      <c r="F1273" s="8">
        <f>IF($B1273="","",IFERROR(INDEX(PM_Brand,MATCH($B1273,PM_ID,0)),""))</f>
        <v/>
      </c>
      <c r="G1273" s="8">
        <f>IF($B1273="","",IFERROR(INDEX(PM_Model,MATCH($B1273,PM_ID,0)),""))</f>
        <v/>
      </c>
      <c r="H1273" s="5" t="n"/>
      <c r="I1273" s="10" t="n"/>
      <c r="J1273" s="9" t="n"/>
      <c r="K1273" s="5" t="n"/>
      <c r="L1273" s="5" t="n"/>
      <c r="M1273" s="5" t="n"/>
      <c r="N1273" s="5" t="n"/>
      <c r="O1273" s="8">
        <f>IF($B1273="","",IF(AND($A1273&lt;&gt;"",COUNTIF(INV_ID,$A1273)&gt;1),"⚠ this Unit ID already exists",IF(AND($H1273&lt;&gt;"",COUNTIF(INV_Serial,$H1273)&gt;1),"⚠ this serial already exists",IF(COUNTIFS(INV_Product,$B1273,INV_No,$C1273)&gt;1,"⚠ piece number reused",""))))</f>
        <v/>
      </c>
      <c r="P1273" s="5" t="n"/>
    </row>
    <row r="1274">
      <c r="A1274" s="8">
        <f>IF(OR($B1274="",$C1274=""),"",IFERROR(INDEX(PM_Short,MATCH($B1274,PM_ID,0))&amp;"-"&amp;TEXT($C1274,"00"),"?? no such product"))</f>
        <v/>
      </c>
      <c r="B1274" s="5" t="n"/>
      <c r="C1274" s="5" t="n"/>
      <c r="D1274" s="8">
        <f>IF($B1274="","",IFERROR(INDEX(PM_Category,MATCH($B1274,PM_ID,0)),""))</f>
        <v/>
      </c>
      <c r="E1274" s="8">
        <f>IF($B1274="","",IFERROR(INDEX(PM_Subcategory,MATCH($B1274,PM_ID,0)),""))</f>
        <v/>
      </c>
      <c r="F1274" s="8">
        <f>IF($B1274="","",IFERROR(INDEX(PM_Brand,MATCH($B1274,PM_ID,0)),""))</f>
        <v/>
      </c>
      <c r="G1274" s="8">
        <f>IF($B1274="","",IFERROR(INDEX(PM_Model,MATCH($B1274,PM_ID,0)),""))</f>
        <v/>
      </c>
      <c r="H1274" s="5" t="n"/>
      <c r="I1274" s="10" t="n"/>
      <c r="J1274" s="9" t="n"/>
      <c r="K1274" s="5" t="n"/>
      <c r="L1274" s="5" t="n"/>
      <c r="M1274" s="5" t="n"/>
      <c r="N1274" s="5" t="n"/>
      <c r="O1274" s="8">
        <f>IF($B1274="","",IF(AND($A1274&lt;&gt;"",COUNTIF(INV_ID,$A1274)&gt;1),"⚠ this Unit ID already exists",IF(AND($H1274&lt;&gt;"",COUNTIF(INV_Serial,$H1274)&gt;1),"⚠ this serial already exists",IF(COUNTIFS(INV_Product,$B1274,INV_No,$C1274)&gt;1,"⚠ piece number reused",""))))</f>
        <v/>
      </c>
      <c r="P1274" s="5" t="n"/>
    </row>
    <row r="1275">
      <c r="A1275" s="8">
        <f>IF(OR($B1275="",$C1275=""),"",IFERROR(INDEX(PM_Short,MATCH($B1275,PM_ID,0))&amp;"-"&amp;TEXT($C1275,"00"),"?? no such product"))</f>
        <v/>
      </c>
      <c r="B1275" s="5" t="n"/>
      <c r="C1275" s="5" t="n"/>
      <c r="D1275" s="8">
        <f>IF($B1275="","",IFERROR(INDEX(PM_Category,MATCH($B1275,PM_ID,0)),""))</f>
        <v/>
      </c>
      <c r="E1275" s="8">
        <f>IF($B1275="","",IFERROR(INDEX(PM_Subcategory,MATCH($B1275,PM_ID,0)),""))</f>
        <v/>
      </c>
      <c r="F1275" s="8">
        <f>IF($B1275="","",IFERROR(INDEX(PM_Brand,MATCH($B1275,PM_ID,0)),""))</f>
        <v/>
      </c>
      <c r="G1275" s="8">
        <f>IF($B1275="","",IFERROR(INDEX(PM_Model,MATCH($B1275,PM_ID,0)),""))</f>
        <v/>
      </c>
      <c r="H1275" s="5" t="n"/>
      <c r="I1275" s="10" t="n"/>
      <c r="J1275" s="9" t="n"/>
      <c r="K1275" s="5" t="n"/>
      <c r="L1275" s="5" t="n"/>
      <c r="M1275" s="5" t="n"/>
      <c r="N1275" s="5" t="n"/>
      <c r="O1275" s="8">
        <f>IF($B1275="","",IF(AND($A1275&lt;&gt;"",COUNTIF(INV_ID,$A1275)&gt;1),"⚠ this Unit ID already exists",IF(AND($H1275&lt;&gt;"",COUNTIF(INV_Serial,$H1275)&gt;1),"⚠ this serial already exists",IF(COUNTIFS(INV_Product,$B1275,INV_No,$C1275)&gt;1,"⚠ piece number reused",""))))</f>
        <v/>
      </c>
      <c r="P1275" s="5" t="n"/>
    </row>
    <row r="1276">
      <c r="A1276" s="8">
        <f>IF(OR($B1276="",$C1276=""),"",IFERROR(INDEX(PM_Short,MATCH($B1276,PM_ID,0))&amp;"-"&amp;TEXT($C1276,"00"),"?? no such product"))</f>
        <v/>
      </c>
      <c r="B1276" s="5" t="n"/>
      <c r="C1276" s="5" t="n"/>
      <c r="D1276" s="8">
        <f>IF($B1276="","",IFERROR(INDEX(PM_Category,MATCH($B1276,PM_ID,0)),""))</f>
        <v/>
      </c>
      <c r="E1276" s="8">
        <f>IF($B1276="","",IFERROR(INDEX(PM_Subcategory,MATCH($B1276,PM_ID,0)),""))</f>
        <v/>
      </c>
      <c r="F1276" s="8">
        <f>IF($B1276="","",IFERROR(INDEX(PM_Brand,MATCH($B1276,PM_ID,0)),""))</f>
        <v/>
      </c>
      <c r="G1276" s="8">
        <f>IF($B1276="","",IFERROR(INDEX(PM_Model,MATCH($B1276,PM_ID,0)),""))</f>
        <v/>
      </c>
      <c r="H1276" s="5" t="n"/>
      <c r="I1276" s="10" t="n"/>
      <c r="J1276" s="9" t="n"/>
      <c r="K1276" s="5" t="n"/>
      <c r="L1276" s="5" t="n"/>
      <c r="M1276" s="5" t="n"/>
      <c r="N1276" s="5" t="n"/>
      <c r="O1276" s="8">
        <f>IF($B1276="","",IF(AND($A1276&lt;&gt;"",COUNTIF(INV_ID,$A1276)&gt;1),"⚠ this Unit ID already exists",IF(AND($H1276&lt;&gt;"",COUNTIF(INV_Serial,$H1276)&gt;1),"⚠ this serial already exists",IF(COUNTIFS(INV_Product,$B1276,INV_No,$C1276)&gt;1,"⚠ piece number reused",""))))</f>
        <v/>
      </c>
      <c r="P1276" s="5" t="n"/>
    </row>
    <row r="1277">
      <c r="A1277" s="8">
        <f>IF(OR($B1277="",$C1277=""),"",IFERROR(INDEX(PM_Short,MATCH($B1277,PM_ID,0))&amp;"-"&amp;TEXT($C1277,"00"),"?? no such product"))</f>
        <v/>
      </c>
      <c r="B1277" s="5" t="n"/>
      <c r="C1277" s="5" t="n"/>
      <c r="D1277" s="8">
        <f>IF($B1277="","",IFERROR(INDEX(PM_Category,MATCH($B1277,PM_ID,0)),""))</f>
        <v/>
      </c>
      <c r="E1277" s="8">
        <f>IF($B1277="","",IFERROR(INDEX(PM_Subcategory,MATCH($B1277,PM_ID,0)),""))</f>
        <v/>
      </c>
      <c r="F1277" s="8">
        <f>IF($B1277="","",IFERROR(INDEX(PM_Brand,MATCH($B1277,PM_ID,0)),""))</f>
        <v/>
      </c>
      <c r="G1277" s="8">
        <f>IF($B1277="","",IFERROR(INDEX(PM_Model,MATCH($B1277,PM_ID,0)),""))</f>
        <v/>
      </c>
      <c r="H1277" s="5" t="n"/>
      <c r="I1277" s="10" t="n"/>
      <c r="J1277" s="9" t="n"/>
      <c r="K1277" s="5" t="n"/>
      <c r="L1277" s="5" t="n"/>
      <c r="M1277" s="5" t="n"/>
      <c r="N1277" s="5" t="n"/>
      <c r="O1277" s="8">
        <f>IF($B1277="","",IF(AND($A1277&lt;&gt;"",COUNTIF(INV_ID,$A1277)&gt;1),"⚠ this Unit ID already exists",IF(AND($H1277&lt;&gt;"",COUNTIF(INV_Serial,$H1277)&gt;1),"⚠ this serial already exists",IF(COUNTIFS(INV_Product,$B1277,INV_No,$C1277)&gt;1,"⚠ piece number reused",""))))</f>
        <v/>
      </c>
      <c r="P1277" s="5" t="n"/>
    </row>
    <row r="1278">
      <c r="A1278" s="8">
        <f>IF(OR($B1278="",$C1278=""),"",IFERROR(INDEX(PM_Short,MATCH($B1278,PM_ID,0))&amp;"-"&amp;TEXT($C1278,"00"),"?? no such product"))</f>
        <v/>
      </c>
      <c r="B1278" s="5" t="n"/>
      <c r="C1278" s="5" t="n"/>
      <c r="D1278" s="8">
        <f>IF($B1278="","",IFERROR(INDEX(PM_Category,MATCH($B1278,PM_ID,0)),""))</f>
        <v/>
      </c>
      <c r="E1278" s="8">
        <f>IF($B1278="","",IFERROR(INDEX(PM_Subcategory,MATCH($B1278,PM_ID,0)),""))</f>
        <v/>
      </c>
      <c r="F1278" s="8">
        <f>IF($B1278="","",IFERROR(INDEX(PM_Brand,MATCH($B1278,PM_ID,0)),""))</f>
        <v/>
      </c>
      <c r="G1278" s="8">
        <f>IF($B1278="","",IFERROR(INDEX(PM_Model,MATCH($B1278,PM_ID,0)),""))</f>
        <v/>
      </c>
      <c r="H1278" s="5" t="n"/>
      <c r="I1278" s="10" t="n"/>
      <c r="J1278" s="9" t="n"/>
      <c r="K1278" s="5" t="n"/>
      <c r="L1278" s="5" t="n"/>
      <c r="M1278" s="5" t="n"/>
      <c r="N1278" s="5" t="n"/>
      <c r="O1278" s="8">
        <f>IF($B1278="","",IF(AND($A1278&lt;&gt;"",COUNTIF(INV_ID,$A1278)&gt;1),"⚠ this Unit ID already exists",IF(AND($H1278&lt;&gt;"",COUNTIF(INV_Serial,$H1278)&gt;1),"⚠ this serial already exists",IF(COUNTIFS(INV_Product,$B1278,INV_No,$C1278)&gt;1,"⚠ piece number reused",""))))</f>
        <v/>
      </c>
      <c r="P1278" s="5" t="n"/>
    </row>
    <row r="1279">
      <c r="A1279" s="8">
        <f>IF(OR($B1279="",$C1279=""),"",IFERROR(INDEX(PM_Short,MATCH($B1279,PM_ID,0))&amp;"-"&amp;TEXT($C1279,"00"),"?? no such product"))</f>
        <v/>
      </c>
      <c r="B1279" s="5" t="n"/>
      <c r="C1279" s="5" t="n"/>
      <c r="D1279" s="8">
        <f>IF($B1279="","",IFERROR(INDEX(PM_Category,MATCH($B1279,PM_ID,0)),""))</f>
        <v/>
      </c>
      <c r="E1279" s="8">
        <f>IF($B1279="","",IFERROR(INDEX(PM_Subcategory,MATCH($B1279,PM_ID,0)),""))</f>
        <v/>
      </c>
      <c r="F1279" s="8">
        <f>IF($B1279="","",IFERROR(INDEX(PM_Brand,MATCH($B1279,PM_ID,0)),""))</f>
        <v/>
      </c>
      <c r="G1279" s="8">
        <f>IF($B1279="","",IFERROR(INDEX(PM_Model,MATCH($B1279,PM_ID,0)),""))</f>
        <v/>
      </c>
      <c r="H1279" s="5" t="n"/>
      <c r="I1279" s="10" t="n"/>
      <c r="J1279" s="9" t="n"/>
      <c r="K1279" s="5" t="n"/>
      <c r="L1279" s="5" t="n"/>
      <c r="M1279" s="5" t="n"/>
      <c r="N1279" s="5" t="n"/>
      <c r="O1279" s="8">
        <f>IF($B1279="","",IF(AND($A1279&lt;&gt;"",COUNTIF(INV_ID,$A1279)&gt;1),"⚠ this Unit ID already exists",IF(AND($H1279&lt;&gt;"",COUNTIF(INV_Serial,$H1279)&gt;1),"⚠ this serial already exists",IF(COUNTIFS(INV_Product,$B1279,INV_No,$C1279)&gt;1,"⚠ piece number reused",""))))</f>
        <v/>
      </c>
      <c r="P1279" s="5" t="n"/>
    </row>
    <row r="1280">
      <c r="A1280" s="8">
        <f>IF(OR($B1280="",$C1280=""),"",IFERROR(INDEX(PM_Short,MATCH($B1280,PM_ID,0))&amp;"-"&amp;TEXT($C1280,"00"),"?? no such product"))</f>
        <v/>
      </c>
      <c r="B1280" s="5" t="n"/>
      <c r="C1280" s="5" t="n"/>
      <c r="D1280" s="8">
        <f>IF($B1280="","",IFERROR(INDEX(PM_Category,MATCH($B1280,PM_ID,0)),""))</f>
        <v/>
      </c>
      <c r="E1280" s="8">
        <f>IF($B1280="","",IFERROR(INDEX(PM_Subcategory,MATCH($B1280,PM_ID,0)),""))</f>
        <v/>
      </c>
      <c r="F1280" s="8">
        <f>IF($B1280="","",IFERROR(INDEX(PM_Brand,MATCH($B1280,PM_ID,0)),""))</f>
        <v/>
      </c>
      <c r="G1280" s="8">
        <f>IF($B1280="","",IFERROR(INDEX(PM_Model,MATCH($B1280,PM_ID,0)),""))</f>
        <v/>
      </c>
      <c r="H1280" s="5" t="n"/>
      <c r="I1280" s="10" t="n"/>
      <c r="J1280" s="9" t="n"/>
      <c r="K1280" s="5" t="n"/>
      <c r="L1280" s="5" t="n"/>
      <c r="M1280" s="5" t="n"/>
      <c r="N1280" s="5" t="n"/>
      <c r="O1280" s="8">
        <f>IF($B1280="","",IF(AND($A1280&lt;&gt;"",COUNTIF(INV_ID,$A1280)&gt;1),"⚠ this Unit ID already exists",IF(AND($H1280&lt;&gt;"",COUNTIF(INV_Serial,$H1280)&gt;1),"⚠ this serial already exists",IF(COUNTIFS(INV_Product,$B1280,INV_No,$C1280)&gt;1,"⚠ piece number reused",""))))</f>
        <v/>
      </c>
      <c r="P1280" s="5" t="n"/>
    </row>
    <row r="1281">
      <c r="A1281" s="8">
        <f>IF(OR($B1281="",$C1281=""),"",IFERROR(INDEX(PM_Short,MATCH($B1281,PM_ID,0))&amp;"-"&amp;TEXT($C1281,"00"),"?? no such product"))</f>
        <v/>
      </c>
      <c r="B1281" s="5" t="n"/>
      <c r="C1281" s="5" t="n"/>
      <c r="D1281" s="8">
        <f>IF($B1281="","",IFERROR(INDEX(PM_Category,MATCH($B1281,PM_ID,0)),""))</f>
        <v/>
      </c>
      <c r="E1281" s="8">
        <f>IF($B1281="","",IFERROR(INDEX(PM_Subcategory,MATCH($B1281,PM_ID,0)),""))</f>
        <v/>
      </c>
      <c r="F1281" s="8">
        <f>IF($B1281="","",IFERROR(INDEX(PM_Brand,MATCH($B1281,PM_ID,0)),""))</f>
        <v/>
      </c>
      <c r="G1281" s="8">
        <f>IF($B1281="","",IFERROR(INDEX(PM_Model,MATCH($B1281,PM_ID,0)),""))</f>
        <v/>
      </c>
      <c r="H1281" s="5" t="n"/>
      <c r="I1281" s="10" t="n"/>
      <c r="J1281" s="9" t="n"/>
      <c r="K1281" s="5" t="n"/>
      <c r="L1281" s="5" t="n"/>
      <c r="M1281" s="5" t="n"/>
      <c r="N1281" s="5" t="n"/>
      <c r="O1281" s="8">
        <f>IF($B1281="","",IF(AND($A1281&lt;&gt;"",COUNTIF(INV_ID,$A1281)&gt;1),"⚠ this Unit ID already exists",IF(AND($H1281&lt;&gt;"",COUNTIF(INV_Serial,$H1281)&gt;1),"⚠ this serial already exists",IF(COUNTIFS(INV_Product,$B1281,INV_No,$C1281)&gt;1,"⚠ piece number reused",""))))</f>
        <v/>
      </c>
      <c r="P1281" s="5" t="n"/>
    </row>
    <row r="1282">
      <c r="A1282" s="8">
        <f>IF(OR($B1282="",$C1282=""),"",IFERROR(INDEX(PM_Short,MATCH($B1282,PM_ID,0))&amp;"-"&amp;TEXT($C1282,"00"),"?? no such product"))</f>
        <v/>
      </c>
      <c r="B1282" s="5" t="n"/>
      <c r="C1282" s="5" t="n"/>
      <c r="D1282" s="8">
        <f>IF($B1282="","",IFERROR(INDEX(PM_Category,MATCH($B1282,PM_ID,0)),""))</f>
        <v/>
      </c>
      <c r="E1282" s="8">
        <f>IF($B1282="","",IFERROR(INDEX(PM_Subcategory,MATCH($B1282,PM_ID,0)),""))</f>
        <v/>
      </c>
      <c r="F1282" s="8">
        <f>IF($B1282="","",IFERROR(INDEX(PM_Brand,MATCH($B1282,PM_ID,0)),""))</f>
        <v/>
      </c>
      <c r="G1282" s="8">
        <f>IF($B1282="","",IFERROR(INDEX(PM_Model,MATCH($B1282,PM_ID,0)),""))</f>
        <v/>
      </c>
      <c r="H1282" s="5" t="n"/>
      <c r="I1282" s="10" t="n"/>
      <c r="J1282" s="9" t="n"/>
      <c r="K1282" s="5" t="n"/>
      <c r="L1282" s="5" t="n"/>
      <c r="M1282" s="5" t="n"/>
      <c r="N1282" s="5" t="n"/>
      <c r="O1282" s="8">
        <f>IF($B1282="","",IF(AND($A1282&lt;&gt;"",COUNTIF(INV_ID,$A1282)&gt;1),"⚠ this Unit ID already exists",IF(AND($H1282&lt;&gt;"",COUNTIF(INV_Serial,$H1282)&gt;1),"⚠ this serial already exists",IF(COUNTIFS(INV_Product,$B1282,INV_No,$C1282)&gt;1,"⚠ piece number reused",""))))</f>
        <v/>
      </c>
      <c r="P1282" s="5" t="n"/>
    </row>
    <row r="1283">
      <c r="A1283" s="8">
        <f>IF(OR($B1283="",$C1283=""),"",IFERROR(INDEX(PM_Short,MATCH($B1283,PM_ID,0))&amp;"-"&amp;TEXT($C1283,"00"),"?? no such product"))</f>
        <v/>
      </c>
      <c r="B1283" s="5" t="n"/>
      <c r="C1283" s="5" t="n"/>
      <c r="D1283" s="8">
        <f>IF($B1283="","",IFERROR(INDEX(PM_Category,MATCH($B1283,PM_ID,0)),""))</f>
        <v/>
      </c>
      <c r="E1283" s="8">
        <f>IF($B1283="","",IFERROR(INDEX(PM_Subcategory,MATCH($B1283,PM_ID,0)),""))</f>
        <v/>
      </c>
      <c r="F1283" s="8">
        <f>IF($B1283="","",IFERROR(INDEX(PM_Brand,MATCH($B1283,PM_ID,0)),""))</f>
        <v/>
      </c>
      <c r="G1283" s="8">
        <f>IF($B1283="","",IFERROR(INDEX(PM_Model,MATCH($B1283,PM_ID,0)),""))</f>
        <v/>
      </c>
      <c r="H1283" s="5" t="n"/>
      <c r="I1283" s="10" t="n"/>
      <c r="J1283" s="9" t="n"/>
      <c r="K1283" s="5" t="n"/>
      <c r="L1283" s="5" t="n"/>
      <c r="M1283" s="5" t="n"/>
      <c r="N1283" s="5" t="n"/>
      <c r="O1283" s="8">
        <f>IF($B1283="","",IF(AND($A1283&lt;&gt;"",COUNTIF(INV_ID,$A1283)&gt;1),"⚠ this Unit ID already exists",IF(AND($H1283&lt;&gt;"",COUNTIF(INV_Serial,$H1283)&gt;1),"⚠ this serial already exists",IF(COUNTIFS(INV_Product,$B1283,INV_No,$C1283)&gt;1,"⚠ piece number reused",""))))</f>
        <v/>
      </c>
      <c r="P1283" s="5" t="n"/>
    </row>
    <row r="1284">
      <c r="A1284" s="8">
        <f>IF(OR($B1284="",$C1284=""),"",IFERROR(INDEX(PM_Short,MATCH($B1284,PM_ID,0))&amp;"-"&amp;TEXT($C1284,"00"),"?? no such product"))</f>
        <v/>
      </c>
      <c r="B1284" s="5" t="n"/>
      <c r="C1284" s="5" t="n"/>
      <c r="D1284" s="8">
        <f>IF($B1284="","",IFERROR(INDEX(PM_Category,MATCH($B1284,PM_ID,0)),""))</f>
        <v/>
      </c>
      <c r="E1284" s="8">
        <f>IF($B1284="","",IFERROR(INDEX(PM_Subcategory,MATCH($B1284,PM_ID,0)),""))</f>
        <v/>
      </c>
      <c r="F1284" s="8">
        <f>IF($B1284="","",IFERROR(INDEX(PM_Brand,MATCH($B1284,PM_ID,0)),""))</f>
        <v/>
      </c>
      <c r="G1284" s="8">
        <f>IF($B1284="","",IFERROR(INDEX(PM_Model,MATCH($B1284,PM_ID,0)),""))</f>
        <v/>
      </c>
      <c r="H1284" s="5" t="n"/>
      <c r="I1284" s="10" t="n"/>
      <c r="J1284" s="9" t="n"/>
      <c r="K1284" s="5" t="n"/>
      <c r="L1284" s="5" t="n"/>
      <c r="M1284" s="5" t="n"/>
      <c r="N1284" s="5" t="n"/>
      <c r="O1284" s="8">
        <f>IF($B1284="","",IF(AND($A1284&lt;&gt;"",COUNTIF(INV_ID,$A1284)&gt;1),"⚠ this Unit ID already exists",IF(AND($H1284&lt;&gt;"",COUNTIF(INV_Serial,$H1284)&gt;1),"⚠ this serial already exists",IF(COUNTIFS(INV_Product,$B1284,INV_No,$C1284)&gt;1,"⚠ piece number reused",""))))</f>
        <v/>
      </c>
      <c r="P1284" s="5" t="n"/>
    </row>
    <row r="1285">
      <c r="A1285" s="8">
        <f>IF(OR($B1285="",$C1285=""),"",IFERROR(INDEX(PM_Short,MATCH($B1285,PM_ID,0))&amp;"-"&amp;TEXT($C1285,"00"),"?? no such product"))</f>
        <v/>
      </c>
      <c r="B1285" s="5" t="n"/>
      <c r="C1285" s="5" t="n"/>
      <c r="D1285" s="8">
        <f>IF($B1285="","",IFERROR(INDEX(PM_Category,MATCH($B1285,PM_ID,0)),""))</f>
        <v/>
      </c>
      <c r="E1285" s="8">
        <f>IF($B1285="","",IFERROR(INDEX(PM_Subcategory,MATCH($B1285,PM_ID,0)),""))</f>
        <v/>
      </c>
      <c r="F1285" s="8">
        <f>IF($B1285="","",IFERROR(INDEX(PM_Brand,MATCH($B1285,PM_ID,0)),""))</f>
        <v/>
      </c>
      <c r="G1285" s="8">
        <f>IF($B1285="","",IFERROR(INDEX(PM_Model,MATCH($B1285,PM_ID,0)),""))</f>
        <v/>
      </c>
      <c r="H1285" s="5" t="n"/>
      <c r="I1285" s="10" t="n"/>
      <c r="J1285" s="9" t="n"/>
      <c r="K1285" s="5" t="n"/>
      <c r="L1285" s="5" t="n"/>
      <c r="M1285" s="5" t="n"/>
      <c r="N1285" s="5" t="n"/>
      <c r="O1285" s="8">
        <f>IF($B1285="","",IF(AND($A1285&lt;&gt;"",COUNTIF(INV_ID,$A1285)&gt;1),"⚠ this Unit ID already exists",IF(AND($H1285&lt;&gt;"",COUNTIF(INV_Serial,$H1285)&gt;1),"⚠ this serial already exists",IF(COUNTIFS(INV_Product,$B1285,INV_No,$C1285)&gt;1,"⚠ piece number reused",""))))</f>
        <v/>
      </c>
      <c r="P1285" s="5" t="n"/>
    </row>
    <row r="1286">
      <c r="A1286" s="8">
        <f>IF(OR($B1286="",$C1286=""),"",IFERROR(INDEX(PM_Short,MATCH($B1286,PM_ID,0))&amp;"-"&amp;TEXT($C1286,"00"),"?? no such product"))</f>
        <v/>
      </c>
      <c r="B1286" s="5" t="n"/>
      <c r="C1286" s="5" t="n"/>
      <c r="D1286" s="8">
        <f>IF($B1286="","",IFERROR(INDEX(PM_Category,MATCH($B1286,PM_ID,0)),""))</f>
        <v/>
      </c>
      <c r="E1286" s="8">
        <f>IF($B1286="","",IFERROR(INDEX(PM_Subcategory,MATCH($B1286,PM_ID,0)),""))</f>
        <v/>
      </c>
      <c r="F1286" s="8">
        <f>IF($B1286="","",IFERROR(INDEX(PM_Brand,MATCH($B1286,PM_ID,0)),""))</f>
        <v/>
      </c>
      <c r="G1286" s="8">
        <f>IF($B1286="","",IFERROR(INDEX(PM_Model,MATCH($B1286,PM_ID,0)),""))</f>
        <v/>
      </c>
      <c r="H1286" s="5" t="n"/>
      <c r="I1286" s="10" t="n"/>
      <c r="J1286" s="9" t="n"/>
      <c r="K1286" s="5" t="n"/>
      <c r="L1286" s="5" t="n"/>
      <c r="M1286" s="5" t="n"/>
      <c r="N1286" s="5" t="n"/>
      <c r="O1286" s="8">
        <f>IF($B1286="","",IF(AND($A1286&lt;&gt;"",COUNTIF(INV_ID,$A1286)&gt;1),"⚠ this Unit ID already exists",IF(AND($H1286&lt;&gt;"",COUNTIF(INV_Serial,$H1286)&gt;1),"⚠ this serial already exists",IF(COUNTIFS(INV_Product,$B1286,INV_No,$C1286)&gt;1,"⚠ piece number reused",""))))</f>
        <v/>
      </c>
      <c r="P1286" s="5" t="n"/>
    </row>
    <row r="1287">
      <c r="A1287" s="8">
        <f>IF(OR($B1287="",$C1287=""),"",IFERROR(INDEX(PM_Short,MATCH($B1287,PM_ID,0))&amp;"-"&amp;TEXT($C1287,"00"),"?? no such product"))</f>
        <v/>
      </c>
      <c r="B1287" s="5" t="n"/>
      <c r="C1287" s="5" t="n"/>
      <c r="D1287" s="8">
        <f>IF($B1287="","",IFERROR(INDEX(PM_Category,MATCH($B1287,PM_ID,0)),""))</f>
        <v/>
      </c>
      <c r="E1287" s="8">
        <f>IF($B1287="","",IFERROR(INDEX(PM_Subcategory,MATCH($B1287,PM_ID,0)),""))</f>
        <v/>
      </c>
      <c r="F1287" s="8">
        <f>IF($B1287="","",IFERROR(INDEX(PM_Brand,MATCH($B1287,PM_ID,0)),""))</f>
        <v/>
      </c>
      <c r="G1287" s="8">
        <f>IF($B1287="","",IFERROR(INDEX(PM_Model,MATCH($B1287,PM_ID,0)),""))</f>
        <v/>
      </c>
      <c r="H1287" s="5" t="n"/>
      <c r="I1287" s="10" t="n"/>
      <c r="J1287" s="9" t="n"/>
      <c r="K1287" s="5" t="n"/>
      <c r="L1287" s="5" t="n"/>
      <c r="M1287" s="5" t="n"/>
      <c r="N1287" s="5" t="n"/>
      <c r="O1287" s="8">
        <f>IF($B1287="","",IF(AND($A1287&lt;&gt;"",COUNTIF(INV_ID,$A1287)&gt;1),"⚠ this Unit ID already exists",IF(AND($H1287&lt;&gt;"",COUNTIF(INV_Serial,$H1287)&gt;1),"⚠ this serial already exists",IF(COUNTIFS(INV_Product,$B1287,INV_No,$C1287)&gt;1,"⚠ piece number reused",""))))</f>
        <v/>
      </c>
      <c r="P1287" s="5" t="n"/>
    </row>
    <row r="1288">
      <c r="A1288" s="8">
        <f>IF(OR($B1288="",$C1288=""),"",IFERROR(INDEX(PM_Short,MATCH($B1288,PM_ID,0))&amp;"-"&amp;TEXT($C1288,"00"),"?? no such product"))</f>
        <v/>
      </c>
      <c r="B1288" s="5" t="n"/>
      <c r="C1288" s="5" t="n"/>
      <c r="D1288" s="8">
        <f>IF($B1288="","",IFERROR(INDEX(PM_Category,MATCH($B1288,PM_ID,0)),""))</f>
        <v/>
      </c>
      <c r="E1288" s="8">
        <f>IF($B1288="","",IFERROR(INDEX(PM_Subcategory,MATCH($B1288,PM_ID,0)),""))</f>
        <v/>
      </c>
      <c r="F1288" s="8">
        <f>IF($B1288="","",IFERROR(INDEX(PM_Brand,MATCH($B1288,PM_ID,0)),""))</f>
        <v/>
      </c>
      <c r="G1288" s="8">
        <f>IF($B1288="","",IFERROR(INDEX(PM_Model,MATCH($B1288,PM_ID,0)),""))</f>
        <v/>
      </c>
      <c r="H1288" s="5" t="n"/>
      <c r="I1288" s="10" t="n"/>
      <c r="J1288" s="9" t="n"/>
      <c r="K1288" s="5" t="n"/>
      <c r="L1288" s="5" t="n"/>
      <c r="M1288" s="5" t="n"/>
      <c r="N1288" s="5" t="n"/>
      <c r="O1288" s="8">
        <f>IF($B1288="","",IF(AND($A1288&lt;&gt;"",COUNTIF(INV_ID,$A1288)&gt;1),"⚠ this Unit ID already exists",IF(AND($H1288&lt;&gt;"",COUNTIF(INV_Serial,$H1288)&gt;1),"⚠ this serial already exists",IF(COUNTIFS(INV_Product,$B1288,INV_No,$C1288)&gt;1,"⚠ piece number reused",""))))</f>
        <v/>
      </c>
      <c r="P1288" s="5" t="n"/>
    </row>
    <row r="1289">
      <c r="A1289" s="8">
        <f>IF(OR($B1289="",$C1289=""),"",IFERROR(INDEX(PM_Short,MATCH($B1289,PM_ID,0))&amp;"-"&amp;TEXT($C1289,"00"),"?? no such product"))</f>
        <v/>
      </c>
      <c r="B1289" s="5" t="n"/>
      <c r="C1289" s="5" t="n"/>
      <c r="D1289" s="8">
        <f>IF($B1289="","",IFERROR(INDEX(PM_Category,MATCH($B1289,PM_ID,0)),""))</f>
        <v/>
      </c>
      <c r="E1289" s="8">
        <f>IF($B1289="","",IFERROR(INDEX(PM_Subcategory,MATCH($B1289,PM_ID,0)),""))</f>
        <v/>
      </c>
      <c r="F1289" s="8">
        <f>IF($B1289="","",IFERROR(INDEX(PM_Brand,MATCH($B1289,PM_ID,0)),""))</f>
        <v/>
      </c>
      <c r="G1289" s="8">
        <f>IF($B1289="","",IFERROR(INDEX(PM_Model,MATCH($B1289,PM_ID,0)),""))</f>
        <v/>
      </c>
      <c r="H1289" s="5" t="n"/>
      <c r="I1289" s="10" t="n"/>
      <c r="J1289" s="9" t="n"/>
      <c r="K1289" s="5" t="n"/>
      <c r="L1289" s="5" t="n"/>
      <c r="M1289" s="5" t="n"/>
      <c r="N1289" s="5" t="n"/>
      <c r="O1289" s="8">
        <f>IF($B1289="","",IF(AND($A1289&lt;&gt;"",COUNTIF(INV_ID,$A1289)&gt;1),"⚠ this Unit ID already exists",IF(AND($H1289&lt;&gt;"",COUNTIF(INV_Serial,$H1289)&gt;1),"⚠ this serial already exists",IF(COUNTIFS(INV_Product,$B1289,INV_No,$C1289)&gt;1,"⚠ piece number reused",""))))</f>
        <v/>
      </c>
      <c r="P1289" s="5" t="n"/>
    </row>
    <row r="1290">
      <c r="A1290" s="8">
        <f>IF(OR($B1290="",$C1290=""),"",IFERROR(INDEX(PM_Short,MATCH($B1290,PM_ID,0))&amp;"-"&amp;TEXT($C1290,"00"),"?? no such product"))</f>
        <v/>
      </c>
      <c r="B1290" s="5" t="n"/>
      <c r="C1290" s="5" t="n"/>
      <c r="D1290" s="8">
        <f>IF($B1290="","",IFERROR(INDEX(PM_Category,MATCH($B1290,PM_ID,0)),""))</f>
        <v/>
      </c>
      <c r="E1290" s="8">
        <f>IF($B1290="","",IFERROR(INDEX(PM_Subcategory,MATCH($B1290,PM_ID,0)),""))</f>
        <v/>
      </c>
      <c r="F1290" s="8">
        <f>IF($B1290="","",IFERROR(INDEX(PM_Brand,MATCH($B1290,PM_ID,0)),""))</f>
        <v/>
      </c>
      <c r="G1290" s="8">
        <f>IF($B1290="","",IFERROR(INDEX(PM_Model,MATCH($B1290,PM_ID,0)),""))</f>
        <v/>
      </c>
      <c r="H1290" s="5" t="n"/>
      <c r="I1290" s="10" t="n"/>
      <c r="J1290" s="9" t="n"/>
      <c r="K1290" s="5" t="n"/>
      <c r="L1290" s="5" t="n"/>
      <c r="M1290" s="5" t="n"/>
      <c r="N1290" s="5" t="n"/>
      <c r="O1290" s="8">
        <f>IF($B1290="","",IF(AND($A1290&lt;&gt;"",COUNTIF(INV_ID,$A1290)&gt;1),"⚠ this Unit ID already exists",IF(AND($H1290&lt;&gt;"",COUNTIF(INV_Serial,$H1290)&gt;1),"⚠ this serial already exists",IF(COUNTIFS(INV_Product,$B1290,INV_No,$C1290)&gt;1,"⚠ piece number reused",""))))</f>
        <v/>
      </c>
      <c r="P1290" s="5" t="n"/>
    </row>
    <row r="1291">
      <c r="A1291" s="8">
        <f>IF(OR($B1291="",$C1291=""),"",IFERROR(INDEX(PM_Short,MATCH($B1291,PM_ID,0))&amp;"-"&amp;TEXT($C1291,"00"),"?? no such product"))</f>
        <v/>
      </c>
      <c r="B1291" s="5" t="n"/>
      <c r="C1291" s="5" t="n"/>
      <c r="D1291" s="8">
        <f>IF($B1291="","",IFERROR(INDEX(PM_Category,MATCH($B1291,PM_ID,0)),""))</f>
        <v/>
      </c>
      <c r="E1291" s="8">
        <f>IF($B1291="","",IFERROR(INDEX(PM_Subcategory,MATCH($B1291,PM_ID,0)),""))</f>
        <v/>
      </c>
      <c r="F1291" s="8">
        <f>IF($B1291="","",IFERROR(INDEX(PM_Brand,MATCH($B1291,PM_ID,0)),""))</f>
        <v/>
      </c>
      <c r="G1291" s="8">
        <f>IF($B1291="","",IFERROR(INDEX(PM_Model,MATCH($B1291,PM_ID,0)),""))</f>
        <v/>
      </c>
      <c r="H1291" s="5" t="n"/>
      <c r="I1291" s="10" t="n"/>
      <c r="J1291" s="9" t="n"/>
      <c r="K1291" s="5" t="n"/>
      <c r="L1291" s="5" t="n"/>
      <c r="M1291" s="5" t="n"/>
      <c r="N1291" s="5" t="n"/>
      <c r="O1291" s="8">
        <f>IF($B1291="","",IF(AND($A1291&lt;&gt;"",COUNTIF(INV_ID,$A1291)&gt;1),"⚠ this Unit ID already exists",IF(AND($H1291&lt;&gt;"",COUNTIF(INV_Serial,$H1291)&gt;1),"⚠ this serial already exists",IF(COUNTIFS(INV_Product,$B1291,INV_No,$C1291)&gt;1,"⚠ piece number reused",""))))</f>
        <v/>
      </c>
      <c r="P1291" s="5" t="n"/>
    </row>
    <row r="1292">
      <c r="A1292" s="8">
        <f>IF(OR($B1292="",$C1292=""),"",IFERROR(INDEX(PM_Short,MATCH($B1292,PM_ID,0))&amp;"-"&amp;TEXT($C1292,"00"),"?? no such product"))</f>
        <v/>
      </c>
      <c r="B1292" s="5" t="n"/>
      <c r="C1292" s="5" t="n"/>
      <c r="D1292" s="8">
        <f>IF($B1292="","",IFERROR(INDEX(PM_Category,MATCH($B1292,PM_ID,0)),""))</f>
        <v/>
      </c>
      <c r="E1292" s="8">
        <f>IF($B1292="","",IFERROR(INDEX(PM_Subcategory,MATCH($B1292,PM_ID,0)),""))</f>
        <v/>
      </c>
      <c r="F1292" s="8">
        <f>IF($B1292="","",IFERROR(INDEX(PM_Brand,MATCH($B1292,PM_ID,0)),""))</f>
        <v/>
      </c>
      <c r="G1292" s="8">
        <f>IF($B1292="","",IFERROR(INDEX(PM_Model,MATCH($B1292,PM_ID,0)),""))</f>
        <v/>
      </c>
      <c r="H1292" s="5" t="n"/>
      <c r="I1292" s="10" t="n"/>
      <c r="J1292" s="9" t="n"/>
      <c r="K1292" s="5" t="n"/>
      <c r="L1292" s="5" t="n"/>
      <c r="M1292" s="5" t="n"/>
      <c r="N1292" s="5" t="n"/>
      <c r="O1292" s="8">
        <f>IF($B1292="","",IF(AND($A1292&lt;&gt;"",COUNTIF(INV_ID,$A1292)&gt;1),"⚠ this Unit ID already exists",IF(AND($H1292&lt;&gt;"",COUNTIF(INV_Serial,$H1292)&gt;1),"⚠ this serial already exists",IF(COUNTIFS(INV_Product,$B1292,INV_No,$C1292)&gt;1,"⚠ piece number reused",""))))</f>
        <v/>
      </c>
      <c r="P1292" s="5" t="n"/>
    </row>
    <row r="1293">
      <c r="A1293" s="8">
        <f>IF(OR($B1293="",$C1293=""),"",IFERROR(INDEX(PM_Short,MATCH($B1293,PM_ID,0))&amp;"-"&amp;TEXT($C1293,"00"),"?? no such product"))</f>
        <v/>
      </c>
      <c r="B1293" s="5" t="n"/>
      <c r="C1293" s="5" t="n"/>
      <c r="D1293" s="8">
        <f>IF($B1293="","",IFERROR(INDEX(PM_Category,MATCH($B1293,PM_ID,0)),""))</f>
        <v/>
      </c>
      <c r="E1293" s="8">
        <f>IF($B1293="","",IFERROR(INDEX(PM_Subcategory,MATCH($B1293,PM_ID,0)),""))</f>
        <v/>
      </c>
      <c r="F1293" s="8">
        <f>IF($B1293="","",IFERROR(INDEX(PM_Brand,MATCH($B1293,PM_ID,0)),""))</f>
        <v/>
      </c>
      <c r="G1293" s="8">
        <f>IF($B1293="","",IFERROR(INDEX(PM_Model,MATCH($B1293,PM_ID,0)),""))</f>
        <v/>
      </c>
      <c r="H1293" s="5" t="n"/>
      <c r="I1293" s="10" t="n"/>
      <c r="J1293" s="9" t="n"/>
      <c r="K1293" s="5" t="n"/>
      <c r="L1293" s="5" t="n"/>
      <c r="M1293" s="5" t="n"/>
      <c r="N1293" s="5" t="n"/>
      <c r="O1293" s="8">
        <f>IF($B1293="","",IF(AND($A1293&lt;&gt;"",COUNTIF(INV_ID,$A1293)&gt;1),"⚠ this Unit ID already exists",IF(AND($H1293&lt;&gt;"",COUNTIF(INV_Serial,$H1293)&gt;1),"⚠ this serial already exists",IF(COUNTIFS(INV_Product,$B1293,INV_No,$C1293)&gt;1,"⚠ piece number reused",""))))</f>
        <v/>
      </c>
      <c r="P1293" s="5" t="n"/>
    </row>
    <row r="1294">
      <c r="A1294" s="8">
        <f>IF(OR($B1294="",$C1294=""),"",IFERROR(INDEX(PM_Short,MATCH($B1294,PM_ID,0))&amp;"-"&amp;TEXT($C1294,"00"),"?? no such product"))</f>
        <v/>
      </c>
      <c r="B1294" s="5" t="n"/>
      <c r="C1294" s="5" t="n"/>
      <c r="D1294" s="8">
        <f>IF($B1294="","",IFERROR(INDEX(PM_Category,MATCH($B1294,PM_ID,0)),""))</f>
        <v/>
      </c>
      <c r="E1294" s="8">
        <f>IF($B1294="","",IFERROR(INDEX(PM_Subcategory,MATCH($B1294,PM_ID,0)),""))</f>
        <v/>
      </c>
      <c r="F1294" s="8">
        <f>IF($B1294="","",IFERROR(INDEX(PM_Brand,MATCH($B1294,PM_ID,0)),""))</f>
        <v/>
      </c>
      <c r="G1294" s="8">
        <f>IF($B1294="","",IFERROR(INDEX(PM_Model,MATCH($B1294,PM_ID,0)),""))</f>
        <v/>
      </c>
      <c r="H1294" s="5" t="n"/>
      <c r="I1294" s="10" t="n"/>
      <c r="J1294" s="9" t="n"/>
      <c r="K1294" s="5" t="n"/>
      <c r="L1294" s="5" t="n"/>
      <c r="M1294" s="5" t="n"/>
      <c r="N1294" s="5" t="n"/>
      <c r="O1294" s="8">
        <f>IF($B1294="","",IF(AND($A1294&lt;&gt;"",COUNTIF(INV_ID,$A1294)&gt;1),"⚠ this Unit ID already exists",IF(AND($H1294&lt;&gt;"",COUNTIF(INV_Serial,$H1294)&gt;1),"⚠ this serial already exists",IF(COUNTIFS(INV_Product,$B1294,INV_No,$C1294)&gt;1,"⚠ piece number reused",""))))</f>
        <v/>
      </c>
      <c r="P1294" s="5" t="n"/>
    </row>
    <row r="1295">
      <c r="A1295" s="8">
        <f>IF(OR($B1295="",$C1295=""),"",IFERROR(INDEX(PM_Short,MATCH($B1295,PM_ID,0))&amp;"-"&amp;TEXT($C1295,"00"),"?? no such product"))</f>
        <v/>
      </c>
      <c r="B1295" s="5" t="n"/>
      <c r="C1295" s="5" t="n"/>
      <c r="D1295" s="8">
        <f>IF($B1295="","",IFERROR(INDEX(PM_Category,MATCH($B1295,PM_ID,0)),""))</f>
        <v/>
      </c>
      <c r="E1295" s="8">
        <f>IF($B1295="","",IFERROR(INDEX(PM_Subcategory,MATCH($B1295,PM_ID,0)),""))</f>
        <v/>
      </c>
      <c r="F1295" s="8">
        <f>IF($B1295="","",IFERROR(INDEX(PM_Brand,MATCH($B1295,PM_ID,0)),""))</f>
        <v/>
      </c>
      <c r="G1295" s="8">
        <f>IF($B1295="","",IFERROR(INDEX(PM_Model,MATCH($B1295,PM_ID,0)),""))</f>
        <v/>
      </c>
      <c r="H1295" s="5" t="n"/>
      <c r="I1295" s="10" t="n"/>
      <c r="J1295" s="9" t="n"/>
      <c r="K1295" s="5" t="n"/>
      <c r="L1295" s="5" t="n"/>
      <c r="M1295" s="5" t="n"/>
      <c r="N1295" s="5" t="n"/>
      <c r="O1295" s="8">
        <f>IF($B1295="","",IF(AND($A1295&lt;&gt;"",COUNTIF(INV_ID,$A1295)&gt;1),"⚠ this Unit ID already exists",IF(AND($H1295&lt;&gt;"",COUNTIF(INV_Serial,$H1295)&gt;1),"⚠ this serial already exists",IF(COUNTIFS(INV_Product,$B1295,INV_No,$C1295)&gt;1,"⚠ piece number reused",""))))</f>
        <v/>
      </c>
      <c r="P1295" s="5" t="n"/>
    </row>
    <row r="1296">
      <c r="A1296" s="8">
        <f>IF(OR($B1296="",$C1296=""),"",IFERROR(INDEX(PM_Short,MATCH($B1296,PM_ID,0))&amp;"-"&amp;TEXT($C1296,"00"),"?? no such product"))</f>
        <v/>
      </c>
      <c r="B1296" s="5" t="n"/>
      <c r="C1296" s="5" t="n"/>
      <c r="D1296" s="8">
        <f>IF($B1296="","",IFERROR(INDEX(PM_Category,MATCH($B1296,PM_ID,0)),""))</f>
        <v/>
      </c>
      <c r="E1296" s="8">
        <f>IF($B1296="","",IFERROR(INDEX(PM_Subcategory,MATCH($B1296,PM_ID,0)),""))</f>
        <v/>
      </c>
      <c r="F1296" s="8">
        <f>IF($B1296="","",IFERROR(INDEX(PM_Brand,MATCH($B1296,PM_ID,0)),""))</f>
        <v/>
      </c>
      <c r="G1296" s="8">
        <f>IF($B1296="","",IFERROR(INDEX(PM_Model,MATCH($B1296,PM_ID,0)),""))</f>
        <v/>
      </c>
      <c r="H1296" s="5" t="n"/>
      <c r="I1296" s="10" t="n"/>
      <c r="J1296" s="9" t="n"/>
      <c r="K1296" s="5" t="n"/>
      <c r="L1296" s="5" t="n"/>
      <c r="M1296" s="5" t="n"/>
      <c r="N1296" s="5" t="n"/>
      <c r="O1296" s="8">
        <f>IF($B1296="","",IF(AND($A1296&lt;&gt;"",COUNTIF(INV_ID,$A1296)&gt;1),"⚠ this Unit ID already exists",IF(AND($H1296&lt;&gt;"",COUNTIF(INV_Serial,$H1296)&gt;1),"⚠ this serial already exists",IF(COUNTIFS(INV_Product,$B1296,INV_No,$C1296)&gt;1,"⚠ piece number reused",""))))</f>
        <v/>
      </c>
      <c r="P1296" s="5" t="n"/>
    </row>
    <row r="1297">
      <c r="A1297" s="8">
        <f>IF(OR($B1297="",$C1297=""),"",IFERROR(INDEX(PM_Short,MATCH($B1297,PM_ID,0))&amp;"-"&amp;TEXT($C1297,"00"),"?? no such product"))</f>
        <v/>
      </c>
      <c r="B1297" s="5" t="n"/>
      <c r="C1297" s="5" t="n"/>
      <c r="D1297" s="8">
        <f>IF($B1297="","",IFERROR(INDEX(PM_Category,MATCH($B1297,PM_ID,0)),""))</f>
        <v/>
      </c>
      <c r="E1297" s="8">
        <f>IF($B1297="","",IFERROR(INDEX(PM_Subcategory,MATCH($B1297,PM_ID,0)),""))</f>
        <v/>
      </c>
      <c r="F1297" s="8">
        <f>IF($B1297="","",IFERROR(INDEX(PM_Brand,MATCH($B1297,PM_ID,0)),""))</f>
        <v/>
      </c>
      <c r="G1297" s="8">
        <f>IF($B1297="","",IFERROR(INDEX(PM_Model,MATCH($B1297,PM_ID,0)),""))</f>
        <v/>
      </c>
      <c r="H1297" s="5" t="n"/>
      <c r="I1297" s="10" t="n"/>
      <c r="J1297" s="9" t="n"/>
      <c r="K1297" s="5" t="n"/>
      <c r="L1297" s="5" t="n"/>
      <c r="M1297" s="5" t="n"/>
      <c r="N1297" s="5" t="n"/>
      <c r="O1297" s="8">
        <f>IF($B1297="","",IF(AND($A1297&lt;&gt;"",COUNTIF(INV_ID,$A1297)&gt;1),"⚠ this Unit ID already exists",IF(AND($H1297&lt;&gt;"",COUNTIF(INV_Serial,$H1297)&gt;1),"⚠ this serial already exists",IF(COUNTIFS(INV_Product,$B1297,INV_No,$C1297)&gt;1,"⚠ piece number reused",""))))</f>
        <v/>
      </c>
      <c r="P1297" s="5" t="n"/>
    </row>
    <row r="1298">
      <c r="A1298" s="8">
        <f>IF(OR($B1298="",$C1298=""),"",IFERROR(INDEX(PM_Short,MATCH($B1298,PM_ID,0))&amp;"-"&amp;TEXT($C1298,"00"),"?? no such product"))</f>
        <v/>
      </c>
      <c r="B1298" s="5" t="n"/>
      <c r="C1298" s="5" t="n"/>
      <c r="D1298" s="8">
        <f>IF($B1298="","",IFERROR(INDEX(PM_Category,MATCH($B1298,PM_ID,0)),""))</f>
        <v/>
      </c>
      <c r="E1298" s="8">
        <f>IF($B1298="","",IFERROR(INDEX(PM_Subcategory,MATCH($B1298,PM_ID,0)),""))</f>
        <v/>
      </c>
      <c r="F1298" s="8">
        <f>IF($B1298="","",IFERROR(INDEX(PM_Brand,MATCH($B1298,PM_ID,0)),""))</f>
        <v/>
      </c>
      <c r="G1298" s="8">
        <f>IF($B1298="","",IFERROR(INDEX(PM_Model,MATCH($B1298,PM_ID,0)),""))</f>
        <v/>
      </c>
      <c r="H1298" s="5" t="n"/>
      <c r="I1298" s="10" t="n"/>
      <c r="J1298" s="9" t="n"/>
      <c r="K1298" s="5" t="n"/>
      <c r="L1298" s="5" t="n"/>
      <c r="M1298" s="5" t="n"/>
      <c r="N1298" s="5" t="n"/>
      <c r="O1298" s="8">
        <f>IF($B1298="","",IF(AND($A1298&lt;&gt;"",COUNTIF(INV_ID,$A1298)&gt;1),"⚠ this Unit ID already exists",IF(AND($H1298&lt;&gt;"",COUNTIF(INV_Serial,$H1298)&gt;1),"⚠ this serial already exists",IF(COUNTIFS(INV_Product,$B1298,INV_No,$C1298)&gt;1,"⚠ piece number reused",""))))</f>
        <v/>
      </c>
      <c r="P1298" s="5" t="n"/>
    </row>
    <row r="1299">
      <c r="A1299" s="8">
        <f>IF(OR($B1299="",$C1299=""),"",IFERROR(INDEX(PM_Short,MATCH($B1299,PM_ID,0))&amp;"-"&amp;TEXT($C1299,"00"),"?? no such product"))</f>
        <v/>
      </c>
      <c r="B1299" s="5" t="n"/>
      <c r="C1299" s="5" t="n"/>
      <c r="D1299" s="8">
        <f>IF($B1299="","",IFERROR(INDEX(PM_Category,MATCH($B1299,PM_ID,0)),""))</f>
        <v/>
      </c>
      <c r="E1299" s="8">
        <f>IF($B1299="","",IFERROR(INDEX(PM_Subcategory,MATCH($B1299,PM_ID,0)),""))</f>
        <v/>
      </c>
      <c r="F1299" s="8">
        <f>IF($B1299="","",IFERROR(INDEX(PM_Brand,MATCH($B1299,PM_ID,0)),""))</f>
        <v/>
      </c>
      <c r="G1299" s="8">
        <f>IF($B1299="","",IFERROR(INDEX(PM_Model,MATCH($B1299,PM_ID,0)),""))</f>
        <v/>
      </c>
      <c r="H1299" s="5" t="n"/>
      <c r="I1299" s="10" t="n"/>
      <c r="J1299" s="9" t="n"/>
      <c r="K1299" s="5" t="n"/>
      <c r="L1299" s="5" t="n"/>
      <c r="M1299" s="5" t="n"/>
      <c r="N1299" s="5" t="n"/>
      <c r="O1299" s="8">
        <f>IF($B1299="","",IF(AND($A1299&lt;&gt;"",COUNTIF(INV_ID,$A1299)&gt;1),"⚠ this Unit ID already exists",IF(AND($H1299&lt;&gt;"",COUNTIF(INV_Serial,$H1299)&gt;1),"⚠ this serial already exists",IF(COUNTIFS(INV_Product,$B1299,INV_No,$C1299)&gt;1,"⚠ piece number reused",""))))</f>
        <v/>
      </c>
      <c r="P1299" s="5" t="n"/>
    </row>
    <row r="1300">
      <c r="A1300" s="8">
        <f>IF(OR($B1300="",$C1300=""),"",IFERROR(INDEX(PM_Short,MATCH($B1300,PM_ID,0))&amp;"-"&amp;TEXT($C1300,"00"),"?? no such product"))</f>
        <v/>
      </c>
      <c r="B1300" s="5" t="n"/>
      <c r="C1300" s="5" t="n"/>
      <c r="D1300" s="8">
        <f>IF($B1300="","",IFERROR(INDEX(PM_Category,MATCH($B1300,PM_ID,0)),""))</f>
        <v/>
      </c>
      <c r="E1300" s="8">
        <f>IF($B1300="","",IFERROR(INDEX(PM_Subcategory,MATCH($B1300,PM_ID,0)),""))</f>
        <v/>
      </c>
      <c r="F1300" s="8">
        <f>IF($B1300="","",IFERROR(INDEX(PM_Brand,MATCH($B1300,PM_ID,0)),""))</f>
        <v/>
      </c>
      <c r="G1300" s="8">
        <f>IF($B1300="","",IFERROR(INDEX(PM_Model,MATCH($B1300,PM_ID,0)),""))</f>
        <v/>
      </c>
      <c r="H1300" s="5" t="n"/>
      <c r="I1300" s="10" t="n"/>
      <c r="J1300" s="9" t="n"/>
      <c r="K1300" s="5" t="n"/>
      <c r="L1300" s="5" t="n"/>
      <c r="M1300" s="5" t="n"/>
      <c r="N1300" s="5" t="n"/>
      <c r="O1300" s="8">
        <f>IF($B1300="","",IF(AND($A1300&lt;&gt;"",COUNTIF(INV_ID,$A1300)&gt;1),"⚠ this Unit ID already exists",IF(AND($H1300&lt;&gt;"",COUNTIF(INV_Serial,$H1300)&gt;1),"⚠ this serial already exists",IF(COUNTIFS(INV_Product,$B1300,INV_No,$C1300)&gt;1,"⚠ piece number reused",""))))</f>
        <v/>
      </c>
      <c r="P1300" s="5" t="n"/>
    </row>
    <row r="1301">
      <c r="A1301" s="8">
        <f>IF(OR($B1301="",$C1301=""),"",IFERROR(INDEX(PM_Short,MATCH($B1301,PM_ID,0))&amp;"-"&amp;TEXT($C1301,"00"),"?? no such product"))</f>
        <v/>
      </c>
      <c r="B1301" s="5" t="n"/>
      <c r="C1301" s="5" t="n"/>
      <c r="D1301" s="8">
        <f>IF($B1301="","",IFERROR(INDEX(PM_Category,MATCH($B1301,PM_ID,0)),""))</f>
        <v/>
      </c>
      <c r="E1301" s="8">
        <f>IF($B1301="","",IFERROR(INDEX(PM_Subcategory,MATCH($B1301,PM_ID,0)),""))</f>
        <v/>
      </c>
      <c r="F1301" s="8">
        <f>IF($B1301="","",IFERROR(INDEX(PM_Brand,MATCH($B1301,PM_ID,0)),""))</f>
        <v/>
      </c>
      <c r="G1301" s="8">
        <f>IF($B1301="","",IFERROR(INDEX(PM_Model,MATCH($B1301,PM_ID,0)),""))</f>
        <v/>
      </c>
      <c r="H1301" s="5" t="n"/>
      <c r="I1301" s="10" t="n"/>
      <c r="J1301" s="9" t="n"/>
      <c r="K1301" s="5" t="n"/>
      <c r="L1301" s="5" t="n"/>
      <c r="M1301" s="5" t="n"/>
      <c r="N1301" s="5" t="n"/>
      <c r="O1301" s="8">
        <f>IF($B1301="","",IF(AND($A1301&lt;&gt;"",COUNTIF(INV_ID,$A1301)&gt;1),"⚠ this Unit ID already exists",IF(AND($H1301&lt;&gt;"",COUNTIF(INV_Serial,$H1301)&gt;1),"⚠ this serial already exists",IF(COUNTIFS(INV_Product,$B1301,INV_No,$C1301)&gt;1,"⚠ piece number reused",""))))</f>
        <v/>
      </c>
      <c r="P1301" s="5" t="n"/>
    </row>
    <row r="1302">
      <c r="A1302" s="8">
        <f>IF(OR($B1302="",$C1302=""),"",IFERROR(INDEX(PM_Short,MATCH($B1302,PM_ID,0))&amp;"-"&amp;TEXT($C1302,"00"),"?? no such product"))</f>
        <v/>
      </c>
      <c r="B1302" s="5" t="n"/>
      <c r="C1302" s="5" t="n"/>
      <c r="D1302" s="8">
        <f>IF($B1302="","",IFERROR(INDEX(PM_Category,MATCH($B1302,PM_ID,0)),""))</f>
        <v/>
      </c>
      <c r="E1302" s="8">
        <f>IF($B1302="","",IFERROR(INDEX(PM_Subcategory,MATCH($B1302,PM_ID,0)),""))</f>
        <v/>
      </c>
      <c r="F1302" s="8">
        <f>IF($B1302="","",IFERROR(INDEX(PM_Brand,MATCH($B1302,PM_ID,0)),""))</f>
        <v/>
      </c>
      <c r="G1302" s="8">
        <f>IF($B1302="","",IFERROR(INDEX(PM_Model,MATCH($B1302,PM_ID,0)),""))</f>
        <v/>
      </c>
      <c r="H1302" s="5" t="n"/>
      <c r="I1302" s="10" t="n"/>
      <c r="J1302" s="9" t="n"/>
      <c r="K1302" s="5" t="n"/>
      <c r="L1302" s="5" t="n"/>
      <c r="M1302" s="5" t="n"/>
      <c r="N1302" s="5" t="n"/>
      <c r="O1302" s="8">
        <f>IF($B1302="","",IF(AND($A1302&lt;&gt;"",COUNTIF(INV_ID,$A1302)&gt;1),"⚠ this Unit ID already exists",IF(AND($H1302&lt;&gt;"",COUNTIF(INV_Serial,$H1302)&gt;1),"⚠ this serial already exists",IF(COUNTIFS(INV_Product,$B1302,INV_No,$C1302)&gt;1,"⚠ piece number reused",""))))</f>
        <v/>
      </c>
      <c r="P1302" s="5" t="n"/>
    </row>
    <row r="1303">
      <c r="A1303" s="8">
        <f>IF(OR($B1303="",$C1303=""),"",IFERROR(INDEX(PM_Short,MATCH($B1303,PM_ID,0))&amp;"-"&amp;TEXT($C1303,"00"),"?? no such product"))</f>
        <v/>
      </c>
      <c r="B1303" s="5" t="n"/>
      <c r="C1303" s="5" t="n"/>
      <c r="D1303" s="8">
        <f>IF($B1303="","",IFERROR(INDEX(PM_Category,MATCH($B1303,PM_ID,0)),""))</f>
        <v/>
      </c>
      <c r="E1303" s="8">
        <f>IF($B1303="","",IFERROR(INDEX(PM_Subcategory,MATCH($B1303,PM_ID,0)),""))</f>
        <v/>
      </c>
      <c r="F1303" s="8">
        <f>IF($B1303="","",IFERROR(INDEX(PM_Brand,MATCH($B1303,PM_ID,0)),""))</f>
        <v/>
      </c>
      <c r="G1303" s="8">
        <f>IF($B1303="","",IFERROR(INDEX(PM_Model,MATCH($B1303,PM_ID,0)),""))</f>
        <v/>
      </c>
      <c r="H1303" s="5" t="n"/>
      <c r="I1303" s="10" t="n"/>
      <c r="J1303" s="9" t="n"/>
      <c r="K1303" s="5" t="n"/>
      <c r="L1303" s="5" t="n"/>
      <c r="M1303" s="5" t="n"/>
      <c r="N1303" s="5" t="n"/>
      <c r="O1303" s="8">
        <f>IF($B1303="","",IF(AND($A1303&lt;&gt;"",COUNTIF(INV_ID,$A1303)&gt;1),"⚠ this Unit ID already exists",IF(AND($H1303&lt;&gt;"",COUNTIF(INV_Serial,$H1303)&gt;1),"⚠ this serial already exists",IF(COUNTIFS(INV_Product,$B1303,INV_No,$C1303)&gt;1,"⚠ piece number reused",""))))</f>
        <v/>
      </c>
      <c r="P1303" s="5" t="n"/>
    </row>
    <row r="1304">
      <c r="A1304" s="8">
        <f>IF(OR($B1304="",$C1304=""),"",IFERROR(INDEX(PM_Short,MATCH($B1304,PM_ID,0))&amp;"-"&amp;TEXT($C1304,"00"),"?? no such product"))</f>
        <v/>
      </c>
      <c r="B1304" s="5" t="n"/>
      <c r="C1304" s="5" t="n"/>
      <c r="D1304" s="8">
        <f>IF($B1304="","",IFERROR(INDEX(PM_Category,MATCH($B1304,PM_ID,0)),""))</f>
        <v/>
      </c>
      <c r="E1304" s="8">
        <f>IF($B1304="","",IFERROR(INDEX(PM_Subcategory,MATCH($B1304,PM_ID,0)),""))</f>
        <v/>
      </c>
      <c r="F1304" s="8">
        <f>IF($B1304="","",IFERROR(INDEX(PM_Brand,MATCH($B1304,PM_ID,0)),""))</f>
        <v/>
      </c>
      <c r="G1304" s="8">
        <f>IF($B1304="","",IFERROR(INDEX(PM_Model,MATCH($B1304,PM_ID,0)),""))</f>
        <v/>
      </c>
      <c r="H1304" s="5" t="n"/>
      <c r="I1304" s="10" t="n"/>
      <c r="J1304" s="9" t="n"/>
      <c r="K1304" s="5" t="n"/>
      <c r="L1304" s="5" t="n"/>
      <c r="M1304" s="5" t="n"/>
      <c r="N1304" s="5" t="n"/>
      <c r="O1304" s="8">
        <f>IF($B1304="","",IF(AND($A1304&lt;&gt;"",COUNTIF(INV_ID,$A1304)&gt;1),"⚠ this Unit ID already exists",IF(AND($H1304&lt;&gt;"",COUNTIF(INV_Serial,$H1304)&gt;1),"⚠ this serial already exists",IF(COUNTIFS(INV_Product,$B1304,INV_No,$C1304)&gt;1,"⚠ piece number reused",""))))</f>
        <v/>
      </c>
      <c r="P1304" s="5" t="n"/>
    </row>
    <row r="1305">
      <c r="A1305" s="8">
        <f>IF(OR($B1305="",$C1305=""),"",IFERROR(INDEX(PM_Short,MATCH($B1305,PM_ID,0))&amp;"-"&amp;TEXT($C1305,"00"),"?? no such product"))</f>
        <v/>
      </c>
      <c r="B1305" s="5" t="n"/>
      <c r="C1305" s="5" t="n"/>
      <c r="D1305" s="8">
        <f>IF($B1305="","",IFERROR(INDEX(PM_Category,MATCH($B1305,PM_ID,0)),""))</f>
        <v/>
      </c>
      <c r="E1305" s="8">
        <f>IF($B1305="","",IFERROR(INDEX(PM_Subcategory,MATCH($B1305,PM_ID,0)),""))</f>
        <v/>
      </c>
      <c r="F1305" s="8">
        <f>IF($B1305="","",IFERROR(INDEX(PM_Brand,MATCH($B1305,PM_ID,0)),""))</f>
        <v/>
      </c>
      <c r="G1305" s="8">
        <f>IF($B1305="","",IFERROR(INDEX(PM_Model,MATCH($B1305,PM_ID,0)),""))</f>
        <v/>
      </c>
      <c r="H1305" s="5" t="n"/>
      <c r="I1305" s="10" t="n"/>
      <c r="J1305" s="9" t="n"/>
      <c r="K1305" s="5" t="n"/>
      <c r="L1305" s="5" t="n"/>
      <c r="M1305" s="5" t="n"/>
      <c r="N1305" s="5" t="n"/>
      <c r="O1305" s="8">
        <f>IF($B1305="","",IF(AND($A1305&lt;&gt;"",COUNTIF(INV_ID,$A1305)&gt;1),"⚠ this Unit ID already exists",IF(AND($H1305&lt;&gt;"",COUNTIF(INV_Serial,$H1305)&gt;1),"⚠ this serial already exists",IF(COUNTIFS(INV_Product,$B1305,INV_No,$C1305)&gt;1,"⚠ piece number reused",""))))</f>
        <v/>
      </c>
      <c r="P1305" s="5" t="n"/>
    </row>
    <row r="1306">
      <c r="A1306" s="8">
        <f>IF(OR($B1306="",$C1306=""),"",IFERROR(INDEX(PM_Short,MATCH($B1306,PM_ID,0))&amp;"-"&amp;TEXT($C1306,"00"),"?? no such product"))</f>
        <v/>
      </c>
      <c r="B1306" s="5" t="n"/>
      <c r="C1306" s="5" t="n"/>
      <c r="D1306" s="8">
        <f>IF($B1306="","",IFERROR(INDEX(PM_Category,MATCH($B1306,PM_ID,0)),""))</f>
        <v/>
      </c>
      <c r="E1306" s="8">
        <f>IF($B1306="","",IFERROR(INDEX(PM_Subcategory,MATCH($B1306,PM_ID,0)),""))</f>
        <v/>
      </c>
      <c r="F1306" s="8">
        <f>IF($B1306="","",IFERROR(INDEX(PM_Brand,MATCH($B1306,PM_ID,0)),""))</f>
        <v/>
      </c>
      <c r="G1306" s="8">
        <f>IF($B1306="","",IFERROR(INDEX(PM_Model,MATCH($B1306,PM_ID,0)),""))</f>
        <v/>
      </c>
      <c r="H1306" s="5" t="n"/>
      <c r="I1306" s="10" t="n"/>
      <c r="J1306" s="9" t="n"/>
      <c r="K1306" s="5" t="n"/>
      <c r="L1306" s="5" t="n"/>
      <c r="M1306" s="5" t="n"/>
      <c r="N1306" s="5" t="n"/>
      <c r="O1306" s="8">
        <f>IF($B1306="","",IF(AND($A1306&lt;&gt;"",COUNTIF(INV_ID,$A1306)&gt;1),"⚠ this Unit ID already exists",IF(AND($H1306&lt;&gt;"",COUNTIF(INV_Serial,$H1306)&gt;1),"⚠ this serial already exists",IF(COUNTIFS(INV_Product,$B1306,INV_No,$C1306)&gt;1,"⚠ piece number reused",""))))</f>
        <v/>
      </c>
      <c r="P1306" s="5" t="n"/>
    </row>
    <row r="1307">
      <c r="A1307" s="8">
        <f>IF(OR($B1307="",$C1307=""),"",IFERROR(INDEX(PM_Short,MATCH($B1307,PM_ID,0))&amp;"-"&amp;TEXT($C1307,"00"),"?? no such product"))</f>
        <v/>
      </c>
      <c r="B1307" s="5" t="n"/>
      <c r="C1307" s="5" t="n"/>
      <c r="D1307" s="8">
        <f>IF($B1307="","",IFERROR(INDEX(PM_Category,MATCH($B1307,PM_ID,0)),""))</f>
        <v/>
      </c>
      <c r="E1307" s="8">
        <f>IF($B1307="","",IFERROR(INDEX(PM_Subcategory,MATCH($B1307,PM_ID,0)),""))</f>
        <v/>
      </c>
      <c r="F1307" s="8">
        <f>IF($B1307="","",IFERROR(INDEX(PM_Brand,MATCH($B1307,PM_ID,0)),""))</f>
        <v/>
      </c>
      <c r="G1307" s="8">
        <f>IF($B1307="","",IFERROR(INDEX(PM_Model,MATCH($B1307,PM_ID,0)),""))</f>
        <v/>
      </c>
      <c r="H1307" s="5" t="n"/>
      <c r="I1307" s="10" t="n"/>
      <c r="J1307" s="9" t="n"/>
      <c r="K1307" s="5" t="n"/>
      <c r="L1307" s="5" t="n"/>
      <c r="M1307" s="5" t="n"/>
      <c r="N1307" s="5" t="n"/>
      <c r="O1307" s="8">
        <f>IF($B1307="","",IF(AND($A1307&lt;&gt;"",COUNTIF(INV_ID,$A1307)&gt;1),"⚠ this Unit ID already exists",IF(AND($H1307&lt;&gt;"",COUNTIF(INV_Serial,$H1307)&gt;1),"⚠ this serial already exists",IF(COUNTIFS(INV_Product,$B1307,INV_No,$C1307)&gt;1,"⚠ piece number reused",""))))</f>
        <v/>
      </c>
      <c r="P1307" s="5" t="n"/>
    </row>
    <row r="1308">
      <c r="A1308" s="8">
        <f>IF(OR($B1308="",$C1308=""),"",IFERROR(INDEX(PM_Short,MATCH($B1308,PM_ID,0))&amp;"-"&amp;TEXT($C1308,"00"),"?? no such product"))</f>
        <v/>
      </c>
      <c r="B1308" s="5" t="n"/>
      <c r="C1308" s="5" t="n"/>
      <c r="D1308" s="8">
        <f>IF($B1308="","",IFERROR(INDEX(PM_Category,MATCH($B1308,PM_ID,0)),""))</f>
        <v/>
      </c>
      <c r="E1308" s="8">
        <f>IF($B1308="","",IFERROR(INDEX(PM_Subcategory,MATCH($B1308,PM_ID,0)),""))</f>
        <v/>
      </c>
      <c r="F1308" s="8">
        <f>IF($B1308="","",IFERROR(INDEX(PM_Brand,MATCH($B1308,PM_ID,0)),""))</f>
        <v/>
      </c>
      <c r="G1308" s="8">
        <f>IF($B1308="","",IFERROR(INDEX(PM_Model,MATCH($B1308,PM_ID,0)),""))</f>
        <v/>
      </c>
      <c r="H1308" s="5" t="n"/>
      <c r="I1308" s="10" t="n"/>
      <c r="J1308" s="9" t="n"/>
      <c r="K1308" s="5" t="n"/>
      <c r="L1308" s="5" t="n"/>
      <c r="M1308" s="5" t="n"/>
      <c r="N1308" s="5" t="n"/>
      <c r="O1308" s="8">
        <f>IF($B1308="","",IF(AND($A1308&lt;&gt;"",COUNTIF(INV_ID,$A1308)&gt;1),"⚠ this Unit ID already exists",IF(AND($H1308&lt;&gt;"",COUNTIF(INV_Serial,$H1308)&gt;1),"⚠ this serial already exists",IF(COUNTIFS(INV_Product,$B1308,INV_No,$C1308)&gt;1,"⚠ piece number reused",""))))</f>
        <v/>
      </c>
      <c r="P1308" s="5" t="n"/>
    </row>
    <row r="1309">
      <c r="A1309" s="8">
        <f>IF(OR($B1309="",$C1309=""),"",IFERROR(INDEX(PM_Short,MATCH($B1309,PM_ID,0))&amp;"-"&amp;TEXT($C1309,"00"),"?? no such product"))</f>
        <v/>
      </c>
      <c r="B1309" s="5" t="n"/>
      <c r="C1309" s="5" t="n"/>
      <c r="D1309" s="8">
        <f>IF($B1309="","",IFERROR(INDEX(PM_Category,MATCH($B1309,PM_ID,0)),""))</f>
        <v/>
      </c>
      <c r="E1309" s="8">
        <f>IF($B1309="","",IFERROR(INDEX(PM_Subcategory,MATCH($B1309,PM_ID,0)),""))</f>
        <v/>
      </c>
      <c r="F1309" s="8">
        <f>IF($B1309="","",IFERROR(INDEX(PM_Brand,MATCH($B1309,PM_ID,0)),""))</f>
        <v/>
      </c>
      <c r="G1309" s="8">
        <f>IF($B1309="","",IFERROR(INDEX(PM_Model,MATCH($B1309,PM_ID,0)),""))</f>
        <v/>
      </c>
      <c r="H1309" s="5" t="n"/>
      <c r="I1309" s="10" t="n"/>
      <c r="J1309" s="9" t="n"/>
      <c r="K1309" s="5" t="n"/>
      <c r="L1309" s="5" t="n"/>
      <c r="M1309" s="5" t="n"/>
      <c r="N1309" s="5" t="n"/>
      <c r="O1309" s="8">
        <f>IF($B1309="","",IF(AND($A1309&lt;&gt;"",COUNTIF(INV_ID,$A1309)&gt;1),"⚠ this Unit ID already exists",IF(AND($H1309&lt;&gt;"",COUNTIF(INV_Serial,$H1309)&gt;1),"⚠ this serial already exists",IF(COUNTIFS(INV_Product,$B1309,INV_No,$C1309)&gt;1,"⚠ piece number reused",""))))</f>
        <v/>
      </c>
      <c r="P1309" s="5" t="n"/>
    </row>
    <row r="1310">
      <c r="A1310" s="8">
        <f>IF(OR($B1310="",$C1310=""),"",IFERROR(INDEX(PM_Short,MATCH($B1310,PM_ID,0))&amp;"-"&amp;TEXT($C1310,"00"),"?? no such product"))</f>
        <v/>
      </c>
      <c r="B1310" s="5" t="n"/>
      <c r="C1310" s="5" t="n"/>
      <c r="D1310" s="8">
        <f>IF($B1310="","",IFERROR(INDEX(PM_Category,MATCH($B1310,PM_ID,0)),""))</f>
        <v/>
      </c>
      <c r="E1310" s="8">
        <f>IF($B1310="","",IFERROR(INDEX(PM_Subcategory,MATCH($B1310,PM_ID,0)),""))</f>
        <v/>
      </c>
      <c r="F1310" s="8">
        <f>IF($B1310="","",IFERROR(INDEX(PM_Brand,MATCH($B1310,PM_ID,0)),""))</f>
        <v/>
      </c>
      <c r="G1310" s="8">
        <f>IF($B1310="","",IFERROR(INDEX(PM_Model,MATCH($B1310,PM_ID,0)),""))</f>
        <v/>
      </c>
      <c r="H1310" s="5" t="n"/>
      <c r="I1310" s="10" t="n"/>
      <c r="J1310" s="9" t="n"/>
      <c r="K1310" s="5" t="n"/>
      <c r="L1310" s="5" t="n"/>
      <c r="M1310" s="5" t="n"/>
      <c r="N1310" s="5" t="n"/>
      <c r="O1310" s="8">
        <f>IF($B1310="","",IF(AND($A1310&lt;&gt;"",COUNTIF(INV_ID,$A1310)&gt;1),"⚠ this Unit ID already exists",IF(AND($H1310&lt;&gt;"",COUNTIF(INV_Serial,$H1310)&gt;1),"⚠ this serial already exists",IF(COUNTIFS(INV_Product,$B1310,INV_No,$C1310)&gt;1,"⚠ piece number reused",""))))</f>
        <v/>
      </c>
      <c r="P1310" s="5" t="n"/>
    </row>
    <row r="1311">
      <c r="A1311" s="8">
        <f>IF(OR($B1311="",$C1311=""),"",IFERROR(INDEX(PM_Short,MATCH($B1311,PM_ID,0))&amp;"-"&amp;TEXT($C1311,"00"),"?? no such product"))</f>
        <v/>
      </c>
      <c r="B1311" s="5" t="n"/>
      <c r="C1311" s="5" t="n"/>
      <c r="D1311" s="8">
        <f>IF($B1311="","",IFERROR(INDEX(PM_Category,MATCH($B1311,PM_ID,0)),""))</f>
        <v/>
      </c>
      <c r="E1311" s="8">
        <f>IF($B1311="","",IFERROR(INDEX(PM_Subcategory,MATCH($B1311,PM_ID,0)),""))</f>
        <v/>
      </c>
      <c r="F1311" s="8">
        <f>IF($B1311="","",IFERROR(INDEX(PM_Brand,MATCH($B1311,PM_ID,0)),""))</f>
        <v/>
      </c>
      <c r="G1311" s="8">
        <f>IF($B1311="","",IFERROR(INDEX(PM_Model,MATCH($B1311,PM_ID,0)),""))</f>
        <v/>
      </c>
      <c r="H1311" s="5" t="n"/>
      <c r="I1311" s="10" t="n"/>
      <c r="J1311" s="9" t="n"/>
      <c r="K1311" s="5" t="n"/>
      <c r="L1311" s="5" t="n"/>
      <c r="M1311" s="5" t="n"/>
      <c r="N1311" s="5" t="n"/>
      <c r="O1311" s="8">
        <f>IF($B1311="","",IF(AND($A1311&lt;&gt;"",COUNTIF(INV_ID,$A1311)&gt;1),"⚠ this Unit ID already exists",IF(AND($H1311&lt;&gt;"",COUNTIF(INV_Serial,$H1311)&gt;1),"⚠ this serial already exists",IF(COUNTIFS(INV_Product,$B1311,INV_No,$C1311)&gt;1,"⚠ piece number reused",""))))</f>
        <v/>
      </c>
      <c r="P1311" s="5" t="n"/>
    </row>
    <row r="1312">
      <c r="A1312" s="8">
        <f>IF(OR($B1312="",$C1312=""),"",IFERROR(INDEX(PM_Short,MATCH($B1312,PM_ID,0))&amp;"-"&amp;TEXT($C1312,"00"),"?? no such product"))</f>
        <v/>
      </c>
      <c r="B1312" s="5" t="n"/>
      <c r="C1312" s="5" t="n"/>
      <c r="D1312" s="8">
        <f>IF($B1312="","",IFERROR(INDEX(PM_Category,MATCH($B1312,PM_ID,0)),""))</f>
        <v/>
      </c>
      <c r="E1312" s="8">
        <f>IF($B1312="","",IFERROR(INDEX(PM_Subcategory,MATCH($B1312,PM_ID,0)),""))</f>
        <v/>
      </c>
      <c r="F1312" s="8">
        <f>IF($B1312="","",IFERROR(INDEX(PM_Brand,MATCH($B1312,PM_ID,0)),""))</f>
        <v/>
      </c>
      <c r="G1312" s="8">
        <f>IF($B1312="","",IFERROR(INDEX(PM_Model,MATCH($B1312,PM_ID,0)),""))</f>
        <v/>
      </c>
      <c r="H1312" s="5" t="n"/>
      <c r="I1312" s="10" t="n"/>
      <c r="J1312" s="9" t="n"/>
      <c r="K1312" s="5" t="n"/>
      <c r="L1312" s="5" t="n"/>
      <c r="M1312" s="5" t="n"/>
      <c r="N1312" s="5" t="n"/>
      <c r="O1312" s="8">
        <f>IF($B1312="","",IF(AND($A1312&lt;&gt;"",COUNTIF(INV_ID,$A1312)&gt;1),"⚠ this Unit ID already exists",IF(AND($H1312&lt;&gt;"",COUNTIF(INV_Serial,$H1312)&gt;1),"⚠ this serial already exists",IF(COUNTIFS(INV_Product,$B1312,INV_No,$C1312)&gt;1,"⚠ piece number reused",""))))</f>
        <v/>
      </c>
      <c r="P1312" s="5" t="n"/>
    </row>
    <row r="1313">
      <c r="A1313" s="8">
        <f>IF(OR($B1313="",$C1313=""),"",IFERROR(INDEX(PM_Short,MATCH($B1313,PM_ID,0))&amp;"-"&amp;TEXT($C1313,"00"),"?? no such product"))</f>
        <v/>
      </c>
      <c r="B1313" s="5" t="n"/>
      <c r="C1313" s="5" t="n"/>
      <c r="D1313" s="8">
        <f>IF($B1313="","",IFERROR(INDEX(PM_Category,MATCH($B1313,PM_ID,0)),""))</f>
        <v/>
      </c>
      <c r="E1313" s="8">
        <f>IF($B1313="","",IFERROR(INDEX(PM_Subcategory,MATCH($B1313,PM_ID,0)),""))</f>
        <v/>
      </c>
      <c r="F1313" s="8">
        <f>IF($B1313="","",IFERROR(INDEX(PM_Brand,MATCH($B1313,PM_ID,0)),""))</f>
        <v/>
      </c>
      <c r="G1313" s="8">
        <f>IF($B1313="","",IFERROR(INDEX(PM_Model,MATCH($B1313,PM_ID,0)),""))</f>
        <v/>
      </c>
      <c r="H1313" s="5" t="n"/>
      <c r="I1313" s="10" t="n"/>
      <c r="J1313" s="9" t="n"/>
      <c r="K1313" s="5" t="n"/>
      <c r="L1313" s="5" t="n"/>
      <c r="M1313" s="5" t="n"/>
      <c r="N1313" s="5" t="n"/>
      <c r="O1313" s="8">
        <f>IF($B1313="","",IF(AND($A1313&lt;&gt;"",COUNTIF(INV_ID,$A1313)&gt;1),"⚠ this Unit ID already exists",IF(AND($H1313&lt;&gt;"",COUNTIF(INV_Serial,$H1313)&gt;1),"⚠ this serial already exists",IF(COUNTIFS(INV_Product,$B1313,INV_No,$C1313)&gt;1,"⚠ piece number reused",""))))</f>
        <v/>
      </c>
      <c r="P1313" s="5" t="n"/>
    </row>
    <row r="1314">
      <c r="A1314" s="8">
        <f>IF(OR($B1314="",$C1314=""),"",IFERROR(INDEX(PM_Short,MATCH($B1314,PM_ID,0))&amp;"-"&amp;TEXT($C1314,"00"),"?? no such product"))</f>
        <v/>
      </c>
      <c r="B1314" s="5" t="n"/>
      <c r="C1314" s="5" t="n"/>
      <c r="D1314" s="8">
        <f>IF($B1314="","",IFERROR(INDEX(PM_Category,MATCH($B1314,PM_ID,0)),""))</f>
        <v/>
      </c>
      <c r="E1314" s="8">
        <f>IF($B1314="","",IFERROR(INDEX(PM_Subcategory,MATCH($B1314,PM_ID,0)),""))</f>
        <v/>
      </c>
      <c r="F1314" s="8">
        <f>IF($B1314="","",IFERROR(INDEX(PM_Brand,MATCH($B1314,PM_ID,0)),""))</f>
        <v/>
      </c>
      <c r="G1314" s="8">
        <f>IF($B1314="","",IFERROR(INDEX(PM_Model,MATCH($B1314,PM_ID,0)),""))</f>
        <v/>
      </c>
      <c r="H1314" s="5" t="n"/>
      <c r="I1314" s="10" t="n"/>
      <c r="J1314" s="9" t="n"/>
      <c r="K1314" s="5" t="n"/>
      <c r="L1314" s="5" t="n"/>
      <c r="M1314" s="5" t="n"/>
      <c r="N1314" s="5" t="n"/>
      <c r="O1314" s="8">
        <f>IF($B1314="","",IF(AND($A1314&lt;&gt;"",COUNTIF(INV_ID,$A1314)&gt;1),"⚠ this Unit ID already exists",IF(AND($H1314&lt;&gt;"",COUNTIF(INV_Serial,$H1314)&gt;1),"⚠ this serial already exists",IF(COUNTIFS(INV_Product,$B1314,INV_No,$C1314)&gt;1,"⚠ piece number reused",""))))</f>
        <v/>
      </c>
      <c r="P1314" s="5" t="n"/>
    </row>
    <row r="1315">
      <c r="A1315" s="8">
        <f>IF(OR($B1315="",$C1315=""),"",IFERROR(INDEX(PM_Short,MATCH($B1315,PM_ID,0))&amp;"-"&amp;TEXT($C1315,"00"),"?? no such product"))</f>
        <v/>
      </c>
      <c r="B1315" s="5" t="n"/>
      <c r="C1315" s="5" t="n"/>
      <c r="D1315" s="8">
        <f>IF($B1315="","",IFERROR(INDEX(PM_Category,MATCH($B1315,PM_ID,0)),""))</f>
        <v/>
      </c>
      <c r="E1315" s="8">
        <f>IF($B1315="","",IFERROR(INDEX(PM_Subcategory,MATCH($B1315,PM_ID,0)),""))</f>
        <v/>
      </c>
      <c r="F1315" s="8">
        <f>IF($B1315="","",IFERROR(INDEX(PM_Brand,MATCH($B1315,PM_ID,0)),""))</f>
        <v/>
      </c>
      <c r="G1315" s="8">
        <f>IF($B1315="","",IFERROR(INDEX(PM_Model,MATCH($B1315,PM_ID,0)),""))</f>
        <v/>
      </c>
      <c r="H1315" s="5" t="n"/>
      <c r="I1315" s="10" t="n"/>
      <c r="J1315" s="9" t="n"/>
      <c r="K1315" s="5" t="n"/>
      <c r="L1315" s="5" t="n"/>
      <c r="M1315" s="5" t="n"/>
      <c r="N1315" s="5" t="n"/>
      <c r="O1315" s="8">
        <f>IF($B1315="","",IF(AND($A1315&lt;&gt;"",COUNTIF(INV_ID,$A1315)&gt;1),"⚠ this Unit ID already exists",IF(AND($H1315&lt;&gt;"",COUNTIF(INV_Serial,$H1315)&gt;1),"⚠ this serial already exists",IF(COUNTIFS(INV_Product,$B1315,INV_No,$C1315)&gt;1,"⚠ piece number reused",""))))</f>
        <v/>
      </c>
      <c r="P1315" s="5" t="n"/>
    </row>
    <row r="1316">
      <c r="A1316" s="8">
        <f>IF(OR($B1316="",$C1316=""),"",IFERROR(INDEX(PM_Short,MATCH($B1316,PM_ID,0))&amp;"-"&amp;TEXT($C1316,"00"),"?? no such product"))</f>
        <v/>
      </c>
      <c r="B1316" s="5" t="n"/>
      <c r="C1316" s="5" t="n"/>
      <c r="D1316" s="8">
        <f>IF($B1316="","",IFERROR(INDEX(PM_Category,MATCH($B1316,PM_ID,0)),""))</f>
        <v/>
      </c>
      <c r="E1316" s="8">
        <f>IF($B1316="","",IFERROR(INDEX(PM_Subcategory,MATCH($B1316,PM_ID,0)),""))</f>
        <v/>
      </c>
      <c r="F1316" s="8">
        <f>IF($B1316="","",IFERROR(INDEX(PM_Brand,MATCH($B1316,PM_ID,0)),""))</f>
        <v/>
      </c>
      <c r="G1316" s="8">
        <f>IF($B1316="","",IFERROR(INDEX(PM_Model,MATCH($B1316,PM_ID,0)),""))</f>
        <v/>
      </c>
      <c r="H1316" s="5" t="n"/>
      <c r="I1316" s="10" t="n"/>
      <c r="J1316" s="9" t="n"/>
      <c r="K1316" s="5" t="n"/>
      <c r="L1316" s="5" t="n"/>
      <c r="M1316" s="5" t="n"/>
      <c r="N1316" s="5" t="n"/>
      <c r="O1316" s="8">
        <f>IF($B1316="","",IF(AND($A1316&lt;&gt;"",COUNTIF(INV_ID,$A1316)&gt;1),"⚠ this Unit ID already exists",IF(AND($H1316&lt;&gt;"",COUNTIF(INV_Serial,$H1316)&gt;1),"⚠ this serial already exists",IF(COUNTIFS(INV_Product,$B1316,INV_No,$C1316)&gt;1,"⚠ piece number reused",""))))</f>
        <v/>
      </c>
      <c r="P1316" s="5" t="n"/>
    </row>
    <row r="1317">
      <c r="A1317" s="8">
        <f>IF(OR($B1317="",$C1317=""),"",IFERROR(INDEX(PM_Short,MATCH($B1317,PM_ID,0))&amp;"-"&amp;TEXT($C1317,"00"),"?? no such product"))</f>
        <v/>
      </c>
      <c r="B1317" s="5" t="n"/>
      <c r="C1317" s="5" t="n"/>
      <c r="D1317" s="8">
        <f>IF($B1317="","",IFERROR(INDEX(PM_Category,MATCH($B1317,PM_ID,0)),""))</f>
        <v/>
      </c>
      <c r="E1317" s="8">
        <f>IF($B1317="","",IFERROR(INDEX(PM_Subcategory,MATCH($B1317,PM_ID,0)),""))</f>
        <v/>
      </c>
      <c r="F1317" s="8">
        <f>IF($B1317="","",IFERROR(INDEX(PM_Brand,MATCH($B1317,PM_ID,0)),""))</f>
        <v/>
      </c>
      <c r="G1317" s="8">
        <f>IF($B1317="","",IFERROR(INDEX(PM_Model,MATCH($B1317,PM_ID,0)),""))</f>
        <v/>
      </c>
      <c r="H1317" s="5" t="n"/>
      <c r="I1317" s="10" t="n"/>
      <c r="J1317" s="9" t="n"/>
      <c r="K1317" s="5" t="n"/>
      <c r="L1317" s="5" t="n"/>
      <c r="M1317" s="5" t="n"/>
      <c r="N1317" s="5" t="n"/>
      <c r="O1317" s="8">
        <f>IF($B1317="","",IF(AND($A1317&lt;&gt;"",COUNTIF(INV_ID,$A1317)&gt;1),"⚠ this Unit ID already exists",IF(AND($H1317&lt;&gt;"",COUNTIF(INV_Serial,$H1317)&gt;1),"⚠ this serial already exists",IF(COUNTIFS(INV_Product,$B1317,INV_No,$C1317)&gt;1,"⚠ piece number reused",""))))</f>
        <v/>
      </c>
      <c r="P1317" s="5" t="n"/>
    </row>
    <row r="1318">
      <c r="A1318" s="8">
        <f>IF(OR($B1318="",$C1318=""),"",IFERROR(INDEX(PM_Short,MATCH($B1318,PM_ID,0))&amp;"-"&amp;TEXT($C1318,"00"),"?? no such product"))</f>
        <v/>
      </c>
      <c r="B1318" s="5" t="n"/>
      <c r="C1318" s="5" t="n"/>
      <c r="D1318" s="8">
        <f>IF($B1318="","",IFERROR(INDEX(PM_Category,MATCH($B1318,PM_ID,0)),""))</f>
        <v/>
      </c>
      <c r="E1318" s="8">
        <f>IF($B1318="","",IFERROR(INDEX(PM_Subcategory,MATCH($B1318,PM_ID,0)),""))</f>
        <v/>
      </c>
      <c r="F1318" s="8">
        <f>IF($B1318="","",IFERROR(INDEX(PM_Brand,MATCH($B1318,PM_ID,0)),""))</f>
        <v/>
      </c>
      <c r="G1318" s="8">
        <f>IF($B1318="","",IFERROR(INDEX(PM_Model,MATCH($B1318,PM_ID,0)),""))</f>
        <v/>
      </c>
      <c r="H1318" s="5" t="n"/>
      <c r="I1318" s="10" t="n"/>
      <c r="J1318" s="9" t="n"/>
      <c r="K1318" s="5" t="n"/>
      <c r="L1318" s="5" t="n"/>
      <c r="M1318" s="5" t="n"/>
      <c r="N1318" s="5" t="n"/>
      <c r="O1318" s="8">
        <f>IF($B1318="","",IF(AND($A1318&lt;&gt;"",COUNTIF(INV_ID,$A1318)&gt;1),"⚠ this Unit ID already exists",IF(AND($H1318&lt;&gt;"",COUNTIF(INV_Serial,$H1318)&gt;1),"⚠ this serial already exists",IF(COUNTIFS(INV_Product,$B1318,INV_No,$C1318)&gt;1,"⚠ piece number reused",""))))</f>
        <v/>
      </c>
      <c r="P1318" s="5" t="n"/>
    </row>
    <row r="1319">
      <c r="A1319" s="8">
        <f>IF(OR($B1319="",$C1319=""),"",IFERROR(INDEX(PM_Short,MATCH($B1319,PM_ID,0))&amp;"-"&amp;TEXT($C1319,"00"),"?? no such product"))</f>
        <v/>
      </c>
      <c r="B1319" s="5" t="n"/>
      <c r="C1319" s="5" t="n"/>
      <c r="D1319" s="8">
        <f>IF($B1319="","",IFERROR(INDEX(PM_Category,MATCH($B1319,PM_ID,0)),""))</f>
        <v/>
      </c>
      <c r="E1319" s="8">
        <f>IF($B1319="","",IFERROR(INDEX(PM_Subcategory,MATCH($B1319,PM_ID,0)),""))</f>
        <v/>
      </c>
      <c r="F1319" s="8">
        <f>IF($B1319="","",IFERROR(INDEX(PM_Brand,MATCH($B1319,PM_ID,0)),""))</f>
        <v/>
      </c>
      <c r="G1319" s="8">
        <f>IF($B1319="","",IFERROR(INDEX(PM_Model,MATCH($B1319,PM_ID,0)),""))</f>
        <v/>
      </c>
      <c r="H1319" s="5" t="n"/>
      <c r="I1319" s="10" t="n"/>
      <c r="J1319" s="9" t="n"/>
      <c r="K1319" s="5" t="n"/>
      <c r="L1319" s="5" t="n"/>
      <c r="M1319" s="5" t="n"/>
      <c r="N1319" s="5" t="n"/>
      <c r="O1319" s="8">
        <f>IF($B1319="","",IF(AND($A1319&lt;&gt;"",COUNTIF(INV_ID,$A1319)&gt;1),"⚠ this Unit ID already exists",IF(AND($H1319&lt;&gt;"",COUNTIF(INV_Serial,$H1319)&gt;1),"⚠ this serial already exists",IF(COUNTIFS(INV_Product,$B1319,INV_No,$C1319)&gt;1,"⚠ piece number reused",""))))</f>
        <v/>
      </c>
      <c r="P1319" s="5" t="n"/>
    </row>
    <row r="1320">
      <c r="A1320" s="8">
        <f>IF(OR($B1320="",$C1320=""),"",IFERROR(INDEX(PM_Short,MATCH($B1320,PM_ID,0))&amp;"-"&amp;TEXT($C1320,"00"),"?? no such product"))</f>
        <v/>
      </c>
      <c r="B1320" s="5" t="n"/>
      <c r="C1320" s="5" t="n"/>
      <c r="D1320" s="8">
        <f>IF($B1320="","",IFERROR(INDEX(PM_Category,MATCH($B1320,PM_ID,0)),""))</f>
        <v/>
      </c>
      <c r="E1320" s="8">
        <f>IF($B1320="","",IFERROR(INDEX(PM_Subcategory,MATCH($B1320,PM_ID,0)),""))</f>
        <v/>
      </c>
      <c r="F1320" s="8">
        <f>IF($B1320="","",IFERROR(INDEX(PM_Brand,MATCH($B1320,PM_ID,0)),""))</f>
        <v/>
      </c>
      <c r="G1320" s="8">
        <f>IF($B1320="","",IFERROR(INDEX(PM_Model,MATCH($B1320,PM_ID,0)),""))</f>
        <v/>
      </c>
      <c r="H1320" s="5" t="n"/>
      <c r="I1320" s="10" t="n"/>
      <c r="J1320" s="9" t="n"/>
      <c r="K1320" s="5" t="n"/>
      <c r="L1320" s="5" t="n"/>
      <c r="M1320" s="5" t="n"/>
      <c r="N1320" s="5" t="n"/>
      <c r="O1320" s="8">
        <f>IF($B1320="","",IF(AND($A1320&lt;&gt;"",COUNTIF(INV_ID,$A1320)&gt;1),"⚠ this Unit ID already exists",IF(AND($H1320&lt;&gt;"",COUNTIF(INV_Serial,$H1320)&gt;1),"⚠ this serial already exists",IF(COUNTIFS(INV_Product,$B1320,INV_No,$C1320)&gt;1,"⚠ piece number reused",""))))</f>
        <v/>
      </c>
      <c r="P1320" s="5" t="n"/>
    </row>
    <row r="1321">
      <c r="A1321" s="8">
        <f>IF(OR($B1321="",$C1321=""),"",IFERROR(INDEX(PM_Short,MATCH($B1321,PM_ID,0))&amp;"-"&amp;TEXT($C1321,"00"),"?? no such product"))</f>
        <v/>
      </c>
      <c r="B1321" s="5" t="n"/>
      <c r="C1321" s="5" t="n"/>
      <c r="D1321" s="8">
        <f>IF($B1321="","",IFERROR(INDEX(PM_Category,MATCH($B1321,PM_ID,0)),""))</f>
        <v/>
      </c>
      <c r="E1321" s="8">
        <f>IF($B1321="","",IFERROR(INDEX(PM_Subcategory,MATCH($B1321,PM_ID,0)),""))</f>
        <v/>
      </c>
      <c r="F1321" s="8">
        <f>IF($B1321="","",IFERROR(INDEX(PM_Brand,MATCH($B1321,PM_ID,0)),""))</f>
        <v/>
      </c>
      <c r="G1321" s="8">
        <f>IF($B1321="","",IFERROR(INDEX(PM_Model,MATCH($B1321,PM_ID,0)),""))</f>
        <v/>
      </c>
      <c r="H1321" s="5" t="n"/>
      <c r="I1321" s="10" t="n"/>
      <c r="J1321" s="9" t="n"/>
      <c r="K1321" s="5" t="n"/>
      <c r="L1321" s="5" t="n"/>
      <c r="M1321" s="5" t="n"/>
      <c r="N1321" s="5" t="n"/>
      <c r="O1321" s="8">
        <f>IF($B1321="","",IF(AND($A1321&lt;&gt;"",COUNTIF(INV_ID,$A1321)&gt;1),"⚠ this Unit ID already exists",IF(AND($H1321&lt;&gt;"",COUNTIF(INV_Serial,$H1321)&gt;1),"⚠ this serial already exists",IF(COUNTIFS(INV_Product,$B1321,INV_No,$C1321)&gt;1,"⚠ piece number reused",""))))</f>
        <v/>
      </c>
      <c r="P1321" s="5" t="n"/>
    </row>
    <row r="1322">
      <c r="A1322" s="8">
        <f>IF(OR($B1322="",$C1322=""),"",IFERROR(INDEX(PM_Short,MATCH($B1322,PM_ID,0))&amp;"-"&amp;TEXT($C1322,"00"),"?? no such product"))</f>
        <v/>
      </c>
      <c r="B1322" s="5" t="n"/>
      <c r="C1322" s="5" t="n"/>
      <c r="D1322" s="8">
        <f>IF($B1322="","",IFERROR(INDEX(PM_Category,MATCH($B1322,PM_ID,0)),""))</f>
        <v/>
      </c>
      <c r="E1322" s="8">
        <f>IF($B1322="","",IFERROR(INDEX(PM_Subcategory,MATCH($B1322,PM_ID,0)),""))</f>
        <v/>
      </c>
      <c r="F1322" s="8">
        <f>IF($B1322="","",IFERROR(INDEX(PM_Brand,MATCH($B1322,PM_ID,0)),""))</f>
        <v/>
      </c>
      <c r="G1322" s="8">
        <f>IF($B1322="","",IFERROR(INDEX(PM_Model,MATCH($B1322,PM_ID,0)),""))</f>
        <v/>
      </c>
      <c r="H1322" s="5" t="n"/>
      <c r="I1322" s="10" t="n"/>
      <c r="J1322" s="9" t="n"/>
      <c r="K1322" s="5" t="n"/>
      <c r="L1322" s="5" t="n"/>
      <c r="M1322" s="5" t="n"/>
      <c r="N1322" s="5" t="n"/>
      <c r="O1322" s="8">
        <f>IF($B1322="","",IF(AND($A1322&lt;&gt;"",COUNTIF(INV_ID,$A1322)&gt;1),"⚠ this Unit ID already exists",IF(AND($H1322&lt;&gt;"",COUNTIF(INV_Serial,$H1322)&gt;1),"⚠ this serial already exists",IF(COUNTIFS(INV_Product,$B1322,INV_No,$C1322)&gt;1,"⚠ piece number reused",""))))</f>
        <v/>
      </c>
      <c r="P1322" s="5" t="n"/>
    </row>
    <row r="1323">
      <c r="A1323" s="8">
        <f>IF(OR($B1323="",$C1323=""),"",IFERROR(INDEX(PM_Short,MATCH($B1323,PM_ID,0))&amp;"-"&amp;TEXT($C1323,"00"),"?? no such product"))</f>
        <v/>
      </c>
      <c r="B1323" s="5" t="n"/>
      <c r="C1323" s="5" t="n"/>
      <c r="D1323" s="8">
        <f>IF($B1323="","",IFERROR(INDEX(PM_Category,MATCH($B1323,PM_ID,0)),""))</f>
        <v/>
      </c>
      <c r="E1323" s="8">
        <f>IF($B1323="","",IFERROR(INDEX(PM_Subcategory,MATCH($B1323,PM_ID,0)),""))</f>
        <v/>
      </c>
      <c r="F1323" s="8">
        <f>IF($B1323="","",IFERROR(INDEX(PM_Brand,MATCH($B1323,PM_ID,0)),""))</f>
        <v/>
      </c>
      <c r="G1323" s="8">
        <f>IF($B1323="","",IFERROR(INDEX(PM_Model,MATCH($B1323,PM_ID,0)),""))</f>
        <v/>
      </c>
      <c r="H1323" s="5" t="n"/>
      <c r="I1323" s="10" t="n"/>
      <c r="J1323" s="9" t="n"/>
      <c r="K1323" s="5" t="n"/>
      <c r="L1323" s="5" t="n"/>
      <c r="M1323" s="5" t="n"/>
      <c r="N1323" s="5" t="n"/>
      <c r="O1323" s="8">
        <f>IF($B1323="","",IF(AND($A1323&lt;&gt;"",COUNTIF(INV_ID,$A1323)&gt;1),"⚠ this Unit ID already exists",IF(AND($H1323&lt;&gt;"",COUNTIF(INV_Serial,$H1323)&gt;1),"⚠ this serial already exists",IF(COUNTIFS(INV_Product,$B1323,INV_No,$C1323)&gt;1,"⚠ piece number reused",""))))</f>
        <v/>
      </c>
      <c r="P1323" s="5" t="n"/>
    </row>
    <row r="1324">
      <c r="A1324" s="8">
        <f>IF(OR($B1324="",$C1324=""),"",IFERROR(INDEX(PM_Short,MATCH($B1324,PM_ID,0))&amp;"-"&amp;TEXT($C1324,"00"),"?? no such product"))</f>
        <v/>
      </c>
      <c r="B1324" s="5" t="n"/>
      <c r="C1324" s="5" t="n"/>
      <c r="D1324" s="8">
        <f>IF($B1324="","",IFERROR(INDEX(PM_Category,MATCH($B1324,PM_ID,0)),""))</f>
        <v/>
      </c>
      <c r="E1324" s="8">
        <f>IF($B1324="","",IFERROR(INDEX(PM_Subcategory,MATCH($B1324,PM_ID,0)),""))</f>
        <v/>
      </c>
      <c r="F1324" s="8">
        <f>IF($B1324="","",IFERROR(INDEX(PM_Brand,MATCH($B1324,PM_ID,0)),""))</f>
        <v/>
      </c>
      <c r="G1324" s="8">
        <f>IF($B1324="","",IFERROR(INDEX(PM_Model,MATCH($B1324,PM_ID,0)),""))</f>
        <v/>
      </c>
      <c r="H1324" s="5" t="n"/>
      <c r="I1324" s="10" t="n"/>
      <c r="J1324" s="9" t="n"/>
      <c r="K1324" s="5" t="n"/>
      <c r="L1324" s="5" t="n"/>
      <c r="M1324" s="5" t="n"/>
      <c r="N1324" s="5" t="n"/>
      <c r="O1324" s="8">
        <f>IF($B1324="","",IF(AND($A1324&lt;&gt;"",COUNTIF(INV_ID,$A1324)&gt;1),"⚠ this Unit ID already exists",IF(AND($H1324&lt;&gt;"",COUNTIF(INV_Serial,$H1324)&gt;1),"⚠ this serial already exists",IF(COUNTIFS(INV_Product,$B1324,INV_No,$C1324)&gt;1,"⚠ piece number reused",""))))</f>
        <v/>
      </c>
      <c r="P1324" s="5" t="n"/>
    </row>
    <row r="1325">
      <c r="A1325" s="8">
        <f>IF(OR($B1325="",$C1325=""),"",IFERROR(INDEX(PM_Short,MATCH($B1325,PM_ID,0))&amp;"-"&amp;TEXT($C1325,"00"),"?? no such product"))</f>
        <v/>
      </c>
      <c r="B1325" s="5" t="n"/>
      <c r="C1325" s="5" t="n"/>
      <c r="D1325" s="8">
        <f>IF($B1325="","",IFERROR(INDEX(PM_Category,MATCH($B1325,PM_ID,0)),""))</f>
        <v/>
      </c>
      <c r="E1325" s="8">
        <f>IF($B1325="","",IFERROR(INDEX(PM_Subcategory,MATCH($B1325,PM_ID,0)),""))</f>
        <v/>
      </c>
      <c r="F1325" s="8">
        <f>IF($B1325="","",IFERROR(INDEX(PM_Brand,MATCH($B1325,PM_ID,0)),""))</f>
        <v/>
      </c>
      <c r="G1325" s="8">
        <f>IF($B1325="","",IFERROR(INDEX(PM_Model,MATCH($B1325,PM_ID,0)),""))</f>
        <v/>
      </c>
      <c r="H1325" s="5" t="n"/>
      <c r="I1325" s="10" t="n"/>
      <c r="J1325" s="9" t="n"/>
      <c r="K1325" s="5" t="n"/>
      <c r="L1325" s="5" t="n"/>
      <c r="M1325" s="5" t="n"/>
      <c r="N1325" s="5" t="n"/>
      <c r="O1325" s="8">
        <f>IF($B1325="","",IF(AND($A1325&lt;&gt;"",COUNTIF(INV_ID,$A1325)&gt;1),"⚠ this Unit ID already exists",IF(AND($H1325&lt;&gt;"",COUNTIF(INV_Serial,$H1325)&gt;1),"⚠ this serial already exists",IF(COUNTIFS(INV_Product,$B1325,INV_No,$C1325)&gt;1,"⚠ piece number reused",""))))</f>
        <v/>
      </c>
      <c r="P1325" s="5" t="n"/>
    </row>
    <row r="1326">
      <c r="A1326" s="8">
        <f>IF(OR($B1326="",$C1326=""),"",IFERROR(INDEX(PM_Short,MATCH($B1326,PM_ID,0))&amp;"-"&amp;TEXT($C1326,"00"),"?? no such product"))</f>
        <v/>
      </c>
      <c r="B1326" s="5" t="n"/>
      <c r="C1326" s="5" t="n"/>
      <c r="D1326" s="8">
        <f>IF($B1326="","",IFERROR(INDEX(PM_Category,MATCH($B1326,PM_ID,0)),""))</f>
        <v/>
      </c>
      <c r="E1326" s="8">
        <f>IF($B1326="","",IFERROR(INDEX(PM_Subcategory,MATCH($B1326,PM_ID,0)),""))</f>
        <v/>
      </c>
      <c r="F1326" s="8">
        <f>IF($B1326="","",IFERROR(INDEX(PM_Brand,MATCH($B1326,PM_ID,0)),""))</f>
        <v/>
      </c>
      <c r="G1326" s="8">
        <f>IF($B1326="","",IFERROR(INDEX(PM_Model,MATCH($B1326,PM_ID,0)),""))</f>
        <v/>
      </c>
      <c r="H1326" s="5" t="n"/>
      <c r="I1326" s="10" t="n"/>
      <c r="J1326" s="9" t="n"/>
      <c r="K1326" s="5" t="n"/>
      <c r="L1326" s="5" t="n"/>
      <c r="M1326" s="5" t="n"/>
      <c r="N1326" s="5" t="n"/>
      <c r="O1326" s="8">
        <f>IF($B1326="","",IF(AND($A1326&lt;&gt;"",COUNTIF(INV_ID,$A1326)&gt;1),"⚠ this Unit ID already exists",IF(AND($H1326&lt;&gt;"",COUNTIF(INV_Serial,$H1326)&gt;1),"⚠ this serial already exists",IF(COUNTIFS(INV_Product,$B1326,INV_No,$C1326)&gt;1,"⚠ piece number reused",""))))</f>
        <v/>
      </c>
      <c r="P1326" s="5" t="n"/>
    </row>
    <row r="1327">
      <c r="A1327" s="8">
        <f>IF(OR($B1327="",$C1327=""),"",IFERROR(INDEX(PM_Short,MATCH($B1327,PM_ID,0))&amp;"-"&amp;TEXT($C1327,"00"),"?? no such product"))</f>
        <v/>
      </c>
      <c r="B1327" s="5" t="n"/>
      <c r="C1327" s="5" t="n"/>
      <c r="D1327" s="8">
        <f>IF($B1327="","",IFERROR(INDEX(PM_Category,MATCH($B1327,PM_ID,0)),""))</f>
        <v/>
      </c>
      <c r="E1327" s="8">
        <f>IF($B1327="","",IFERROR(INDEX(PM_Subcategory,MATCH($B1327,PM_ID,0)),""))</f>
        <v/>
      </c>
      <c r="F1327" s="8">
        <f>IF($B1327="","",IFERROR(INDEX(PM_Brand,MATCH($B1327,PM_ID,0)),""))</f>
        <v/>
      </c>
      <c r="G1327" s="8">
        <f>IF($B1327="","",IFERROR(INDEX(PM_Model,MATCH($B1327,PM_ID,0)),""))</f>
        <v/>
      </c>
      <c r="H1327" s="5" t="n"/>
      <c r="I1327" s="10" t="n"/>
      <c r="J1327" s="9" t="n"/>
      <c r="K1327" s="5" t="n"/>
      <c r="L1327" s="5" t="n"/>
      <c r="M1327" s="5" t="n"/>
      <c r="N1327" s="5" t="n"/>
      <c r="O1327" s="8">
        <f>IF($B1327="","",IF(AND($A1327&lt;&gt;"",COUNTIF(INV_ID,$A1327)&gt;1),"⚠ this Unit ID already exists",IF(AND($H1327&lt;&gt;"",COUNTIF(INV_Serial,$H1327)&gt;1),"⚠ this serial already exists",IF(COUNTIFS(INV_Product,$B1327,INV_No,$C1327)&gt;1,"⚠ piece number reused",""))))</f>
        <v/>
      </c>
      <c r="P1327" s="5" t="n"/>
    </row>
    <row r="1328">
      <c r="A1328" s="8">
        <f>IF(OR($B1328="",$C1328=""),"",IFERROR(INDEX(PM_Short,MATCH($B1328,PM_ID,0))&amp;"-"&amp;TEXT($C1328,"00"),"?? no such product"))</f>
        <v/>
      </c>
      <c r="B1328" s="5" t="n"/>
      <c r="C1328" s="5" t="n"/>
      <c r="D1328" s="8">
        <f>IF($B1328="","",IFERROR(INDEX(PM_Category,MATCH($B1328,PM_ID,0)),""))</f>
        <v/>
      </c>
      <c r="E1328" s="8">
        <f>IF($B1328="","",IFERROR(INDEX(PM_Subcategory,MATCH($B1328,PM_ID,0)),""))</f>
        <v/>
      </c>
      <c r="F1328" s="8">
        <f>IF($B1328="","",IFERROR(INDEX(PM_Brand,MATCH($B1328,PM_ID,0)),""))</f>
        <v/>
      </c>
      <c r="G1328" s="8">
        <f>IF($B1328="","",IFERROR(INDEX(PM_Model,MATCH($B1328,PM_ID,0)),""))</f>
        <v/>
      </c>
      <c r="H1328" s="5" t="n"/>
      <c r="I1328" s="10" t="n"/>
      <c r="J1328" s="9" t="n"/>
      <c r="K1328" s="5" t="n"/>
      <c r="L1328" s="5" t="n"/>
      <c r="M1328" s="5" t="n"/>
      <c r="N1328" s="5" t="n"/>
      <c r="O1328" s="8">
        <f>IF($B1328="","",IF(AND($A1328&lt;&gt;"",COUNTIF(INV_ID,$A1328)&gt;1),"⚠ this Unit ID already exists",IF(AND($H1328&lt;&gt;"",COUNTIF(INV_Serial,$H1328)&gt;1),"⚠ this serial already exists",IF(COUNTIFS(INV_Product,$B1328,INV_No,$C1328)&gt;1,"⚠ piece number reused",""))))</f>
        <v/>
      </c>
      <c r="P1328" s="5" t="n"/>
    </row>
    <row r="1329">
      <c r="A1329" s="8">
        <f>IF(OR($B1329="",$C1329=""),"",IFERROR(INDEX(PM_Short,MATCH($B1329,PM_ID,0))&amp;"-"&amp;TEXT($C1329,"00"),"?? no such product"))</f>
        <v/>
      </c>
      <c r="B1329" s="5" t="n"/>
      <c r="C1329" s="5" t="n"/>
      <c r="D1329" s="8">
        <f>IF($B1329="","",IFERROR(INDEX(PM_Category,MATCH($B1329,PM_ID,0)),""))</f>
        <v/>
      </c>
      <c r="E1329" s="8">
        <f>IF($B1329="","",IFERROR(INDEX(PM_Subcategory,MATCH($B1329,PM_ID,0)),""))</f>
        <v/>
      </c>
      <c r="F1329" s="8">
        <f>IF($B1329="","",IFERROR(INDEX(PM_Brand,MATCH($B1329,PM_ID,0)),""))</f>
        <v/>
      </c>
      <c r="G1329" s="8">
        <f>IF($B1329="","",IFERROR(INDEX(PM_Model,MATCH($B1329,PM_ID,0)),""))</f>
        <v/>
      </c>
      <c r="H1329" s="5" t="n"/>
      <c r="I1329" s="10" t="n"/>
      <c r="J1329" s="9" t="n"/>
      <c r="K1329" s="5" t="n"/>
      <c r="L1329" s="5" t="n"/>
      <c r="M1329" s="5" t="n"/>
      <c r="N1329" s="5" t="n"/>
      <c r="O1329" s="8">
        <f>IF($B1329="","",IF(AND($A1329&lt;&gt;"",COUNTIF(INV_ID,$A1329)&gt;1),"⚠ this Unit ID already exists",IF(AND($H1329&lt;&gt;"",COUNTIF(INV_Serial,$H1329)&gt;1),"⚠ this serial already exists",IF(COUNTIFS(INV_Product,$B1329,INV_No,$C1329)&gt;1,"⚠ piece number reused",""))))</f>
        <v/>
      </c>
      <c r="P1329" s="5" t="n"/>
    </row>
    <row r="1330">
      <c r="A1330" s="8">
        <f>IF(OR($B1330="",$C1330=""),"",IFERROR(INDEX(PM_Short,MATCH($B1330,PM_ID,0))&amp;"-"&amp;TEXT($C1330,"00"),"?? no such product"))</f>
        <v/>
      </c>
      <c r="B1330" s="5" t="n"/>
      <c r="C1330" s="5" t="n"/>
      <c r="D1330" s="8">
        <f>IF($B1330="","",IFERROR(INDEX(PM_Category,MATCH($B1330,PM_ID,0)),""))</f>
        <v/>
      </c>
      <c r="E1330" s="8">
        <f>IF($B1330="","",IFERROR(INDEX(PM_Subcategory,MATCH($B1330,PM_ID,0)),""))</f>
        <v/>
      </c>
      <c r="F1330" s="8">
        <f>IF($B1330="","",IFERROR(INDEX(PM_Brand,MATCH($B1330,PM_ID,0)),""))</f>
        <v/>
      </c>
      <c r="G1330" s="8">
        <f>IF($B1330="","",IFERROR(INDEX(PM_Model,MATCH($B1330,PM_ID,0)),""))</f>
        <v/>
      </c>
      <c r="H1330" s="5" t="n"/>
      <c r="I1330" s="10" t="n"/>
      <c r="J1330" s="9" t="n"/>
      <c r="K1330" s="5" t="n"/>
      <c r="L1330" s="5" t="n"/>
      <c r="M1330" s="5" t="n"/>
      <c r="N1330" s="5" t="n"/>
      <c r="O1330" s="8">
        <f>IF($B1330="","",IF(AND($A1330&lt;&gt;"",COUNTIF(INV_ID,$A1330)&gt;1),"⚠ this Unit ID already exists",IF(AND($H1330&lt;&gt;"",COUNTIF(INV_Serial,$H1330)&gt;1),"⚠ this serial already exists",IF(COUNTIFS(INV_Product,$B1330,INV_No,$C1330)&gt;1,"⚠ piece number reused",""))))</f>
        <v/>
      </c>
      <c r="P1330" s="5" t="n"/>
    </row>
    <row r="1331">
      <c r="A1331" s="8">
        <f>IF(OR($B1331="",$C1331=""),"",IFERROR(INDEX(PM_Short,MATCH($B1331,PM_ID,0))&amp;"-"&amp;TEXT($C1331,"00"),"?? no such product"))</f>
        <v/>
      </c>
      <c r="B1331" s="5" t="n"/>
      <c r="C1331" s="5" t="n"/>
      <c r="D1331" s="8">
        <f>IF($B1331="","",IFERROR(INDEX(PM_Category,MATCH($B1331,PM_ID,0)),""))</f>
        <v/>
      </c>
      <c r="E1331" s="8">
        <f>IF($B1331="","",IFERROR(INDEX(PM_Subcategory,MATCH($B1331,PM_ID,0)),""))</f>
        <v/>
      </c>
      <c r="F1331" s="8">
        <f>IF($B1331="","",IFERROR(INDEX(PM_Brand,MATCH($B1331,PM_ID,0)),""))</f>
        <v/>
      </c>
      <c r="G1331" s="8">
        <f>IF($B1331="","",IFERROR(INDEX(PM_Model,MATCH($B1331,PM_ID,0)),""))</f>
        <v/>
      </c>
      <c r="H1331" s="5" t="n"/>
      <c r="I1331" s="10" t="n"/>
      <c r="J1331" s="9" t="n"/>
      <c r="K1331" s="5" t="n"/>
      <c r="L1331" s="5" t="n"/>
      <c r="M1331" s="5" t="n"/>
      <c r="N1331" s="5" t="n"/>
      <c r="O1331" s="8">
        <f>IF($B1331="","",IF(AND($A1331&lt;&gt;"",COUNTIF(INV_ID,$A1331)&gt;1),"⚠ this Unit ID already exists",IF(AND($H1331&lt;&gt;"",COUNTIF(INV_Serial,$H1331)&gt;1),"⚠ this serial already exists",IF(COUNTIFS(INV_Product,$B1331,INV_No,$C1331)&gt;1,"⚠ piece number reused",""))))</f>
        <v/>
      </c>
      <c r="P1331" s="5" t="n"/>
    </row>
    <row r="1332">
      <c r="A1332" s="8">
        <f>IF(OR($B1332="",$C1332=""),"",IFERROR(INDEX(PM_Short,MATCH($B1332,PM_ID,0))&amp;"-"&amp;TEXT($C1332,"00"),"?? no such product"))</f>
        <v/>
      </c>
      <c r="B1332" s="5" t="n"/>
      <c r="C1332" s="5" t="n"/>
      <c r="D1332" s="8">
        <f>IF($B1332="","",IFERROR(INDEX(PM_Category,MATCH($B1332,PM_ID,0)),""))</f>
        <v/>
      </c>
      <c r="E1332" s="8">
        <f>IF($B1332="","",IFERROR(INDEX(PM_Subcategory,MATCH($B1332,PM_ID,0)),""))</f>
        <v/>
      </c>
      <c r="F1332" s="8">
        <f>IF($B1332="","",IFERROR(INDEX(PM_Brand,MATCH($B1332,PM_ID,0)),""))</f>
        <v/>
      </c>
      <c r="G1332" s="8">
        <f>IF($B1332="","",IFERROR(INDEX(PM_Model,MATCH($B1332,PM_ID,0)),""))</f>
        <v/>
      </c>
      <c r="H1332" s="5" t="n"/>
      <c r="I1332" s="10" t="n"/>
      <c r="J1332" s="9" t="n"/>
      <c r="K1332" s="5" t="n"/>
      <c r="L1332" s="5" t="n"/>
      <c r="M1332" s="5" t="n"/>
      <c r="N1332" s="5" t="n"/>
      <c r="O1332" s="8">
        <f>IF($B1332="","",IF(AND($A1332&lt;&gt;"",COUNTIF(INV_ID,$A1332)&gt;1),"⚠ this Unit ID already exists",IF(AND($H1332&lt;&gt;"",COUNTIF(INV_Serial,$H1332)&gt;1),"⚠ this serial already exists",IF(COUNTIFS(INV_Product,$B1332,INV_No,$C1332)&gt;1,"⚠ piece number reused",""))))</f>
        <v/>
      </c>
      <c r="P1332" s="5" t="n"/>
    </row>
    <row r="1333">
      <c r="A1333" s="8">
        <f>IF(OR($B1333="",$C1333=""),"",IFERROR(INDEX(PM_Short,MATCH($B1333,PM_ID,0))&amp;"-"&amp;TEXT($C1333,"00"),"?? no such product"))</f>
        <v/>
      </c>
      <c r="B1333" s="5" t="n"/>
      <c r="C1333" s="5" t="n"/>
      <c r="D1333" s="8">
        <f>IF($B1333="","",IFERROR(INDEX(PM_Category,MATCH($B1333,PM_ID,0)),""))</f>
        <v/>
      </c>
      <c r="E1333" s="8">
        <f>IF($B1333="","",IFERROR(INDEX(PM_Subcategory,MATCH($B1333,PM_ID,0)),""))</f>
        <v/>
      </c>
      <c r="F1333" s="8">
        <f>IF($B1333="","",IFERROR(INDEX(PM_Brand,MATCH($B1333,PM_ID,0)),""))</f>
        <v/>
      </c>
      <c r="G1333" s="8">
        <f>IF($B1333="","",IFERROR(INDEX(PM_Model,MATCH($B1333,PM_ID,0)),""))</f>
        <v/>
      </c>
      <c r="H1333" s="5" t="n"/>
      <c r="I1333" s="10" t="n"/>
      <c r="J1333" s="9" t="n"/>
      <c r="K1333" s="5" t="n"/>
      <c r="L1333" s="5" t="n"/>
      <c r="M1333" s="5" t="n"/>
      <c r="N1333" s="5" t="n"/>
      <c r="O1333" s="8">
        <f>IF($B1333="","",IF(AND($A1333&lt;&gt;"",COUNTIF(INV_ID,$A1333)&gt;1),"⚠ this Unit ID already exists",IF(AND($H1333&lt;&gt;"",COUNTIF(INV_Serial,$H1333)&gt;1),"⚠ this serial already exists",IF(COUNTIFS(INV_Product,$B1333,INV_No,$C1333)&gt;1,"⚠ piece number reused",""))))</f>
        <v/>
      </c>
      <c r="P1333" s="5" t="n"/>
    </row>
    <row r="1334">
      <c r="A1334" s="8">
        <f>IF(OR($B1334="",$C1334=""),"",IFERROR(INDEX(PM_Short,MATCH($B1334,PM_ID,0))&amp;"-"&amp;TEXT($C1334,"00"),"?? no such product"))</f>
        <v/>
      </c>
      <c r="B1334" s="5" t="n"/>
      <c r="C1334" s="5" t="n"/>
      <c r="D1334" s="8">
        <f>IF($B1334="","",IFERROR(INDEX(PM_Category,MATCH($B1334,PM_ID,0)),""))</f>
        <v/>
      </c>
      <c r="E1334" s="8">
        <f>IF($B1334="","",IFERROR(INDEX(PM_Subcategory,MATCH($B1334,PM_ID,0)),""))</f>
        <v/>
      </c>
      <c r="F1334" s="8">
        <f>IF($B1334="","",IFERROR(INDEX(PM_Brand,MATCH($B1334,PM_ID,0)),""))</f>
        <v/>
      </c>
      <c r="G1334" s="8">
        <f>IF($B1334="","",IFERROR(INDEX(PM_Model,MATCH($B1334,PM_ID,0)),""))</f>
        <v/>
      </c>
      <c r="H1334" s="5" t="n"/>
      <c r="I1334" s="10" t="n"/>
      <c r="J1334" s="9" t="n"/>
      <c r="K1334" s="5" t="n"/>
      <c r="L1334" s="5" t="n"/>
      <c r="M1334" s="5" t="n"/>
      <c r="N1334" s="5" t="n"/>
      <c r="O1334" s="8">
        <f>IF($B1334="","",IF(AND($A1334&lt;&gt;"",COUNTIF(INV_ID,$A1334)&gt;1),"⚠ this Unit ID already exists",IF(AND($H1334&lt;&gt;"",COUNTIF(INV_Serial,$H1334)&gt;1),"⚠ this serial already exists",IF(COUNTIFS(INV_Product,$B1334,INV_No,$C1334)&gt;1,"⚠ piece number reused",""))))</f>
        <v/>
      </c>
      <c r="P1334" s="5" t="n"/>
    </row>
    <row r="1335">
      <c r="A1335" s="8">
        <f>IF(OR($B1335="",$C1335=""),"",IFERROR(INDEX(PM_Short,MATCH($B1335,PM_ID,0))&amp;"-"&amp;TEXT($C1335,"00"),"?? no such product"))</f>
        <v/>
      </c>
      <c r="B1335" s="5" t="n"/>
      <c r="C1335" s="5" t="n"/>
      <c r="D1335" s="8">
        <f>IF($B1335="","",IFERROR(INDEX(PM_Category,MATCH($B1335,PM_ID,0)),""))</f>
        <v/>
      </c>
      <c r="E1335" s="8">
        <f>IF($B1335="","",IFERROR(INDEX(PM_Subcategory,MATCH($B1335,PM_ID,0)),""))</f>
        <v/>
      </c>
      <c r="F1335" s="8">
        <f>IF($B1335="","",IFERROR(INDEX(PM_Brand,MATCH($B1335,PM_ID,0)),""))</f>
        <v/>
      </c>
      <c r="G1335" s="8">
        <f>IF($B1335="","",IFERROR(INDEX(PM_Model,MATCH($B1335,PM_ID,0)),""))</f>
        <v/>
      </c>
      <c r="H1335" s="5" t="n"/>
      <c r="I1335" s="10" t="n"/>
      <c r="J1335" s="9" t="n"/>
      <c r="K1335" s="5" t="n"/>
      <c r="L1335" s="5" t="n"/>
      <c r="M1335" s="5" t="n"/>
      <c r="N1335" s="5" t="n"/>
      <c r="O1335" s="8">
        <f>IF($B1335="","",IF(AND($A1335&lt;&gt;"",COUNTIF(INV_ID,$A1335)&gt;1),"⚠ this Unit ID already exists",IF(AND($H1335&lt;&gt;"",COUNTIF(INV_Serial,$H1335)&gt;1),"⚠ this serial already exists",IF(COUNTIFS(INV_Product,$B1335,INV_No,$C1335)&gt;1,"⚠ piece number reused",""))))</f>
        <v/>
      </c>
      <c r="P1335" s="5" t="n"/>
    </row>
    <row r="1336">
      <c r="A1336" s="8">
        <f>IF(OR($B1336="",$C1336=""),"",IFERROR(INDEX(PM_Short,MATCH($B1336,PM_ID,0))&amp;"-"&amp;TEXT($C1336,"00"),"?? no such product"))</f>
        <v/>
      </c>
      <c r="B1336" s="5" t="n"/>
      <c r="C1336" s="5" t="n"/>
      <c r="D1336" s="8">
        <f>IF($B1336="","",IFERROR(INDEX(PM_Category,MATCH($B1336,PM_ID,0)),""))</f>
        <v/>
      </c>
      <c r="E1336" s="8">
        <f>IF($B1336="","",IFERROR(INDEX(PM_Subcategory,MATCH($B1336,PM_ID,0)),""))</f>
        <v/>
      </c>
      <c r="F1336" s="8">
        <f>IF($B1336="","",IFERROR(INDEX(PM_Brand,MATCH($B1336,PM_ID,0)),""))</f>
        <v/>
      </c>
      <c r="G1336" s="8">
        <f>IF($B1336="","",IFERROR(INDEX(PM_Model,MATCH($B1336,PM_ID,0)),""))</f>
        <v/>
      </c>
      <c r="H1336" s="5" t="n"/>
      <c r="I1336" s="10" t="n"/>
      <c r="J1336" s="9" t="n"/>
      <c r="K1336" s="5" t="n"/>
      <c r="L1336" s="5" t="n"/>
      <c r="M1336" s="5" t="n"/>
      <c r="N1336" s="5" t="n"/>
      <c r="O1336" s="8">
        <f>IF($B1336="","",IF(AND($A1336&lt;&gt;"",COUNTIF(INV_ID,$A1336)&gt;1),"⚠ this Unit ID already exists",IF(AND($H1336&lt;&gt;"",COUNTIF(INV_Serial,$H1336)&gt;1),"⚠ this serial already exists",IF(COUNTIFS(INV_Product,$B1336,INV_No,$C1336)&gt;1,"⚠ piece number reused",""))))</f>
        <v/>
      </c>
      <c r="P1336" s="5" t="n"/>
    </row>
    <row r="1337">
      <c r="A1337" s="8">
        <f>IF(OR($B1337="",$C1337=""),"",IFERROR(INDEX(PM_Short,MATCH($B1337,PM_ID,0))&amp;"-"&amp;TEXT($C1337,"00"),"?? no such product"))</f>
        <v/>
      </c>
      <c r="B1337" s="5" t="n"/>
      <c r="C1337" s="5" t="n"/>
      <c r="D1337" s="8">
        <f>IF($B1337="","",IFERROR(INDEX(PM_Category,MATCH($B1337,PM_ID,0)),""))</f>
        <v/>
      </c>
      <c r="E1337" s="8">
        <f>IF($B1337="","",IFERROR(INDEX(PM_Subcategory,MATCH($B1337,PM_ID,0)),""))</f>
        <v/>
      </c>
      <c r="F1337" s="8">
        <f>IF($B1337="","",IFERROR(INDEX(PM_Brand,MATCH($B1337,PM_ID,0)),""))</f>
        <v/>
      </c>
      <c r="G1337" s="8">
        <f>IF($B1337="","",IFERROR(INDEX(PM_Model,MATCH($B1337,PM_ID,0)),""))</f>
        <v/>
      </c>
      <c r="H1337" s="5" t="n"/>
      <c r="I1337" s="10" t="n"/>
      <c r="J1337" s="9" t="n"/>
      <c r="K1337" s="5" t="n"/>
      <c r="L1337" s="5" t="n"/>
      <c r="M1337" s="5" t="n"/>
      <c r="N1337" s="5" t="n"/>
      <c r="O1337" s="8">
        <f>IF($B1337="","",IF(AND($A1337&lt;&gt;"",COUNTIF(INV_ID,$A1337)&gt;1),"⚠ this Unit ID already exists",IF(AND($H1337&lt;&gt;"",COUNTIF(INV_Serial,$H1337)&gt;1),"⚠ this serial already exists",IF(COUNTIFS(INV_Product,$B1337,INV_No,$C1337)&gt;1,"⚠ piece number reused",""))))</f>
        <v/>
      </c>
      <c r="P1337" s="5" t="n"/>
    </row>
    <row r="1338">
      <c r="A1338" s="8">
        <f>IF(OR($B1338="",$C1338=""),"",IFERROR(INDEX(PM_Short,MATCH($B1338,PM_ID,0))&amp;"-"&amp;TEXT($C1338,"00"),"?? no such product"))</f>
        <v/>
      </c>
      <c r="B1338" s="5" t="n"/>
      <c r="C1338" s="5" t="n"/>
      <c r="D1338" s="8">
        <f>IF($B1338="","",IFERROR(INDEX(PM_Category,MATCH($B1338,PM_ID,0)),""))</f>
        <v/>
      </c>
      <c r="E1338" s="8">
        <f>IF($B1338="","",IFERROR(INDEX(PM_Subcategory,MATCH($B1338,PM_ID,0)),""))</f>
        <v/>
      </c>
      <c r="F1338" s="8">
        <f>IF($B1338="","",IFERROR(INDEX(PM_Brand,MATCH($B1338,PM_ID,0)),""))</f>
        <v/>
      </c>
      <c r="G1338" s="8">
        <f>IF($B1338="","",IFERROR(INDEX(PM_Model,MATCH($B1338,PM_ID,0)),""))</f>
        <v/>
      </c>
      <c r="H1338" s="5" t="n"/>
      <c r="I1338" s="10" t="n"/>
      <c r="J1338" s="9" t="n"/>
      <c r="K1338" s="5" t="n"/>
      <c r="L1338" s="5" t="n"/>
      <c r="M1338" s="5" t="n"/>
      <c r="N1338" s="5" t="n"/>
      <c r="O1338" s="8">
        <f>IF($B1338="","",IF(AND($A1338&lt;&gt;"",COUNTIF(INV_ID,$A1338)&gt;1),"⚠ this Unit ID already exists",IF(AND($H1338&lt;&gt;"",COUNTIF(INV_Serial,$H1338)&gt;1),"⚠ this serial already exists",IF(COUNTIFS(INV_Product,$B1338,INV_No,$C1338)&gt;1,"⚠ piece number reused",""))))</f>
        <v/>
      </c>
      <c r="P1338" s="5" t="n"/>
    </row>
    <row r="1339">
      <c r="A1339" s="8">
        <f>IF(OR($B1339="",$C1339=""),"",IFERROR(INDEX(PM_Short,MATCH($B1339,PM_ID,0))&amp;"-"&amp;TEXT($C1339,"00"),"?? no such product"))</f>
        <v/>
      </c>
      <c r="B1339" s="5" t="n"/>
      <c r="C1339" s="5" t="n"/>
      <c r="D1339" s="8">
        <f>IF($B1339="","",IFERROR(INDEX(PM_Category,MATCH($B1339,PM_ID,0)),""))</f>
        <v/>
      </c>
      <c r="E1339" s="8">
        <f>IF($B1339="","",IFERROR(INDEX(PM_Subcategory,MATCH($B1339,PM_ID,0)),""))</f>
        <v/>
      </c>
      <c r="F1339" s="8">
        <f>IF($B1339="","",IFERROR(INDEX(PM_Brand,MATCH($B1339,PM_ID,0)),""))</f>
        <v/>
      </c>
      <c r="G1339" s="8">
        <f>IF($B1339="","",IFERROR(INDEX(PM_Model,MATCH($B1339,PM_ID,0)),""))</f>
        <v/>
      </c>
      <c r="H1339" s="5" t="n"/>
      <c r="I1339" s="10" t="n"/>
      <c r="J1339" s="9" t="n"/>
      <c r="K1339" s="5" t="n"/>
      <c r="L1339" s="5" t="n"/>
      <c r="M1339" s="5" t="n"/>
      <c r="N1339" s="5" t="n"/>
      <c r="O1339" s="8">
        <f>IF($B1339="","",IF(AND($A1339&lt;&gt;"",COUNTIF(INV_ID,$A1339)&gt;1),"⚠ this Unit ID already exists",IF(AND($H1339&lt;&gt;"",COUNTIF(INV_Serial,$H1339)&gt;1),"⚠ this serial already exists",IF(COUNTIFS(INV_Product,$B1339,INV_No,$C1339)&gt;1,"⚠ piece number reused",""))))</f>
        <v/>
      </c>
      <c r="P1339" s="5" t="n"/>
    </row>
    <row r="1340">
      <c r="A1340" s="8">
        <f>IF(OR($B1340="",$C1340=""),"",IFERROR(INDEX(PM_Short,MATCH($B1340,PM_ID,0))&amp;"-"&amp;TEXT($C1340,"00"),"?? no such product"))</f>
        <v/>
      </c>
      <c r="B1340" s="5" t="n"/>
      <c r="C1340" s="5" t="n"/>
      <c r="D1340" s="8">
        <f>IF($B1340="","",IFERROR(INDEX(PM_Category,MATCH($B1340,PM_ID,0)),""))</f>
        <v/>
      </c>
      <c r="E1340" s="8">
        <f>IF($B1340="","",IFERROR(INDEX(PM_Subcategory,MATCH($B1340,PM_ID,0)),""))</f>
        <v/>
      </c>
      <c r="F1340" s="8">
        <f>IF($B1340="","",IFERROR(INDEX(PM_Brand,MATCH($B1340,PM_ID,0)),""))</f>
        <v/>
      </c>
      <c r="G1340" s="8">
        <f>IF($B1340="","",IFERROR(INDEX(PM_Model,MATCH($B1340,PM_ID,0)),""))</f>
        <v/>
      </c>
      <c r="H1340" s="5" t="n"/>
      <c r="I1340" s="10" t="n"/>
      <c r="J1340" s="9" t="n"/>
      <c r="K1340" s="5" t="n"/>
      <c r="L1340" s="5" t="n"/>
      <c r="M1340" s="5" t="n"/>
      <c r="N1340" s="5" t="n"/>
      <c r="O1340" s="8">
        <f>IF($B1340="","",IF(AND($A1340&lt;&gt;"",COUNTIF(INV_ID,$A1340)&gt;1),"⚠ this Unit ID already exists",IF(AND($H1340&lt;&gt;"",COUNTIF(INV_Serial,$H1340)&gt;1),"⚠ this serial already exists",IF(COUNTIFS(INV_Product,$B1340,INV_No,$C1340)&gt;1,"⚠ piece number reused",""))))</f>
        <v/>
      </c>
      <c r="P1340" s="5" t="n"/>
    </row>
    <row r="1341">
      <c r="A1341" s="8">
        <f>IF(OR($B1341="",$C1341=""),"",IFERROR(INDEX(PM_Short,MATCH($B1341,PM_ID,0))&amp;"-"&amp;TEXT($C1341,"00"),"?? no such product"))</f>
        <v/>
      </c>
      <c r="B1341" s="5" t="n"/>
      <c r="C1341" s="5" t="n"/>
      <c r="D1341" s="8">
        <f>IF($B1341="","",IFERROR(INDEX(PM_Category,MATCH($B1341,PM_ID,0)),""))</f>
        <v/>
      </c>
      <c r="E1341" s="8">
        <f>IF($B1341="","",IFERROR(INDEX(PM_Subcategory,MATCH($B1341,PM_ID,0)),""))</f>
        <v/>
      </c>
      <c r="F1341" s="8">
        <f>IF($B1341="","",IFERROR(INDEX(PM_Brand,MATCH($B1341,PM_ID,0)),""))</f>
        <v/>
      </c>
      <c r="G1341" s="8">
        <f>IF($B1341="","",IFERROR(INDEX(PM_Model,MATCH($B1341,PM_ID,0)),""))</f>
        <v/>
      </c>
      <c r="H1341" s="5" t="n"/>
      <c r="I1341" s="10" t="n"/>
      <c r="J1341" s="9" t="n"/>
      <c r="K1341" s="5" t="n"/>
      <c r="L1341" s="5" t="n"/>
      <c r="M1341" s="5" t="n"/>
      <c r="N1341" s="5" t="n"/>
      <c r="O1341" s="8">
        <f>IF($B1341="","",IF(AND($A1341&lt;&gt;"",COUNTIF(INV_ID,$A1341)&gt;1),"⚠ this Unit ID already exists",IF(AND($H1341&lt;&gt;"",COUNTIF(INV_Serial,$H1341)&gt;1),"⚠ this serial already exists",IF(COUNTIFS(INV_Product,$B1341,INV_No,$C1341)&gt;1,"⚠ piece number reused",""))))</f>
        <v/>
      </c>
      <c r="P1341" s="5" t="n"/>
    </row>
    <row r="1342">
      <c r="A1342" s="8">
        <f>IF(OR($B1342="",$C1342=""),"",IFERROR(INDEX(PM_Short,MATCH($B1342,PM_ID,0))&amp;"-"&amp;TEXT($C1342,"00"),"?? no such product"))</f>
        <v/>
      </c>
      <c r="B1342" s="5" t="n"/>
      <c r="C1342" s="5" t="n"/>
      <c r="D1342" s="8">
        <f>IF($B1342="","",IFERROR(INDEX(PM_Category,MATCH($B1342,PM_ID,0)),""))</f>
        <v/>
      </c>
      <c r="E1342" s="8">
        <f>IF($B1342="","",IFERROR(INDEX(PM_Subcategory,MATCH($B1342,PM_ID,0)),""))</f>
        <v/>
      </c>
      <c r="F1342" s="8">
        <f>IF($B1342="","",IFERROR(INDEX(PM_Brand,MATCH($B1342,PM_ID,0)),""))</f>
        <v/>
      </c>
      <c r="G1342" s="8">
        <f>IF($B1342="","",IFERROR(INDEX(PM_Model,MATCH($B1342,PM_ID,0)),""))</f>
        <v/>
      </c>
      <c r="H1342" s="5" t="n"/>
      <c r="I1342" s="10" t="n"/>
      <c r="J1342" s="9" t="n"/>
      <c r="K1342" s="5" t="n"/>
      <c r="L1342" s="5" t="n"/>
      <c r="M1342" s="5" t="n"/>
      <c r="N1342" s="5" t="n"/>
      <c r="O1342" s="8">
        <f>IF($B1342="","",IF(AND($A1342&lt;&gt;"",COUNTIF(INV_ID,$A1342)&gt;1),"⚠ this Unit ID already exists",IF(AND($H1342&lt;&gt;"",COUNTIF(INV_Serial,$H1342)&gt;1),"⚠ this serial already exists",IF(COUNTIFS(INV_Product,$B1342,INV_No,$C1342)&gt;1,"⚠ piece number reused",""))))</f>
        <v/>
      </c>
      <c r="P1342" s="5" t="n"/>
    </row>
    <row r="1343">
      <c r="A1343" s="8">
        <f>IF(OR($B1343="",$C1343=""),"",IFERROR(INDEX(PM_Short,MATCH($B1343,PM_ID,0))&amp;"-"&amp;TEXT($C1343,"00"),"?? no such product"))</f>
        <v/>
      </c>
      <c r="B1343" s="5" t="n"/>
      <c r="C1343" s="5" t="n"/>
      <c r="D1343" s="8">
        <f>IF($B1343="","",IFERROR(INDEX(PM_Category,MATCH($B1343,PM_ID,0)),""))</f>
        <v/>
      </c>
      <c r="E1343" s="8">
        <f>IF($B1343="","",IFERROR(INDEX(PM_Subcategory,MATCH($B1343,PM_ID,0)),""))</f>
        <v/>
      </c>
      <c r="F1343" s="8">
        <f>IF($B1343="","",IFERROR(INDEX(PM_Brand,MATCH($B1343,PM_ID,0)),""))</f>
        <v/>
      </c>
      <c r="G1343" s="8">
        <f>IF($B1343="","",IFERROR(INDEX(PM_Model,MATCH($B1343,PM_ID,0)),""))</f>
        <v/>
      </c>
      <c r="H1343" s="5" t="n"/>
      <c r="I1343" s="10" t="n"/>
      <c r="J1343" s="9" t="n"/>
      <c r="K1343" s="5" t="n"/>
      <c r="L1343" s="5" t="n"/>
      <c r="M1343" s="5" t="n"/>
      <c r="N1343" s="5" t="n"/>
      <c r="O1343" s="8">
        <f>IF($B1343="","",IF(AND($A1343&lt;&gt;"",COUNTIF(INV_ID,$A1343)&gt;1),"⚠ this Unit ID already exists",IF(AND($H1343&lt;&gt;"",COUNTIF(INV_Serial,$H1343)&gt;1),"⚠ this serial already exists",IF(COUNTIFS(INV_Product,$B1343,INV_No,$C1343)&gt;1,"⚠ piece number reused",""))))</f>
        <v/>
      </c>
      <c r="P1343" s="5" t="n"/>
    </row>
    <row r="1344">
      <c r="A1344" s="8">
        <f>IF(OR($B1344="",$C1344=""),"",IFERROR(INDEX(PM_Short,MATCH($B1344,PM_ID,0))&amp;"-"&amp;TEXT($C1344,"00"),"?? no such product"))</f>
        <v/>
      </c>
      <c r="B1344" s="5" t="n"/>
      <c r="C1344" s="5" t="n"/>
      <c r="D1344" s="8">
        <f>IF($B1344="","",IFERROR(INDEX(PM_Category,MATCH($B1344,PM_ID,0)),""))</f>
        <v/>
      </c>
      <c r="E1344" s="8">
        <f>IF($B1344="","",IFERROR(INDEX(PM_Subcategory,MATCH($B1344,PM_ID,0)),""))</f>
        <v/>
      </c>
      <c r="F1344" s="8">
        <f>IF($B1344="","",IFERROR(INDEX(PM_Brand,MATCH($B1344,PM_ID,0)),""))</f>
        <v/>
      </c>
      <c r="G1344" s="8">
        <f>IF($B1344="","",IFERROR(INDEX(PM_Model,MATCH($B1344,PM_ID,0)),""))</f>
        <v/>
      </c>
      <c r="H1344" s="5" t="n"/>
      <c r="I1344" s="10" t="n"/>
      <c r="J1344" s="9" t="n"/>
      <c r="K1344" s="5" t="n"/>
      <c r="L1344" s="5" t="n"/>
      <c r="M1344" s="5" t="n"/>
      <c r="N1344" s="5" t="n"/>
      <c r="O1344" s="8">
        <f>IF($B1344="","",IF(AND($A1344&lt;&gt;"",COUNTIF(INV_ID,$A1344)&gt;1),"⚠ this Unit ID already exists",IF(AND($H1344&lt;&gt;"",COUNTIF(INV_Serial,$H1344)&gt;1),"⚠ this serial already exists",IF(COUNTIFS(INV_Product,$B1344,INV_No,$C1344)&gt;1,"⚠ piece number reused",""))))</f>
        <v/>
      </c>
      <c r="P1344" s="5" t="n"/>
    </row>
    <row r="1345">
      <c r="A1345" s="8">
        <f>IF(OR($B1345="",$C1345=""),"",IFERROR(INDEX(PM_Short,MATCH($B1345,PM_ID,0))&amp;"-"&amp;TEXT($C1345,"00"),"?? no such product"))</f>
        <v/>
      </c>
      <c r="B1345" s="5" t="n"/>
      <c r="C1345" s="5" t="n"/>
      <c r="D1345" s="8">
        <f>IF($B1345="","",IFERROR(INDEX(PM_Category,MATCH($B1345,PM_ID,0)),""))</f>
        <v/>
      </c>
      <c r="E1345" s="8">
        <f>IF($B1345="","",IFERROR(INDEX(PM_Subcategory,MATCH($B1345,PM_ID,0)),""))</f>
        <v/>
      </c>
      <c r="F1345" s="8">
        <f>IF($B1345="","",IFERROR(INDEX(PM_Brand,MATCH($B1345,PM_ID,0)),""))</f>
        <v/>
      </c>
      <c r="G1345" s="8">
        <f>IF($B1345="","",IFERROR(INDEX(PM_Model,MATCH($B1345,PM_ID,0)),""))</f>
        <v/>
      </c>
      <c r="H1345" s="5" t="n"/>
      <c r="I1345" s="10" t="n"/>
      <c r="J1345" s="9" t="n"/>
      <c r="K1345" s="5" t="n"/>
      <c r="L1345" s="5" t="n"/>
      <c r="M1345" s="5" t="n"/>
      <c r="N1345" s="5" t="n"/>
      <c r="O1345" s="8">
        <f>IF($B1345="","",IF(AND($A1345&lt;&gt;"",COUNTIF(INV_ID,$A1345)&gt;1),"⚠ this Unit ID already exists",IF(AND($H1345&lt;&gt;"",COUNTIF(INV_Serial,$H1345)&gt;1),"⚠ this serial already exists",IF(COUNTIFS(INV_Product,$B1345,INV_No,$C1345)&gt;1,"⚠ piece number reused",""))))</f>
        <v/>
      </c>
      <c r="P1345" s="5" t="n"/>
    </row>
    <row r="1346">
      <c r="A1346" s="8">
        <f>IF(OR($B1346="",$C1346=""),"",IFERROR(INDEX(PM_Short,MATCH($B1346,PM_ID,0))&amp;"-"&amp;TEXT($C1346,"00"),"?? no such product"))</f>
        <v/>
      </c>
      <c r="B1346" s="5" t="n"/>
      <c r="C1346" s="5" t="n"/>
      <c r="D1346" s="8">
        <f>IF($B1346="","",IFERROR(INDEX(PM_Category,MATCH($B1346,PM_ID,0)),""))</f>
        <v/>
      </c>
      <c r="E1346" s="8">
        <f>IF($B1346="","",IFERROR(INDEX(PM_Subcategory,MATCH($B1346,PM_ID,0)),""))</f>
        <v/>
      </c>
      <c r="F1346" s="8">
        <f>IF($B1346="","",IFERROR(INDEX(PM_Brand,MATCH($B1346,PM_ID,0)),""))</f>
        <v/>
      </c>
      <c r="G1346" s="8">
        <f>IF($B1346="","",IFERROR(INDEX(PM_Model,MATCH($B1346,PM_ID,0)),""))</f>
        <v/>
      </c>
      <c r="H1346" s="5" t="n"/>
      <c r="I1346" s="10" t="n"/>
      <c r="J1346" s="9" t="n"/>
      <c r="K1346" s="5" t="n"/>
      <c r="L1346" s="5" t="n"/>
      <c r="M1346" s="5" t="n"/>
      <c r="N1346" s="5" t="n"/>
      <c r="O1346" s="8">
        <f>IF($B1346="","",IF(AND($A1346&lt;&gt;"",COUNTIF(INV_ID,$A1346)&gt;1),"⚠ this Unit ID already exists",IF(AND($H1346&lt;&gt;"",COUNTIF(INV_Serial,$H1346)&gt;1),"⚠ this serial already exists",IF(COUNTIFS(INV_Product,$B1346,INV_No,$C1346)&gt;1,"⚠ piece number reused",""))))</f>
        <v/>
      </c>
      <c r="P1346" s="5" t="n"/>
    </row>
    <row r="1347">
      <c r="A1347" s="8">
        <f>IF(OR($B1347="",$C1347=""),"",IFERROR(INDEX(PM_Short,MATCH($B1347,PM_ID,0))&amp;"-"&amp;TEXT($C1347,"00"),"?? no such product"))</f>
        <v/>
      </c>
      <c r="B1347" s="5" t="n"/>
      <c r="C1347" s="5" t="n"/>
      <c r="D1347" s="8">
        <f>IF($B1347="","",IFERROR(INDEX(PM_Category,MATCH($B1347,PM_ID,0)),""))</f>
        <v/>
      </c>
      <c r="E1347" s="8">
        <f>IF($B1347="","",IFERROR(INDEX(PM_Subcategory,MATCH($B1347,PM_ID,0)),""))</f>
        <v/>
      </c>
      <c r="F1347" s="8">
        <f>IF($B1347="","",IFERROR(INDEX(PM_Brand,MATCH($B1347,PM_ID,0)),""))</f>
        <v/>
      </c>
      <c r="G1347" s="8">
        <f>IF($B1347="","",IFERROR(INDEX(PM_Model,MATCH($B1347,PM_ID,0)),""))</f>
        <v/>
      </c>
      <c r="H1347" s="5" t="n"/>
      <c r="I1347" s="10" t="n"/>
      <c r="J1347" s="9" t="n"/>
      <c r="K1347" s="5" t="n"/>
      <c r="L1347" s="5" t="n"/>
      <c r="M1347" s="5" t="n"/>
      <c r="N1347" s="5" t="n"/>
      <c r="O1347" s="8">
        <f>IF($B1347="","",IF(AND($A1347&lt;&gt;"",COUNTIF(INV_ID,$A1347)&gt;1),"⚠ this Unit ID already exists",IF(AND($H1347&lt;&gt;"",COUNTIF(INV_Serial,$H1347)&gt;1),"⚠ this serial already exists",IF(COUNTIFS(INV_Product,$B1347,INV_No,$C1347)&gt;1,"⚠ piece number reused",""))))</f>
        <v/>
      </c>
      <c r="P1347" s="5" t="n"/>
    </row>
    <row r="1348">
      <c r="A1348" s="8">
        <f>IF(OR($B1348="",$C1348=""),"",IFERROR(INDEX(PM_Short,MATCH($B1348,PM_ID,0))&amp;"-"&amp;TEXT($C1348,"00"),"?? no such product"))</f>
        <v/>
      </c>
      <c r="B1348" s="5" t="n"/>
      <c r="C1348" s="5" t="n"/>
      <c r="D1348" s="8">
        <f>IF($B1348="","",IFERROR(INDEX(PM_Category,MATCH($B1348,PM_ID,0)),""))</f>
        <v/>
      </c>
      <c r="E1348" s="8">
        <f>IF($B1348="","",IFERROR(INDEX(PM_Subcategory,MATCH($B1348,PM_ID,0)),""))</f>
        <v/>
      </c>
      <c r="F1348" s="8">
        <f>IF($B1348="","",IFERROR(INDEX(PM_Brand,MATCH($B1348,PM_ID,0)),""))</f>
        <v/>
      </c>
      <c r="G1348" s="8">
        <f>IF($B1348="","",IFERROR(INDEX(PM_Model,MATCH($B1348,PM_ID,0)),""))</f>
        <v/>
      </c>
      <c r="H1348" s="5" t="n"/>
      <c r="I1348" s="10" t="n"/>
      <c r="J1348" s="9" t="n"/>
      <c r="K1348" s="5" t="n"/>
      <c r="L1348" s="5" t="n"/>
      <c r="M1348" s="5" t="n"/>
      <c r="N1348" s="5" t="n"/>
      <c r="O1348" s="8">
        <f>IF($B1348="","",IF(AND($A1348&lt;&gt;"",COUNTIF(INV_ID,$A1348)&gt;1),"⚠ this Unit ID already exists",IF(AND($H1348&lt;&gt;"",COUNTIF(INV_Serial,$H1348)&gt;1),"⚠ this serial already exists",IF(COUNTIFS(INV_Product,$B1348,INV_No,$C1348)&gt;1,"⚠ piece number reused",""))))</f>
        <v/>
      </c>
      <c r="P1348" s="5" t="n"/>
    </row>
    <row r="1349">
      <c r="A1349" s="8">
        <f>IF(OR($B1349="",$C1349=""),"",IFERROR(INDEX(PM_Short,MATCH($B1349,PM_ID,0))&amp;"-"&amp;TEXT($C1349,"00"),"?? no such product"))</f>
        <v/>
      </c>
      <c r="B1349" s="5" t="n"/>
      <c r="C1349" s="5" t="n"/>
      <c r="D1349" s="8">
        <f>IF($B1349="","",IFERROR(INDEX(PM_Category,MATCH($B1349,PM_ID,0)),""))</f>
        <v/>
      </c>
      <c r="E1349" s="8">
        <f>IF($B1349="","",IFERROR(INDEX(PM_Subcategory,MATCH($B1349,PM_ID,0)),""))</f>
        <v/>
      </c>
      <c r="F1349" s="8">
        <f>IF($B1349="","",IFERROR(INDEX(PM_Brand,MATCH($B1349,PM_ID,0)),""))</f>
        <v/>
      </c>
      <c r="G1349" s="8">
        <f>IF($B1349="","",IFERROR(INDEX(PM_Model,MATCH($B1349,PM_ID,0)),""))</f>
        <v/>
      </c>
      <c r="H1349" s="5" t="n"/>
      <c r="I1349" s="10" t="n"/>
      <c r="J1349" s="9" t="n"/>
      <c r="K1349" s="5" t="n"/>
      <c r="L1349" s="5" t="n"/>
      <c r="M1349" s="5" t="n"/>
      <c r="N1349" s="5" t="n"/>
      <c r="O1349" s="8">
        <f>IF($B1349="","",IF(AND($A1349&lt;&gt;"",COUNTIF(INV_ID,$A1349)&gt;1),"⚠ this Unit ID already exists",IF(AND($H1349&lt;&gt;"",COUNTIF(INV_Serial,$H1349)&gt;1),"⚠ this serial already exists",IF(COUNTIFS(INV_Product,$B1349,INV_No,$C1349)&gt;1,"⚠ piece number reused",""))))</f>
        <v/>
      </c>
      <c r="P1349" s="5" t="n"/>
    </row>
    <row r="1350">
      <c r="A1350" s="8">
        <f>IF(OR($B1350="",$C1350=""),"",IFERROR(INDEX(PM_Short,MATCH($B1350,PM_ID,0))&amp;"-"&amp;TEXT($C1350,"00"),"?? no such product"))</f>
        <v/>
      </c>
      <c r="B1350" s="5" t="n"/>
      <c r="C1350" s="5" t="n"/>
      <c r="D1350" s="8">
        <f>IF($B1350="","",IFERROR(INDEX(PM_Category,MATCH($B1350,PM_ID,0)),""))</f>
        <v/>
      </c>
      <c r="E1350" s="8">
        <f>IF($B1350="","",IFERROR(INDEX(PM_Subcategory,MATCH($B1350,PM_ID,0)),""))</f>
        <v/>
      </c>
      <c r="F1350" s="8">
        <f>IF($B1350="","",IFERROR(INDEX(PM_Brand,MATCH($B1350,PM_ID,0)),""))</f>
        <v/>
      </c>
      <c r="G1350" s="8">
        <f>IF($B1350="","",IFERROR(INDEX(PM_Model,MATCH($B1350,PM_ID,0)),""))</f>
        <v/>
      </c>
      <c r="H1350" s="5" t="n"/>
      <c r="I1350" s="10" t="n"/>
      <c r="J1350" s="9" t="n"/>
      <c r="K1350" s="5" t="n"/>
      <c r="L1350" s="5" t="n"/>
      <c r="M1350" s="5" t="n"/>
      <c r="N1350" s="5" t="n"/>
      <c r="O1350" s="8">
        <f>IF($B1350="","",IF(AND($A1350&lt;&gt;"",COUNTIF(INV_ID,$A1350)&gt;1),"⚠ this Unit ID already exists",IF(AND($H1350&lt;&gt;"",COUNTIF(INV_Serial,$H1350)&gt;1),"⚠ this serial already exists",IF(COUNTIFS(INV_Product,$B1350,INV_No,$C1350)&gt;1,"⚠ piece number reused",""))))</f>
        <v/>
      </c>
      <c r="P1350" s="5" t="n"/>
    </row>
    <row r="1351">
      <c r="A1351" s="8">
        <f>IF(OR($B1351="",$C1351=""),"",IFERROR(INDEX(PM_Short,MATCH($B1351,PM_ID,0))&amp;"-"&amp;TEXT($C1351,"00"),"?? no such product"))</f>
        <v/>
      </c>
      <c r="B1351" s="5" t="n"/>
      <c r="C1351" s="5" t="n"/>
      <c r="D1351" s="8">
        <f>IF($B1351="","",IFERROR(INDEX(PM_Category,MATCH($B1351,PM_ID,0)),""))</f>
        <v/>
      </c>
      <c r="E1351" s="8">
        <f>IF($B1351="","",IFERROR(INDEX(PM_Subcategory,MATCH($B1351,PM_ID,0)),""))</f>
        <v/>
      </c>
      <c r="F1351" s="8">
        <f>IF($B1351="","",IFERROR(INDEX(PM_Brand,MATCH($B1351,PM_ID,0)),""))</f>
        <v/>
      </c>
      <c r="G1351" s="8">
        <f>IF($B1351="","",IFERROR(INDEX(PM_Model,MATCH($B1351,PM_ID,0)),""))</f>
        <v/>
      </c>
      <c r="H1351" s="5" t="n"/>
      <c r="I1351" s="10" t="n"/>
      <c r="J1351" s="9" t="n"/>
      <c r="K1351" s="5" t="n"/>
      <c r="L1351" s="5" t="n"/>
      <c r="M1351" s="5" t="n"/>
      <c r="N1351" s="5" t="n"/>
      <c r="O1351" s="8">
        <f>IF($B1351="","",IF(AND($A1351&lt;&gt;"",COUNTIF(INV_ID,$A1351)&gt;1),"⚠ this Unit ID already exists",IF(AND($H1351&lt;&gt;"",COUNTIF(INV_Serial,$H1351)&gt;1),"⚠ this serial already exists",IF(COUNTIFS(INV_Product,$B1351,INV_No,$C1351)&gt;1,"⚠ piece number reused",""))))</f>
        <v/>
      </c>
      <c r="P1351" s="5" t="n"/>
    </row>
    <row r="1352">
      <c r="A1352" s="8">
        <f>IF(OR($B1352="",$C1352=""),"",IFERROR(INDEX(PM_Short,MATCH($B1352,PM_ID,0))&amp;"-"&amp;TEXT($C1352,"00"),"?? no such product"))</f>
        <v/>
      </c>
      <c r="B1352" s="5" t="n"/>
      <c r="C1352" s="5" t="n"/>
      <c r="D1352" s="8">
        <f>IF($B1352="","",IFERROR(INDEX(PM_Category,MATCH($B1352,PM_ID,0)),""))</f>
        <v/>
      </c>
      <c r="E1352" s="8">
        <f>IF($B1352="","",IFERROR(INDEX(PM_Subcategory,MATCH($B1352,PM_ID,0)),""))</f>
        <v/>
      </c>
      <c r="F1352" s="8">
        <f>IF($B1352="","",IFERROR(INDEX(PM_Brand,MATCH($B1352,PM_ID,0)),""))</f>
        <v/>
      </c>
      <c r="G1352" s="8">
        <f>IF($B1352="","",IFERROR(INDEX(PM_Model,MATCH($B1352,PM_ID,0)),""))</f>
        <v/>
      </c>
      <c r="H1352" s="5" t="n"/>
      <c r="I1352" s="10" t="n"/>
      <c r="J1352" s="9" t="n"/>
      <c r="K1352" s="5" t="n"/>
      <c r="L1352" s="5" t="n"/>
      <c r="M1352" s="5" t="n"/>
      <c r="N1352" s="5" t="n"/>
      <c r="O1352" s="8">
        <f>IF($B1352="","",IF(AND($A1352&lt;&gt;"",COUNTIF(INV_ID,$A1352)&gt;1),"⚠ this Unit ID already exists",IF(AND($H1352&lt;&gt;"",COUNTIF(INV_Serial,$H1352)&gt;1),"⚠ this serial already exists",IF(COUNTIFS(INV_Product,$B1352,INV_No,$C1352)&gt;1,"⚠ piece number reused",""))))</f>
        <v/>
      </c>
      <c r="P1352" s="5" t="n"/>
    </row>
    <row r="1353">
      <c r="A1353" s="8">
        <f>IF(OR($B1353="",$C1353=""),"",IFERROR(INDEX(PM_Short,MATCH($B1353,PM_ID,0))&amp;"-"&amp;TEXT($C1353,"00"),"?? no such product"))</f>
        <v/>
      </c>
      <c r="B1353" s="5" t="n"/>
      <c r="C1353" s="5" t="n"/>
      <c r="D1353" s="8">
        <f>IF($B1353="","",IFERROR(INDEX(PM_Category,MATCH($B1353,PM_ID,0)),""))</f>
        <v/>
      </c>
      <c r="E1353" s="8">
        <f>IF($B1353="","",IFERROR(INDEX(PM_Subcategory,MATCH($B1353,PM_ID,0)),""))</f>
        <v/>
      </c>
      <c r="F1353" s="8">
        <f>IF($B1353="","",IFERROR(INDEX(PM_Brand,MATCH($B1353,PM_ID,0)),""))</f>
        <v/>
      </c>
      <c r="G1353" s="8">
        <f>IF($B1353="","",IFERROR(INDEX(PM_Model,MATCH($B1353,PM_ID,0)),""))</f>
        <v/>
      </c>
      <c r="H1353" s="5" t="n"/>
      <c r="I1353" s="10" t="n"/>
      <c r="J1353" s="9" t="n"/>
      <c r="K1353" s="5" t="n"/>
      <c r="L1353" s="5" t="n"/>
      <c r="M1353" s="5" t="n"/>
      <c r="N1353" s="5" t="n"/>
      <c r="O1353" s="8">
        <f>IF($B1353="","",IF(AND($A1353&lt;&gt;"",COUNTIF(INV_ID,$A1353)&gt;1),"⚠ this Unit ID already exists",IF(AND($H1353&lt;&gt;"",COUNTIF(INV_Serial,$H1353)&gt;1),"⚠ this serial already exists",IF(COUNTIFS(INV_Product,$B1353,INV_No,$C1353)&gt;1,"⚠ piece number reused",""))))</f>
        <v/>
      </c>
      <c r="P1353" s="5" t="n"/>
    </row>
    <row r="1354">
      <c r="A1354" s="8">
        <f>IF(OR($B1354="",$C1354=""),"",IFERROR(INDEX(PM_Short,MATCH($B1354,PM_ID,0))&amp;"-"&amp;TEXT($C1354,"00"),"?? no such product"))</f>
        <v/>
      </c>
      <c r="B1354" s="5" t="n"/>
      <c r="C1354" s="5" t="n"/>
      <c r="D1354" s="8">
        <f>IF($B1354="","",IFERROR(INDEX(PM_Category,MATCH($B1354,PM_ID,0)),""))</f>
        <v/>
      </c>
      <c r="E1354" s="8">
        <f>IF($B1354="","",IFERROR(INDEX(PM_Subcategory,MATCH($B1354,PM_ID,0)),""))</f>
        <v/>
      </c>
      <c r="F1354" s="8">
        <f>IF($B1354="","",IFERROR(INDEX(PM_Brand,MATCH($B1354,PM_ID,0)),""))</f>
        <v/>
      </c>
      <c r="G1354" s="8">
        <f>IF($B1354="","",IFERROR(INDEX(PM_Model,MATCH($B1354,PM_ID,0)),""))</f>
        <v/>
      </c>
      <c r="H1354" s="5" t="n"/>
      <c r="I1354" s="10" t="n"/>
      <c r="J1354" s="9" t="n"/>
      <c r="K1354" s="5" t="n"/>
      <c r="L1354" s="5" t="n"/>
      <c r="M1354" s="5" t="n"/>
      <c r="N1354" s="5" t="n"/>
      <c r="O1354" s="8">
        <f>IF($B1354="","",IF(AND($A1354&lt;&gt;"",COUNTIF(INV_ID,$A1354)&gt;1),"⚠ this Unit ID already exists",IF(AND($H1354&lt;&gt;"",COUNTIF(INV_Serial,$H1354)&gt;1),"⚠ this serial already exists",IF(COUNTIFS(INV_Product,$B1354,INV_No,$C1354)&gt;1,"⚠ piece number reused",""))))</f>
        <v/>
      </c>
      <c r="P1354" s="5" t="n"/>
    </row>
    <row r="1355">
      <c r="A1355" s="8">
        <f>IF(OR($B1355="",$C1355=""),"",IFERROR(INDEX(PM_Short,MATCH($B1355,PM_ID,0))&amp;"-"&amp;TEXT($C1355,"00"),"?? no such product"))</f>
        <v/>
      </c>
      <c r="B1355" s="5" t="n"/>
      <c r="C1355" s="5" t="n"/>
      <c r="D1355" s="8">
        <f>IF($B1355="","",IFERROR(INDEX(PM_Category,MATCH($B1355,PM_ID,0)),""))</f>
        <v/>
      </c>
      <c r="E1355" s="8">
        <f>IF($B1355="","",IFERROR(INDEX(PM_Subcategory,MATCH($B1355,PM_ID,0)),""))</f>
        <v/>
      </c>
      <c r="F1355" s="8">
        <f>IF($B1355="","",IFERROR(INDEX(PM_Brand,MATCH($B1355,PM_ID,0)),""))</f>
        <v/>
      </c>
      <c r="G1355" s="8">
        <f>IF($B1355="","",IFERROR(INDEX(PM_Model,MATCH($B1355,PM_ID,0)),""))</f>
        <v/>
      </c>
      <c r="H1355" s="5" t="n"/>
      <c r="I1355" s="10" t="n"/>
      <c r="J1355" s="9" t="n"/>
      <c r="K1355" s="5" t="n"/>
      <c r="L1355" s="5" t="n"/>
      <c r="M1355" s="5" t="n"/>
      <c r="N1355" s="5" t="n"/>
      <c r="O1355" s="8">
        <f>IF($B1355="","",IF(AND($A1355&lt;&gt;"",COUNTIF(INV_ID,$A1355)&gt;1),"⚠ this Unit ID already exists",IF(AND($H1355&lt;&gt;"",COUNTIF(INV_Serial,$H1355)&gt;1),"⚠ this serial already exists",IF(COUNTIFS(INV_Product,$B1355,INV_No,$C1355)&gt;1,"⚠ piece number reused",""))))</f>
        <v/>
      </c>
      <c r="P1355" s="5" t="n"/>
    </row>
    <row r="1356">
      <c r="A1356" s="8">
        <f>IF(OR($B1356="",$C1356=""),"",IFERROR(INDEX(PM_Short,MATCH($B1356,PM_ID,0))&amp;"-"&amp;TEXT($C1356,"00"),"?? no such product"))</f>
        <v/>
      </c>
      <c r="B1356" s="5" t="n"/>
      <c r="C1356" s="5" t="n"/>
      <c r="D1356" s="8">
        <f>IF($B1356="","",IFERROR(INDEX(PM_Category,MATCH($B1356,PM_ID,0)),""))</f>
        <v/>
      </c>
      <c r="E1356" s="8">
        <f>IF($B1356="","",IFERROR(INDEX(PM_Subcategory,MATCH($B1356,PM_ID,0)),""))</f>
        <v/>
      </c>
      <c r="F1356" s="8">
        <f>IF($B1356="","",IFERROR(INDEX(PM_Brand,MATCH($B1356,PM_ID,0)),""))</f>
        <v/>
      </c>
      <c r="G1356" s="8">
        <f>IF($B1356="","",IFERROR(INDEX(PM_Model,MATCH($B1356,PM_ID,0)),""))</f>
        <v/>
      </c>
      <c r="H1356" s="5" t="n"/>
      <c r="I1356" s="10" t="n"/>
      <c r="J1356" s="9" t="n"/>
      <c r="K1356" s="5" t="n"/>
      <c r="L1356" s="5" t="n"/>
      <c r="M1356" s="5" t="n"/>
      <c r="N1356" s="5" t="n"/>
      <c r="O1356" s="8">
        <f>IF($B1356="","",IF(AND($A1356&lt;&gt;"",COUNTIF(INV_ID,$A1356)&gt;1),"⚠ this Unit ID already exists",IF(AND($H1356&lt;&gt;"",COUNTIF(INV_Serial,$H1356)&gt;1),"⚠ this serial already exists",IF(COUNTIFS(INV_Product,$B1356,INV_No,$C1356)&gt;1,"⚠ piece number reused",""))))</f>
        <v/>
      </c>
      <c r="P1356" s="5" t="n"/>
    </row>
    <row r="1357">
      <c r="A1357" s="8">
        <f>IF(OR($B1357="",$C1357=""),"",IFERROR(INDEX(PM_Short,MATCH($B1357,PM_ID,0))&amp;"-"&amp;TEXT($C1357,"00"),"?? no such product"))</f>
        <v/>
      </c>
      <c r="B1357" s="5" t="n"/>
      <c r="C1357" s="5" t="n"/>
      <c r="D1357" s="8">
        <f>IF($B1357="","",IFERROR(INDEX(PM_Category,MATCH($B1357,PM_ID,0)),""))</f>
        <v/>
      </c>
      <c r="E1357" s="8">
        <f>IF($B1357="","",IFERROR(INDEX(PM_Subcategory,MATCH($B1357,PM_ID,0)),""))</f>
        <v/>
      </c>
      <c r="F1357" s="8">
        <f>IF($B1357="","",IFERROR(INDEX(PM_Brand,MATCH($B1357,PM_ID,0)),""))</f>
        <v/>
      </c>
      <c r="G1357" s="8">
        <f>IF($B1357="","",IFERROR(INDEX(PM_Model,MATCH($B1357,PM_ID,0)),""))</f>
        <v/>
      </c>
      <c r="H1357" s="5" t="n"/>
      <c r="I1357" s="10" t="n"/>
      <c r="J1357" s="9" t="n"/>
      <c r="K1357" s="5" t="n"/>
      <c r="L1357" s="5" t="n"/>
      <c r="M1357" s="5" t="n"/>
      <c r="N1357" s="5" t="n"/>
      <c r="O1357" s="8">
        <f>IF($B1357="","",IF(AND($A1357&lt;&gt;"",COUNTIF(INV_ID,$A1357)&gt;1),"⚠ this Unit ID already exists",IF(AND($H1357&lt;&gt;"",COUNTIF(INV_Serial,$H1357)&gt;1),"⚠ this serial already exists",IF(COUNTIFS(INV_Product,$B1357,INV_No,$C1357)&gt;1,"⚠ piece number reused",""))))</f>
        <v/>
      </c>
      <c r="P1357" s="5" t="n"/>
    </row>
    <row r="1358">
      <c r="A1358" s="8">
        <f>IF(OR($B1358="",$C1358=""),"",IFERROR(INDEX(PM_Short,MATCH($B1358,PM_ID,0))&amp;"-"&amp;TEXT($C1358,"00"),"?? no such product"))</f>
        <v/>
      </c>
      <c r="B1358" s="5" t="n"/>
      <c r="C1358" s="5" t="n"/>
      <c r="D1358" s="8">
        <f>IF($B1358="","",IFERROR(INDEX(PM_Category,MATCH($B1358,PM_ID,0)),""))</f>
        <v/>
      </c>
      <c r="E1358" s="8">
        <f>IF($B1358="","",IFERROR(INDEX(PM_Subcategory,MATCH($B1358,PM_ID,0)),""))</f>
        <v/>
      </c>
      <c r="F1358" s="8">
        <f>IF($B1358="","",IFERROR(INDEX(PM_Brand,MATCH($B1358,PM_ID,0)),""))</f>
        <v/>
      </c>
      <c r="G1358" s="8">
        <f>IF($B1358="","",IFERROR(INDEX(PM_Model,MATCH($B1358,PM_ID,0)),""))</f>
        <v/>
      </c>
      <c r="H1358" s="5" t="n"/>
      <c r="I1358" s="10" t="n"/>
      <c r="J1358" s="9" t="n"/>
      <c r="K1358" s="5" t="n"/>
      <c r="L1358" s="5" t="n"/>
      <c r="M1358" s="5" t="n"/>
      <c r="N1358" s="5" t="n"/>
      <c r="O1358" s="8">
        <f>IF($B1358="","",IF(AND($A1358&lt;&gt;"",COUNTIF(INV_ID,$A1358)&gt;1),"⚠ this Unit ID already exists",IF(AND($H1358&lt;&gt;"",COUNTIF(INV_Serial,$H1358)&gt;1),"⚠ this serial already exists",IF(COUNTIFS(INV_Product,$B1358,INV_No,$C1358)&gt;1,"⚠ piece number reused",""))))</f>
        <v/>
      </c>
      <c r="P1358" s="5" t="n"/>
    </row>
    <row r="1359">
      <c r="A1359" s="8">
        <f>IF(OR($B1359="",$C1359=""),"",IFERROR(INDEX(PM_Short,MATCH($B1359,PM_ID,0))&amp;"-"&amp;TEXT($C1359,"00"),"?? no such product"))</f>
        <v/>
      </c>
      <c r="B1359" s="5" t="n"/>
      <c r="C1359" s="5" t="n"/>
      <c r="D1359" s="8">
        <f>IF($B1359="","",IFERROR(INDEX(PM_Category,MATCH($B1359,PM_ID,0)),""))</f>
        <v/>
      </c>
      <c r="E1359" s="8">
        <f>IF($B1359="","",IFERROR(INDEX(PM_Subcategory,MATCH($B1359,PM_ID,0)),""))</f>
        <v/>
      </c>
      <c r="F1359" s="8">
        <f>IF($B1359="","",IFERROR(INDEX(PM_Brand,MATCH($B1359,PM_ID,0)),""))</f>
        <v/>
      </c>
      <c r="G1359" s="8">
        <f>IF($B1359="","",IFERROR(INDEX(PM_Model,MATCH($B1359,PM_ID,0)),""))</f>
        <v/>
      </c>
      <c r="H1359" s="5" t="n"/>
      <c r="I1359" s="10" t="n"/>
      <c r="J1359" s="9" t="n"/>
      <c r="K1359" s="5" t="n"/>
      <c r="L1359" s="5" t="n"/>
      <c r="M1359" s="5" t="n"/>
      <c r="N1359" s="5" t="n"/>
      <c r="O1359" s="8">
        <f>IF($B1359="","",IF(AND($A1359&lt;&gt;"",COUNTIF(INV_ID,$A1359)&gt;1),"⚠ this Unit ID already exists",IF(AND($H1359&lt;&gt;"",COUNTIF(INV_Serial,$H1359)&gt;1),"⚠ this serial already exists",IF(COUNTIFS(INV_Product,$B1359,INV_No,$C1359)&gt;1,"⚠ piece number reused",""))))</f>
        <v/>
      </c>
      <c r="P1359" s="5" t="n"/>
    </row>
    <row r="1360">
      <c r="A1360" s="8">
        <f>IF(OR($B1360="",$C1360=""),"",IFERROR(INDEX(PM_Short,MATCH($B1360,PM_ID,0))&amp;"-"&amp;TEXT($C1360,"00"),"?? no such product"))</f>
        <v/>
      </c>
      <c r="B1360" s="5" t="n"/>
      <c r="C1360" s="5" t="n"/>
      <c r="D1360" s="8">
        <f>IF($B1360="","",IFERROR(INDEX(PM_Category,MATCH($B1360,PM_ID,0)),""))</f>
        <v/>
      </c>
      <c r="E1360" s="8">
        <f>IF($B1360="","",IFERROR(INDEX(PM_Subcategory,MATCH($B1360,PM_ID,0)),""))</f>
        <v/>
      </c>
      <c r="F1360" s="8">
        <f>IF($B1360="","",IFERROR(INDEX(PM_Brand,MATCH($B1360,PM_ID,0)),""))</f>
        <v/>
      </c>
      <c r="G1360" s="8">
        <f>IF($B1360="","",IFERROR(INDEX(PM_Model,MATCH($B1360,PM_ID,0)),""))</f>
        <v/>
      </c>
      <c r="H1360" s="5" t="n"/>
      <c r="I1360" s="10" t="n"/>
      <c r="J1360" s="9" t="n"/>
      <c r="K1360" s="5" t="n"/>
      <c r="L1360" s="5" t="n"/>
      <c r="M1360" s="5" t="n"/>
      <c r="N1360" s="5" t="n"/>
      <c r="O1360" s="8">
        <f>IF($B1360="","",IF(AND($A1360&lt;&gt;"",COUNTIF(INV_ID,$A1360)&gt;1),"⚠ this Unit ID already exists",IF(AND($H1360&lt;&gt;"",COUNTIF(INV_Serial,$H1360)&gt;1),"⚠ this serial already exists",IF(COUNTIFS(INV_Product,$B1360,INV_No,$C1360)&gt;1,"⚠ piece number reused",""))))</f>
        <v/>
      </c>
      <c r="P1360" s="5" t="n"/>
    </row>
    <row r="1361">
      <c r="A1361" s="8">
        <f>IF(OR($B1361="",$C1361=""),"",IFERROR(INDEX(PM_Short,MATCH($B1361,PM_ID,0))&amp;"-"&amp;TEXT($C1361,"00"),"?? no such product"))</f>
        <v/>
      </c>
      <c r="B1361" s="5" t="n"/>
      <c r="C1361" s="5" t="n"/>
      <c r="D1361" s="8">
        <f>IF($B1361="","",IFERROR(INDEX(PM_Category,MATCH($B1361,PM_ID,0)),""))</f>
        <v/>
      </c>
      <c r="E1361" s="8">
        <f>IF($B1361="","",IFERROR(INDEX(PM_Subcategory,MATCH($B1361,PM_ID,0)),""))</f>
        <v/>
      </c>
      <c r="F1361" s="8">
        <f>IF($B1361="","",IFERROR(INDEX(PM_Brand,MATCH($B1361,PM_ID,0)),""))</f>
        <v/>
      </c>
      <c r="G1361" s="8">
        <f>IF($B1361="","",IFERROR(INDEX(PM_Model,MATCH($B1361,PM_ID,0)),""))</f>
        <v/>
      </c>
      <c r="H1361" s="5" t="n"/>
      <c r="I1361" s="10" t="n"/>
      <c r="J1361" s="9" t="n"/>
      <c r="K1361" s="5" t="n"/>
      <c r="L1361" s="5" t="n"/>
      <c r="M1361" s="5" t="n"/>
      <c r="N1361" s="5" t="n"/>
      <c r="O1361" s="8">
        <f>IF($B1361="","",IF(AND($A1361&lt;&gt;"",COUNTIF(INV_ID,$A1361)&gt;1),"⚠ this Unit ID already exists",IF(AND($H1361&lt;&gt;"",COUNTIF(INV_Serial,$H1361)&gt;1),"⚠ this serial already exists",IF(COUNTIFS(INV_Product,$B1361,INV_No,$C1361)&gt;1,"⚠ piece number reused",""))))</f>
        <v/>
      </c>
      <c r="P1361" s="5" t="n"/>
    </row>
    <row r="1362">
      <c r="A1362" s="8">
        <f>IF(OR($B1362="",$C1362=""),"",IFERROR(INDEX(PM_Short,MATCH($B1362,PM_ID,0))&amp;"-"&amp;TEXT($C1362,"00"),"?? no such product"))</f>
        <v/>
      </c>
      <c r="B1362" s="5" t="n"/>
      <c r="C1362" s="5" t="n"/>
      <c r="D1362" s="8">
        <f>IF($B1362="","",IFERROR(INDEX(PM_Category,MATCH($B1362,PM_ID,0)),""))</f>
        <v/>
      </c>
      <c r="E1362" s="8">
        <f>IF($B1362="","",IFERROR(INDEX(PM_Subcategory,MATCH($B1362,PM_ID,0)),""))</f>
        <v/>
      </c>
      <c r="F1362" s="8">
        <f>IF($B1362="","",IFERROR(INDEX(PM_Brand,MATCH($B1362,PM_ID,0)),""))</f>
        <v/>
      </c>
      <c r="G1362" s="8">
        <f>IF($B1362="","",IFERROR(INDEX(PM_Model,MATCH($B1362,PM_ID,0)),""))</f>
        <v/>
      </c>
      <c r="H1362" s="5" t="n"/>
      <c r="I1362" s="10" t="n"/>
      <c r="J1362" s="9" t="n"/>
      <c r="K1362" s="5" t="n"/>
      <c r="L1362" s="5" t="n"/>
      <c r="M1362" s="5" t="n"/>
      <c r="N1362" s="5" t="n"/>
      <c r="O1362" s="8">
        <f>IF($B1362="","",IF(AND($A1362&lt;&gt;"",COUNTIF(INV_ID,$A1362)&gt;1),"⚠ this Unit ID already exists",IF(AND($H1362&lt;&gt;"",COUNTIF(INV_Serial,$H1362)&gt;1),"⚠ this serial already exists",IF(COUNTIFS(INV_Product,$B1362,INV_No,$C1362)&gt;1,"⚠ piece number reused",""))))</f>
        <v/>
      </c>
      <c r="P1362" s="5" t="n"/>
    </row>
    <row r="1363">
      <c r="A1363" s="8">
        <f>IF(OR($B1363="",$C1363=""),"",IFERROR(INDEX(PM_Short,MATCH($B1363,PM_ID,0))&amp;"-"&amp;TEXT($C1363,"00"),"?? no such product"))</f>
        <v/>
      </c>
      <c r="B1363" s="5" t="n"/>
      <c r="C1363" s="5" t="n"/>
      <c r="D1363" s="8">
        <f>IF($B1363="","",IFERROR(INDEX(PM_Category,MATCH($B1363,PM_ID,0)),""))</f>
        <v/>
      </c>
      <c r="E1363" s="8">
        <f>IF($B1363="","",IFERROR(INDEX(PM_Subcategory,MATCH($B1363,PM_ID,0)),""))</f>
        <v/>
      </c>
      <c r="F1363" s="8">
        <f>IF($B1363="","",IFERROR(INDEX(PM_Brand,MATCH($B1363,PM_ID,0)),""))</f>
        <v/>
      </c>
      <c r="G1363" s="8">
        <f>IF($B1363="","",IFERROR(INDEX(PM_Model,MATCH($B1363,PM_ID,0)),""))</f>
        <v/>
      </c>
      <c r="H1363" s="5" t="n"/>
      <c r="I1363" s="10" t="n"/>
      <c r="J1363" s="9" t="n"/>
      <c r="K1363" s="5" t="n"/>
      <c r="L1363" s="5" t="n"/>
      <c r="M1363" s="5" t="n"/>
      <c r="N1363" s="5" t="n"/>
      <c r="O1363" s="8">
        <f>IF($B1363="","",IF(AND($A1363&lt;&gt;"",COUNTIF(INV_ID,$A1363)&gt;1),"⚠ this Unit ID already exists",IF(AND($H1363&lt;&gt;"",COUNTIF(INV_Serial,$H1363)&gt;1),"⚠ this serial already exists",IF(COUNTIFS(INV_Product,$B1363,INV_No,$C1363)&gt;1,"⚠ piece number reused",""))))</f>
        <v/>
      </c>
      <c r="P1363" s="5" t="n"/>
    </row>
    <row r="1364">
      <c r="A1364" s="8">
        <f>IF(OR($B1364="",$C1364=""),"",IFERROR(INDEX(PM_Short,MATCH($B1364,PM_ID,0))&amp;"-"&amp;TEXT($C1364,"00"),"?? no such product"))</f>
        <v/>
      </c>
      <c r="B1364" s="5" t="n"/>
      <c r="C1364" s="5" t="n"/>
      <c r="D1364" s="8">
        <f>IF($B1364="","",IFERROR(INDEX(PM_Category,MATCH($B1364,PM_ID,0)),""))</f>
        <v/>
      </c>
      <c r="E1364" s="8">
        <f>IF($B1364="","",IFERROR(INDEX(PM_Subcategory,MATCH($B1364,PM_ID,0)),""))</f>
        <v/>
      </c>
      <c r="F1364" s="8">
        <f>IF($B1364="","",IFERROR(INDEX(PM_Brand,MATCH($B1364,PM_ID,0)),""))</f>
        <v/>
      </c>
      <c r="G1364" s="8">
        <f>IF($B1364="","",IFERROR(INDEX(PM_Model,MATCH($B1364,PM_ID,0)),""))</f>
        <v/>
      </c>
      <c r="H1364" s="5" t="n"/>
      <c r="I1364" s="10" t="n"/>
      <c r="J1364" s="9" t="n"/>
      <c r="K1364" s="5" t="n"/>
      <c r="L1364" s="5" t="n"/>
      <c r="M1364" s="5" t="n"/>
      <c r="N1364" s="5" t="n"/>
      <c r="O1364" s="8">
        <f>IF($B1364="","",IF(AND($A1364&lt;&gt;"",COUNTIF(INV_ID,$A1364)&gt;1),"⚠ this Unit ID already exists",IF(AND($H1364&lt;&gt;"",COUNTIF(INV_Serial,$H1364)&gt;1),"⚠ this serial already exists",IF(COUNTIFS(INV_Product,$B1364,INV_No,$C1364)&gt;1,"⚠ piece number reused",""))))</f>
        <v/>
      </c>
      <c r="P1364" s="5" t="n"/>
    </row>
    <row r="1365">
      <c r="A1365" s="8">
        <f>IF(OR($B1365="",$C1365=""),"",IFERROR(INDEX(PM_Short,MATCH($B1365,PM_ID,0))&amp;"-"&amp;TEXT($C1365,"00"),"?? no such product"))</f>
        <v/>
      </c>
      <c r="B1365" s="5" t="n"/>
      <c r="C1365" s="5" t="n"/>
      <c r="D1365" s="8">
        <f>IF($B1365="","",IFERROR(INDEX(PM_Category,MATCH($B1365,PM_ID,0)),""))</f>
        <v/>
      </c>
      <c r="E1365" s="8">
        <f>IF($B1365="","",IFERROR(INDEX(PM_Subcategory,MATCH($B1365,PM_ID,0)),""))</f>
        <v/>
      </c>
      <c r="F1365" s="8">
        <f>IF($B1365="","",IFERROR(INDEX(PM_Brand,MATCH($B1365,PM_ID,0)),""))</f>
        <v/>
      </c>
      <c r="G1365" s="8">
        <f>IF($B1365="","",IFERROR(INDEX(PM_Model,MATCH($B1365,PM_ID,0)),""))</f>
        <v/>
      </c>
      <c r="H1365" s="5" t="n"/>
      <c r="I1365" s="10" t="n"/>
      <c r="J1365" s="9" t="n"/>
      <c r="K1365" s="5" t="n"/>
      <c r="L1365" s="5" t="n"/>
      <c r="M1365" s="5" t="n"/>
      <c r="N1365" s="5" t="n"/>
      <c r="O1365" s="8">
        <f>IF($B1365="","",IF(AND($A1365&lt;&gt;"",COUNTIF(INV_ID,$A1365)&gt;1),"⚠ this Unit ID already exists",IF(AND($H1365&lt;&gt;"",COUNTIF(INV_Serial,$H1365)&gt;1),"⚠ this serial already exists",IF(COUNTIFS(INV_Product,$B1365,INV_No,$C1365)&gt;1,"⚠ piece number reused",""))))</f>
        <v/>
      </c>
      <c r="P1365" s="5" t="n"/>
    </row>
    <row r="1366">
      <c r="A1366" s="8">
        <f>IF(OR($B1366="",$C1366=""),"",IFERROR(INDEX(PM_Short,MATCH($B1366,PM_ID,0))&amp;"-"&amp;TEXT($C1366,"00"),"?? no such product"))</f>
        <v/>
      </c>
      <c r="B1366" s="5" t="n"/>
      <c r="C1366" s="5" t="n"/>
      <c r="D1366" s="8">
        <f>IF($B1366="","",IFERROR(INDEX(PM_Category,MATCH($B1366,PM_ID,0)),""))</f>
        <v/>
      </c>
      <c r="E1366" s="8">
        <f>IF($B1366="","",IFERROR(INDEX(PM_Subcategory,MATCH($B1366,PM_ID,0)),""))</f>
        <v/>
      </c>
      <c r="F1366" s="8">
        <f>IF($B1366="","",IFERROR(INDEX(PM_Brand,MATCH($B1366,PM_ID,0)),""))</f>
        <v/>
      </c>
      <c r="G1366" s="8">
        <f>IF($B1366="","",IFERROR(INDEX(PM_Model,MATCH($B1366,PM_ID,0)),""))</f>
        <v/>
      </c>
      <c r="H1366" s="5" t="n"/>
      <c r="I1366" s="10" t="n"/>
      <c r="J1366" s="9" t="n"/>
      <c r="K1366" s="5" t="n"/>
      <c r="L1366" s="5" t="n"/>
      <c r="M1366" s="5" t="n"/>
      <c r="N1366" s="5" t="n"/>
      <c r="O1366" s="8">
        <f>IF($B1366="","",IF(AND($A1366&lt;&gt;"",COUNTIF(INV_ID,$A1366)&gt;1),"⚠ this Unit ID already exists",IF(AND($H1366&lt;&gt;"",COUNTIF(INV_Serial,$H1366)&gt;1),"⚠ this serial already exists",IF(COUNTIFS(INV_Product,$B1366,INV_No,$C1366)&gt;1,"⚠ piece number reused",""))))</f>
        <v/>
      </c>
      <c r="P1366" s="5" t="n"/>
    </row>
    <row r="1367">
      <c r="A1367" s="8">
        <f>IF(OR($B1367="",$C1367=""),"",IFERROR(INDEX(PM_Short,MATCH($B1367,PM_ID,0))&amp;"-"&amp;TEXT($C1367,"00"),"?? no such product"))</f>
        <v/>
      </c>
      <c r="B1367" s="5" t="n"/>
      <c r="C1367" s="5" t="n"/>
      <c r="D1367" s="8">
        <f>IF($B1367="","",IFERROR(INDEX(PM_Category,MATCH($B1367,PM_ID,0)),""))</f>
        <v/>
      </c>
      <c r="E1367" s="8">
        <f>IF($B1367="","",IFERROR(INDEX(PM_Subcategory,MATCH($B1367,PM_ID,0)),""))</f>
        <v/>
      </c>
      <c r="F1367" s="8">
        <f>IF($B1367="","",IFERROR(INDEX(PM_Brand,MATCH($B1367,PM_ID,0)),""))</f>
        <v/>
      </c>
      <c r="G1367" s="8">
        <f>IF($B1367="","",IFERROR(INDEX(PM_Model,MATCH($B1367,PM_ID,0)),""))</f>
        <v/>
      </c>
      <c r="H1367" s="5" t="n"/>
      <c r="I1367" s="10" t="n"/>
      <c r="J1367" s="9" t="n"/>
      <c r="K1367" s="5" t="n"/>
      <c r="L1367" s="5" t="n"/>
      <c r="M1367" s="5" t="n"/>
      <c r="N1367" s="5" t="n"/>
      <c r="O1367" s="8">
        <f>IF($B1367="","",IF(AND($A1367&lt;&gt;"",COUNTIF(INV_ID,$A1367)&gt;1),"⚠ this Unit ID already exists",IF(AND($H1367&lt;&gt;"",COUNTIF(INV_Serial,$H1367)&gt;1),"⚠ this serial already exists",IF(COUNTIFS(INV_Product,$B1367,INV_No,$C1367)&gt;1,"⚠ piece number reused",""))))</f>
        <v/>
      </c>
      <c r="P1367" s="5" t="n"/>
    </row>
    <row r="1368">
      <c r="A1368" s="8">
        <f>IF(OR($B1368="",$C1368=""),"",IFERROR(INDEX(PM_Short,MATCH($B1368,PM_ID,0))&amp;"-"&amp;TEXT($C1368,"00"),"?? no such product"))</f>
        <v/>
      </c>
      <c r="B1368" s="5" t="n"/>
      <c r="C1368" s="5" t="n"/>
      <c r="D1368" s="8">
        <f>IF($B1368="","",IFERROR(INDEX(PM_Category,MATCH($B1368,PM_ID,0)),""))</f>
        <v/>
      </c>
      <c r="E1368" s="8">
        <f>IF($B1368="","",IFERROR(INDEX(PM_Subcategory,MATCH($B1368,PM_ID,0)),""))</f>
        <v/>
      </c>
      <c r="F1368" s="8">
        <f>IF($B1368="","",IFERROR(INDEX(PM_Brand,MATCH($B1368,PM_ID,0)),""))</f>
        <v/>
      </c>
      <c r="G1368" s="8">
        <f>IF($B1368="","",IFERROR(INDEX(PM_Model,MATCH($B1368,PM_ID,0)),""))</f>
        <v/>
      </c>
      <c r="H1368" s="5" t="n"/>
      <c r="I1368" s="10" t="n"/>
      <c r="J1368" s="9" t="n"/>
      <c r="K1368" s="5" t="n"/>
      <c r="L1368" s="5" t="n"/>
      <c r="M1368" s="5" t="n"/>
      <c r="N1368" s="5" t="n"/>
      <c r="O1368" s="8">
        <f>IF($B1368="","",IF(AND($A1368&lt;&gt;"",COUNTIF(INV_ID,$A1368)&gt;1),"⚠ this Unit ID already exists",IF(AND($H1368&lt;&gt;"",COUNTIF(INV_Serial,$H1368)&gt;1),"⚠ this serial already exists",IF(COUNTIFS(INV_Product,$B1368,INV_No,$C1368)&gt;1,"⚠ piece number reused",""))))</f>
        <v/>
      </c>
      <c r="P1368" s="5" t="n"/>
    </row>
    <row r="1369">
      <c r="A1369" s="8">
        <f>IF(OR($B1369="",$C1369=""),"",IFERROR(INDEX(PM_Short,MATCH($B1369,PM_ID,0))&amp;"-"&amp;TEXT($C1369,"00"),"?? no such product"))</f>
        <v/>
      </c>
      <c r="B1369" s="5" t="n"/>
      <c r="C1369" s="5" t="n"/>
      <c r="D1369" s="8">
        <f>IF($B1369="","",IFERROR(INDEX(PM_Category,MATCH($B1369,PM_ID,0)),""))</f>
        <v/>
      </c>
      <c r="E1369" s="8">
        <f>IF($B1369="","",IFERROR(INDEX(PM_Subcategory,MATCH($B1369,PM_ID,0)),""))</f>
        <v/>
      </c>
      <c r="F1369" s="8">
        <f>IF($B1369="","",IFERROR(INDEX(PM_Brand,MATCH($B1369,PM_ID,0)),""))</f>
        <v/>
      </c>
      <c r="G1369" s="8">
        <f>IF($B1369="","",IFERROR(INDEX(PM_Model,MATCH($B1369,PM_ID,0)),""))</f>
        <v/>
      </c>
      <c r="H1369" s="5" t="n"/>
      <c r="I1369" s="10" t="n"/>
      <c r="J1369" s="9" t="n"/>
      <c r="K1369" s="5" t="n"/>
      <c r="L1369" s="5" t="n"/>
      <c r="M1369" s="5" t="n"/>
      <c r="N1369" s="5" t="n"/>
      <c r="O1369" s="8">
        <f>IF($B1369="","",IF(AND($A1369&lt;&gt;"",COUNTIF(INV_ID,$A1369)&gt;1),"⚠ this Unit ID already exists",IF(AND($H1369&lt;&gt;"",COUNTIF(INV_Serial,$H1369)&gt;1),"⚠ this serial already exists",IF(COUNTIFS(INV_Product,$B1369,INV_No,$C1369)&gt;1,"⚠ piece number reused",""))))</f>
        <v/>
      </c>
      <c r="P1369" s="5" t="n"/>
    </row>
    <row r="1370">
      <c r="A1370" s="8">
        <f>IF(OR($B1370="",$C1370=""),"",IFERROR(INDEX(PM_Short,MATCH($B1370,PM_ID,0))&amp;"-"&amp;TEXT($C1370,"00"),"?? no such product"))</f>
        <v/>
      </c>
      <c r="B1370" s="5" t="n"/>
      <c r="C1370" s="5" t="n"/>
      <c r="D1370" s="8">
        <f>IF($B1370="","",IFERROR(INDEX(PM_Category,MATCH($B1370,PM_ID,0)),""))</f>
        <v/>
      </c>
      <c r="E1370" s="8">
        <f>IF($B1370="","",IFERROR(INDEX(PM_Subcategory,MATCH($B1370,PM_ID,0)),""))</f>
        <v/>
      </c>
      <c r="F1370" s="8">
        <f>IF($B1370="","",IFERROR(INDEX(PM_Brand,MATCH($B1370,PM_ID,0)),""))</f>
        <v/>
      </c>
      <c r="G1370" s="8">
        <f>IF($B1370="","",IFERROR(INDEX(PM_Model,MATCH($B1370,PM_ID,0)),""))</f>
        <v/>
      </c>
      <c r="H1370" s="5" t="n"/>
      <c r="I1370" s="10" t="n"/>
      <c r="J1370" s="9" t="n"/>
      <c r="K1370" s="5" t="n"/>
      <c r="L1370" s="5" t="n"/>
      <c r="M1370" s="5" t="n"/>
      <c r="N1370" s="5" t="n"/>
      <c r="O1370" s="8">
        <f>IF($B1370="","",IF(AND($A1370&lt;&gt;"",COUNTIF(INV_ID,$A1370)&gt;1),"⚠ this Unit ID already exists",IF(AND($H1370&lt;&gt;"",COUNTIF(INV_Serial,$H1370)&gt;1),"⚠ this serial already exists",IF(COUNTIFS(INV_Product,$B1370,INV_No,$C1370)&gt;1,"⚠ piece number reused",""))))</f>
        <v/>
      </c>
      <c r="P1370" s="5" t="n"/>
    </row>
    <row r="1371">
      <c r="A1371" s="8">
        <f>IF(OR($B1371="",$C1371=""),"",IFERROR(INDEX(PM_Short,MATCH($B1371,PM_ID,0))&amp;"-"&amp;TEXT($C1371,"00"),"?? no such product"))</f>
        <v/>
      </c>
      <c r="B1371" s="5" t="n"/>
      <c r="C1371" s="5" t="n"/>
      <c r="D1371" s="8">
        <f>IF($B1371="","",IFERROR(INDEX(PM_Category,MATCH($B1371,PM_ID,0)),""))</f>
        <v/>
      </c>
      <c r="E1371" s="8">
        <f>IF($B1371="","",IFERROR(INDEX(PM_Subcategory,MATCH($B1371,PM_ID,0)),""))</f>
        <v/>
      </c>
      <c r="F1371" s="8">
        <f>IF($B1371="","",IFERROR(INDEX(PM_Brand,MATCH($B1371,PM_ID,0)),""))</f>
        <v/>
      </c>
      <c r="G1371" s="8">
        <f>IF($B1371="","",IFERROR(INDEX(PM_Model,MATCH($B1371,PM_ID,0)),""))</f>
        <v/>
      </c>
      <c r="H1371" s="5" t="n"/>
      <c r="I1371" s="10" t="n"/>
      <c r="J1371" s="9" t="n"/>
      <c r="K1371" s="5" t="n"/>
      <c r="L1371" s="5" t="n"/>
      <c r="M1371" s="5" t="n"/>
      <c r="N1371" s="5" t="n"/>
      <c r="O1371" s="8">
        <f>IF($B1371="","",IF(AND($A1371&lt;&gt;"",COUNTIF(INV_ID,$A1371)&gt;1),"⚠ this Unit ID already exists",IF(AND($H1371&lt;&gt;"",COUNTIF(INV_Serial,$H1371)&gt;1),"⚠ this serial already exists",IF(COUNTIFS(INV_Product,$B1371,INV_No,$C1371)&gt;1,"⚠ piece number reused",""))))</f>
        <v/>
      </c>
      <c r="P1371" s="5" t="n"/>
    </row>
    <row r="1372">
      <c r="A1372" s="8">
        <f>IF(OR($B1372="",$C1372=""),"",IFERROR(INDEX(PM_Short,MATCH($B1372,PM_ID,0))&amp;"-"&amp;TEXT($C1372,"00"),"?? no such product"))</f>
        <v/>
      </c>
      <c r="B1372" s="5" t="n"/>
      <c r="C1372" s="5" t="n"/>
      <c r="D1372" s="8">
        <f>IF($B1372="","",IFERROR(INDEX(PM_Category,MATCH($B1372,PM_ID,0)),""))</f>
        <v/>
      </c>
      <c r="E1372" s="8">
        <f>IF($B1372="","",IFERROR(INDEX(PM_Subcategory,MATCH($B1372,PM_ID,0)),""))</f>
        <v/>
      </c>
      <c r="F1372" s="8">
        <f>IF($B1372="","",IFERROR(INDEX(PM_Brand,MATCH($B1372,PM_ID,0)),""))</f>
        <v/>
      </c>
      <c r="G1372" s="8">
        <f>IF($B1372="","",IFERROR(INDEX(PM_Model,MATCH($B1372,PM_ID,0)),""))</f>
        <v/>
      </c>
      <c r="H1372" s="5" t="n"/>
      <c r="I1372" s="10" t="n"/>
      <c r="J1372" s="9" t="n"/>
      <c r="K1372" s="5" t="n"/>
      <c r="L1372" s="5" t="n"/>
      <c r="M1372" s="5" t="n"/>
      <c r="N1372" s="5" t="n"/>
      <c r="O1372" s="8">
        <f>IF($B1372="","",IF(AND($A1372&lt;&gt;"",COUNTIF(INV_ID,$A1372)&gt;1),"⚠ this Unit ID already exists",IF(AND($H1372&lt;&gt;"",COUNTIF(INV_Serial,$H1372)&gt;1),"⚠ this serial already exists",IF(COUNTIFS(INV_Product,$B1372,INV_No,$C1372)&gt;1,"⚠ piece number reused",""))))</f>
        <v/>
      </c>
      <c r="P1372" s="5" t="n"/>
    </row>
    <row r="1373">
      <c r="A1373" s="8">
        <f>IF(OR($B1373="",$C1373=""),"",IFERROR(INDEX(PM_Short,MATCH($B1373,PM_ID,0))&amp;"-"&amp;TEXT($C1373,"00"),"?? no such product"))</f>
        <v/>
      </c>
      <c r="B1373" s="5" t="n"/>
      <c r="C1373" s="5" t="n"/>
      <c r="D1373" s="8">
        <f>IF($B1373="","",IFERROR(INDEX(PM_Category,MATCH($B1373,PM_ID,0)),""))</f>
        <v/>
      </c>
      <c r="E1373" s="8">
        <f>IF($B1373="","",IFERROR(INDEX(PM_Subcategory,MATCH($B1373,PM_ID,0)),""))</f>
        <v/>
      </c>
      <c r="F1373" s="8">
        <f>IF($B1373="","",IFERROR(INDEX(PM_Brand,MATCH($B1373,PM_ID,0)),""))</f>
        <v/>
      </c>
      <c r="G1373" s="8">
        <f>IF($B1373="","",IFERROR(INDEX(PM_Model,MATCH($B1373,PM_ID,0)),""))</f>
        <v/>
      </c>
      <c r="H1373" s="5" t="n"/>
      <c r="I1373" s="10" t="n"/>
      <c r="J1373" s="9" t="n"/>
      <c r="K1373" s="5" t="n"/>
      <c r="L1373" s="5" t="n"/>
      <c r="M1373" s="5" t="n"/>
      <c r="N1373" s="5" t="n"/>
      <c r="O1373" s="8">
        <f>IF($B1373="","",IF(AND($A1373&lt;&gt;"",COUNTIF(INV_ID,$A1373)&gt;1),"⚠ this Unit ID already exists",IF(AND($H1373&lt;&gt;"",COUNTIF(INV_Serial,$H1373)&gt;1),"⚠ this serial already exists",IF(COUNTIFS(INV_Product,$B1373,INV_No,$C1373)&gt;1,"⚠ piece number reused",""))))</f>
        <v/>
      </c>
      <c r="P1373" s="5" t="n"/>
    </row>
    <row r="1374">
      <c r="A1374" s="8">
        <f>IF(OR($B1374="",$C1374=""),"",IFERROR(INDEX(PM_Short,MATCH($B1374,PM_ID,0))&amp;"-"&amp;TEXT($C1374,"00"),"?? no such product"))</f>
        <v/>
      </c>
      <c r="B1374" s="5" t="n"/>
      <c r="C1374" s="5" t="n"/>
      <c r="D1374" s="8">
        <f>IF($B1374="","",IFERROR(INDEX(PM_Category,MATCH($B1374,PM_ID,0)),""))</f>
        <v/>
      </c>
      <c r="E1374" s="8">
        <f>IF($B1374="","",IFERROR(INDEX(PM_Subcategory,MATCH($B1374,PM_ID,0)),""))</f>
        <v/>
      </c>
      <c r="F1374" s="8">
        <f>IF($B1374="","",IFERROR(INDEX(PM_Brand,MATCH($B1374,PM_ID,0)),""))</f>
        <v/>
      </c>
      <c r="G1374" s="8">
        <f>IF($B1374="","",IFERROR(INDEX(PM_Model,MATCH($B1374,PM_ID,0)),""))</f>
        <v/>
      </c>
      <c r="H1374" s="5" t="n"/>
      <c r="I1374" s="10" t="n"/>
      <c r="J1374" s="9" t="n"/>
      <c r="K1374" s="5" t="n"/>
      <c r="L1374" s="5" t="n"/>
      <c r="M1374" s="5" t="n"/>
      <c r="N1374" s="5" t="n"/>
      <c r="O1374" s="8">
        <f>IF($B1374="","",IF(AND($A1374&lt;&gt;"",COUNTIF(INV_ID,$A1374)&gt;1),"⚠ this Unit ID already exists",IF(AND($H1374&lt;&gt;"",COUNTIF(INV_Serial,$H1374)&gt;1),"⚠ this serial already exists",IF(COUNTIFS(INV_Product,$B1374,INV_No,$C1374)&gt;1,"⚠ piece number reused",""))))</f>
        <v/>
      </c>
      <c r="P1374" s="5" t="n"/>
    </row>
    <row r="1375">
      <c r="A1375" s="8">
        <f>IF(OR($B1375="",$C1375=""),"",IFERROR(INDEX(PM_Short,MATCH($B1375,PM_ID,0))&amp;"-"&amp;TEXT($C1375,"00"),"?? no such product"))</f>
        <v/>
      </c>
      <c r="B1375" s="5" t="n"/>
      <c r="C1375" s="5" t="n"/>
      <c r="D1375" s="8">
        <f>IF($B1375="","",IFERROR(INDEX(PM_Category,MATCH($B1375,PM_ID,0)),""))</f>
        <v/>
      </c>
      <c r="E1375" s="8">
        <f>IF($B1375="","",IFERROR(INDEX(PM_Subcategory,MATCH($B1375,PM_ID,0)),""))</f>
        <v/>
      </c>
      <c r="F1375" s="8">
        <f>IF($B1375="","",IFERROR(INDEX(PM_Brand,MATCH($B1375,PM_ID,0)),""))</f>
        <v/>
      </c>
      <c r="G1375" s="8">
        <f>IF($B1375="","",IFERROR(INDEX(PM_Model,MATCH($B1375,PM_ID,0)),""))</f>
        <v/>
      </c>
      <c r="H1375" s="5" t="n"/>
      <c r="I1375" s="10" t="n"/>
      <c r="J1375" s="9" t="n"/>
      <c r="K1375" s="5" t="n"/>
      <c r="L1375" s="5" t="n"/>
      <c r="M1375" s="5" t="n"/>
      <c r="N1375" s="5" t="n"/>
      <c r="O1375" s="8">
        <f>IF($B1375="","",IF(AND($A1375&lt;&gt;"",COUNTIF(INV_ID,$A1375)&gt;1),"⚠ this Unit ID already exists",IF(AND($H1375&lt;&gt;"",COUNTIF(INV_Serial,$H1375)&gt;1),"⚠ this serial already exists",IF(COUNTIFS(INV_Product,$B1375,INV_No,$C1375)&gt;1,"⚠ piece number reused",""))))</f>
        <v/>
      </c>
      <c r="P1375" s="5" t="n"/>
    </row>
    <row r="1376">
      <c r="A1376" s="8">
        <f>IF(OR($B1376="",$C1376=""),"",IFERROR(INDEX(PM_Short,MATCH($B1376,PM_ID,0))&amp;"-"&amp;TEXT($C1376,"00"),"?? no such product"))</f>
        <v/>
      </c>
      <c r="B1376" s="5" t="n"/>
      <c r="C1376" s="5" t="n"/>
      <c r="D1376" s="8">
        <f>IF($B1376="","",IFERROR(INDEX(PM_Category,MATCH($B1376,PM_ID,0)),""))</f>
        <v/>
      </c>
      <c r="E1376" s="8">
        <f>IF($B1376="","",IFERROR(INDEX(PM_Subcategory,MATCH($B1376,PM_ID,0)),""))</f>
        <v/>
      </c>
      <c r="F1376" s="8">
        <f>IF($B1376="","",IFERROR(INDEX(PM_Brand,MATCH($B1376,PM_ID,0)),""))</f>
        <v/>
      </c>
      <c r="G1376" s="8">
        <f>IF($B1376="","",IFERROR(INDEX(PM_Model,MATCH($B1376,PM_ID,0)),""))</f>
        <v/>
      </c>
      <c r="H1376" s="5" t="n"/>
      <c r="I1376" s="10" t="n"/>
      <c r="J1376" s="9" t="n"/>
      <c r="K1376" s="5" t="n"/>
      <c r="L1376" s="5" t="n"/>
      <c r="M1376" s="5" t="n"/>
      <c r="N1376" s="5" t="n"/>
      <c r="O1376" s="8">
        <f>IF($B1376="","",IF(AND($A1376&lt;&gt;"",COUNTIF(INV_ID,$A1376)&gt;1),"⚠ this Unit ID already exists",IF(AND($H1376&lt;&gt;"",COUNTIF(INV_Serial,$H1376)&gt;1),"⚠ this serial already exists",IF(COUNTIFS(INV_Product,$B1376,INV_No,$C1376)&gt;1,"⚠ piece number reused",""))))</f>
        <v/>
      </c>
      <c r="P1376" s="5" t="n"/>
    </row>
    <row r="1377">
      <c r="A1377" s="8">
        <f>IF(OR($B1377="",$C1377=""),"",IFERROR(INDEX(PM_Short,MATCH($B1377,PM_ID,0))&amp;"-"&amp;TEXT($C1377,"00"),"?? no such product"))</f>
        <v/>
      </c>
      <c r="B1377" s="5" t="n"/>
      <c r="C1377" s="5" t="n"/>
      <c r="D1377" s="8">
        <f>IF($B1377="","",IFERROR(INDEX(PM_Category,MATCH($B1377,PM_ID,0)),""))</f>
        <v/>
      </c>
      <c r="E1377" s="8">
        <f>IF($B1377="","",IFERROR(INDEX(PM_Subcategory,MATCH($B1377,PM_ID,0)),""))</f>
        <v/>
      </c>
      <c r="F1377" s="8">
        <f>IF($B1377="","",IFERROR(INDEX(PM_Brand,MATCH($B1377,PM_ID,0)),""))</f>
        <v/>
      </c>
      <c r="G1377" s="8">
        <f>IF($B1377="","",IFERROR(INDEX(PM_Model,MATCH($B1377,PM_ID,0)),""))</f>
        <v/>
      </c>
      <c r="H1377" s="5" t="n"/>
      <c r="I1377" s="10" t="n"/>
      <c r="J1377" s="9" t="n"/>
      <c r="K1377" s="5" t="n"/>
      <c r="L1377" s="5" t="n"/>
      <c r="M1377" s="5" t="n"/>
      <c r="N1377" s="5" t="n"/>
      <c r="O1377" s="8">
        <f>IF($B1377="","",IF(AND($A1377&lt;&gt;"",COUNTIF(INV_ID,$A1377)&gt;1),"⚠ this Unit ID already exists",IF(AND($H1377&lt;&gt;"",COUNTIF(INV_Serial,$H1377)&gt;1),"⚠ this serial already exists",IF(COUNTIFS(INV_Product,$B1377,INV_No,$C1377)&gt;1,"⚠ piece number reused",""))))</f>
        <v/>
      </c>
      <c r="P1377" s="5" t="n"/>
    </row>
    <row r="1378">
      <c r="A1378" s="8">
        <f>IF(OR($B1378="",$C1378=""),"",IFERROR(INDEX(PM_Short,MATCH($B1378,PM_ID,0))&amp;"-"&amp;TEXT($C1378,"00"),"?? no such product"))</f>
        <v/>
      </c>
      <c r="B1378" s="5" t="n"/>
      <c r="C1378" s="5" t="n"/>
      <c r="D1378" s="8">
        <f>IF($B1378="","",IFERROR(INDEX(PM_Category,MATCH($B1378,PM_ID,0)),""))</f>
        <v/>
      </c>
      <c r="E1378" s="8">
        <f>IF($B1378="","",IFERROR(INDEX(PM_Subcategory,MATCH($B1378,PM_ID,0)),""))</f>
        <v/>
      </c>
      <c r="F1378" s="8">
        <f>IF($B1378="","",IFERROR(INDEX(PM_Brand,MATCH($B1378,PM_ID,0)),""))</f>
        <v/>
      </c>
      <c r="G1378" s="8">
        <f>IF($B1378="","",IFERROR(INDEX(PM_Model,MATCH($B1378,PM_ID,0)),""))</f>
        <v/>
      </c>
      <c r="H1378" s="5" t="n"/>
      <c r="I1378" s="10" t="n"/>
      <c r="J1378" s="9" t="n"/>
      <c r="K1378" s="5" t="n"/>
      <c r="L1378" s="5" t="n"/>
      <c r="M1378" s="5" t="n"/>
      <c r="N1378" s="5" t="n"/>
      <c r="O1378" s="8">
        <f>IF($B1378="","",IF(AND($A1378&lt;&gt;"",COUNTIF(INV_ID,$A1378)&gt;1),"⚠ this Unit ID already exists",IF(AND($H1378&lt;&gt;"",COUNTIF(INV_Serial,$H1378)&gt;1),"⚠ this serial already exists",IF(COUNTIFS(INV_Product,$B1378,INV_No,$C1378)&gt;1,"⚠ piece number reused",""))))</f>
        <v/>
      </c>
      <c r="P1378" s="5" t="n"/>
    </row>
    <row r="1379">
      <c r="A1379" s="8">
        <f>IF(OR($B1379="",$C1379=""),"",IFERROR(INDEX(PM_Short,MATCH($B1379,PM_ID,0))&amp;"-"&amp;TEXT($C1379,"00"),"?? no such product"))</f>
        <v/>
      </c>
      <c r="B1379" s="5" t="n"/>
      <c r="C1379" s="5" t="n"/>
      <c r="D1379" s="8">
        <f>IF($B1379="","",IFERROR(INDEX(PM_Category,MATCH($B1379,PM_ID,0)),""))</f>
        <v/>
      </c>
      <c r="E1379" s="8">
        <f>IF($B1379="","",IFERROR(INDEX(PM_Subcategory,MATCH($B1379,PM_ID,0)),""))</f>
        <v/>
      </c>
      <c r="F1379" s="8">
        <f>IF($B1379="","",IFERROR(INDEX(PM_Brand,MATCH($B1379,PM_ID,0)),""))</f>
        <v/>
      </c>
      <c r="G1379" s="8">
        <f>IF($B1379="","",IFERROR(INDEX(PM_Model,MATCH($B1379,PM_ID,0)),""))</f>
        <v/>
      </c>
      <c r="H1379" s="5" t="n"/>
      <c r="I1379" s="10" t="n"/>
      <c r="J1379" s="9" t="n"/>
      <c r="K1379" s="5" t="n"/>
      <c r="L1379" s="5" t="n"/>
      <c r="M1379" s="5" t="n"/>
      <c r="N1379" s="5" t="n"/>
      <c r="O1379" s="8">
        <f>IF($B1379="","",IF(AND($A1379&lt;&gt;"",COUNTIF(INV_ID,$A1379)&gt;1),"⚠ this Unit ID already exists",IF(AND($H1379&lt;&gt;"",COUNTIF(INV_Serial,$H1379)&gt;1),"⚠ this serial already exists",IF(COUNTIFS(INV_Product,$B1379,INV_No,$C1379)&gt;1,"⚠ piece number reused",""))))</f>
        <v/>
      </c>
      <c r="P1379" s="5" t="n"/>
    </row>
    <row r="1380">
      <c r="A1380" s="8">
        <f>IF(OR($B1380="",$C1380=""),"",IFERROR(INDEX(PM_Short,MATCH($B1380,PM_ID,0))&amp;"-"&amp;TEXT($C1380,"00"),"?? no such product"))</f>
        <v/>
      </c>
      <c r="B1380" s="5" t="n"/>
      <c r="C1380" s="5" t="n"/>
      <c r="D1380" s="8">
        <f>IF($B1380="","",IFERROR(INDEX(PM_Category,MATCH($B1380,PM_ID,0)),""))</f>
        <v/>
      </c>
      <c r="E1380" s="8">
        <f>IF($B1380="","",IFERROR(INDEX(PM_Subcategory,MATCH($B1380,PM_ID,0)),""))</f>
        <v/>
      </c>
      <c r="F1380" s="8">
        <f>IF($B1380="","",IFERROR(INDEX(PM_Brand,MATCH($B1380,PM_ID,0)),""))</f>
        <v/>
      </c>
      <c r="G1380" s="8">
        <f>IF($B1380="","",IFERROR(INDEX(PM_Model,MATCH($B1380,PM_ID,0)),""))</f>
        <v/>
      </c>
      <c r="H1380" s="5" t="n"/>
      <c r="I1380" s="10" t="n"/>
      <c r="J1380" s="9" t="n"/>
      <c r="K1380" s="5" t="n"/>
      <c r="L1380" s="5" t="n"/>
      <c r="M1380" s="5" t="n"/>
      <c r="N1380" s="5" t="n"/>
      <c r="O1380" s="8">
        <f>IF($B1380="","",IF(AND($A1380&lt;&gt;"",COUNTIF(INV_ID,$A1380)&gt;1),"⚠ this Unit ID already exists",IF(AND($H1380&lt;&gt;"",COUNTIF(INV_Serial,$H1380)&gt;1),"⚠ this serial already exists",IF(COUNTIFS(INV_Product,$B1380,INV_No,$C1380)&gt;1,"⚠ piece number reused",""))))</f>
        <v/>
      </c>
      <c r="P1380" s="5" t="n"/>
    </row>
    <row r="1381">
      <c r="A1381" s="8">
        <f>IF(OR($B1381="",$C1381=""),"",IFERROR(INDEX(PM_Short,MATCH($B1381,PM_ID,0))&amp;"-"&amp;TEXT($C1381,"00"),"?? no such product"))</f>
        <v/>
      </c>
      <c r="B1381" s="5" t="n"/>
      <c r="C1381" s="5" t="n"/>
      <c r="D1381" s="8">
        <f>IF($B1381="","",IFERROR(INDEX(PM_Category,MATCH($B1381,PM_ID,0)),""))</f>
        <v/>
      </c>
      <c r="E1381" s="8">
        <f>IF($B1381="","",IFERROR(INDEX(PM_Subcategory,MATCH($B1381,PM_ID,0)),""))</f>
        <v/>
      </c>
      <c r="F1381" s="8">
        <f>IF($B1381="","",IFERROR(INDEX(PM_Brand,MATCH($B1381,PM_ID,0)),""))</f>
        <v/>
      </c>
      <c r="G1381" s="8">
        <f>IF($B1381="","",IFERROR(INDEX(PM_Model,MATCH($B1381,PM_ID,0)),""))</f>
        <v/>
      </c>
      <c r="H1381" s="5" t="n"/>
      <c r="I1381" s="10" t="n"/>
      <c r="J1381" s="9" t="n"/>
      <c r="K1381" s="5" t="n"/>
      <c r="L1381" s="5" t="n"/>
      <c r="M1381" s="5" t="n"/>
      <c r="N1381" s="5" t="n"/>
      <c r="O1381" s="8">
        <f>IF($B1381="","",IF(AND($A1381&lt;&gt;"",COUNTIF(INV_ID,$A1381)&gt;1),"⚠ this Unit ID already exists",IF(AND($H1381&lt;&gt;"",COUNTIF(INV_Serial,$H1381)&gt;1),"⚠ this serial already exists",IF(COUNTIFS(INV_Product,$B1381,INV_No,$C1381)&gt;1,"⚠ piece number reused",""))))</f>
        <v/>
      </c>
      <c r="P1381" s="5" t="n"/>
    </row>
    <row r="1382">
      <c r="A1382" s="8">
        <f>IF(OR($B1382="",$C1382=""),"",IFERROR(INDEX(PM_Short,MATCH($B1382,PM_ID,0))&amp;"-"&amp;TEXT($C1382,"00"),"?? no such product"))</f>
        <v/>
      </c>
      <c r="B1382" s="5" t="n"/>
      <c r="C1382" s="5" t="n"/>
      <c r="D1382" s="8">
        <f>IF($B1382="","",IFERROR(INDEX(PM_Category,MATCH($B1382,PM_ID,0)),""))</f>
        <v/>
      </c>
      <c r="E1382" s="8">
        <f>IF($B1382="","",IFERROR(INDEX(PM_Subcategory,MATCH($B1382,PM_ID,0)),""))</f>
        <v/>
      </c>
      <c r="F1382" s="8">
        <f>IF($B1382="","",IFERROR(INDEX(PM_Brand,MATCH($B1382,PM_ID,0)),""))</f>
        <v/>
      </c>
      <c r="G1382" s="8">
        <f>IF($B1382="","",IFERROR(INDEX(PM_Model,MATCH($B1382,PM_ID,0)),""))</f>
        <v/>
      </c>
      <c r="H1382" s="5" t="n"/>
      <c r="I1382" s="10" t="n"/>
      <c r="J1382" s="9" t="n"/>
      <c r="K1382" s="5" t="n"/>
      <c r="L1382" s="5" t="n"/>
      <c r="M1382" s="5" t="n"/>
      <c r="N1382" s="5" t="n"/>
      <c r="O1382" s="8">
        <f>IF($B1382="","",IF(AND($A1382&lt;&gt;"",COUNTIF(INV_ID,$A1382)&gt;1),"⚠ this Unit ID already exists",IF(AND($H1382&lt;&gt;"",COUNTIF(INV_Serial,$H1382)&gt;1),"⚠ this serial already exists",IF(COUNTIFS(INV_Product,$B1382,INV_No,$C1382)&gt;1,"⚠ piece number reused",""))))</f>
        <v/>
      </c>
      <c r="P1382" s="5" t="n"/>
    </row>
    <row r="1383">
      <c r="A1383" s="8">
        <f>IF(OR($B1383="",$C1383=""),"",IFERROR(INDEX(PM_Short,MATCH($B1383,PM_ID,0))&amp;"-"&amp;TEXT($C1383,"00"),"?? no such product"))</f>
        <v/>
      </c>
      <c r="B1383" s="5" t="n"/>
      <c r="C1383" s="5" t="n"/>
      <c r="D1383" s="8">
        <f>IF($B1383="","",IFERROR(INDEX(PM_Category,MATCH($B1383,PM_ID,0)),""))</f>
        <v/>
      </c>
      <c r="E1383" s="8">
        <f>IF($B1383="","",IFERROR(INDEX(PM_Subcategory,MATCH($B1383,PM_ID,0)),""))</f>
        <v/>
      </c>
      <c r="F1383" s="8">
        <f>IF($B1383="","",IFERROR(INDEX(PM_Brand,MATCH($B1383,PM_ID,0)),""))</f>
        <v/>
      </c>
      <c r="G1383" s="8">
        <f>IF($B1383="","",IFERROR(INDEX(PM_Model,MATCH($B1383,PM_ID,0)),""))</f>
        <v/>
      </c>
      <c r="H1383" s="5" t="n"/>
      <c r="I1383" s="10" t="n"/>
      <c r="J1383" s="9" t="n"/>
      <c r="K1383" s="5" t="n"/>
      <c r="L1383" s="5" t="n"/>
      <c r="M1383" s="5" t="n"/>
      <c r="N1383" s="5" t="n"/>
      <c r="O1383" s="8">
        <f>IF($B1383="","",IF(AND($A1383&lt;&gt;"",COUNTIF(INV_ID,$A1383)&gt;1),"⚠ this Unit ID already exists",IF(AND($H1383&lt;&gt;"",COUNTIF(INV_Serial,$H1383)&gt;1),"⚠ this serial already exists",IF(COUNTIFS(INV_Product,$B1383,INV_No,$C1383)&gt;1,"⚠ piece number reused",""))))</f>
        <v/>
      </c>
      <c r="P1383" s="5" t="n"/>
    </row>
    <row r="1384">
      <c r="A1384" s="8">
        <f>IF(OR($B1384="",$C1384=""),"",IFERROR(INDEX(PM_Short,MATCH($B1384,PM_ID,0))&amp;"-"&amp;TEXT($C1384,"00"),"?? no such product"))</f>
        <v/>
      </c>
      <c r="B1384" s="5" t="n"/>
      <c r="C1384" s="5" t="n"/>
      <c r="D1384" s="8">
        <f>IF($B1384="","",IFERROR(INDEX(PM_Category,MATCH($B1384,PM_ID,0)),""))</f>
        <v/>
      </c>
      <c r="E1384" s="8">
        <f>IF($B1384="","",IFERROR(INDEX(PM_Subcategory,MATCH($B1384,PM_ID,0)),""))</f>
        <v/>
      </c>
      <c r="F1384" s="8">
        <f>IF($B1384="","",IFERROR(INDEX(PM_Brand,MATCH($B1384,PM_ID,0)),""))</f>
        <v/>
      </c>
      <c r="G1384" s="8">
        <f>IF($B1384="","",IFERROR(INDEX(PM_Model,MATCH($B1384,PM_ID,0)),""))</f>
        <v/>
      </c>
      <c r="H1384" s="5" t="n"/>
      <c r="I1384" s="10" t="n"/>
      <c r="J1384" s="9" t="n"/>
      <c r="K1384" s="5" t="n"/>
      <c r="L1384" s="5" t="n"/>
      <c r="M1384" s="5" t="n"/>
      <c r="N1384" s="5" t="n"/>
      <c r="O1384" s="8">
        <f>IF($B1384="","",IF(AND($A1384&lt;&gt;"",COUNTIF(INV_ID,$A1384)&gt;1),"⚠ this Unit ID already exists",IF(AND($H1384&lt;&gt;"",COUNTIF(INV_Serial,$H1384)&gt;1),"⚠ this serial already exists",IF(COUNTIFS(INV_Product,$B1384,INV_No,$C1384)&gt;1,"⚠ piece number reused",""))))</f>
        <v/>
      </c>
      <c r="P1384" s="5" t="n"/>
    </row>
    <row r="1385">
      <c r="A1385" s="8">
        <f>IF(OR($B1385="",$C1385=""),"",IFERROR(INDEX(PM_Short,MATCH($B1385,PM_ID,0))&amp;"-"&amp;TEXT($C1385,"00"),"?? no such product"))</f>
        <v/>
      </c>
      <c r="B1385" s="5" t="n"/>
      <c r="C1385" s="5" t="n"/>
      <c r="D1385" s="8">
        <f>IF($B1385="","",IFERROR(INDEX(PM_Category,MATCH($B1385,PM_ID,0)),""))</f>
        <v/>
      </c>
      <c r="E1385" s="8">
        <f>IF($B1385="","",IFERROR(INDEX(PM_Subcategory,MATCH($B1385,PM_ID,0)),""))</f>
        <v/>
      </c>
      <c r="F1385" s="8">
        <f>IF($B1385="","",IFERROR(INDEX(PM_Brand,MATCH($B1385,PM_ID,0)),""))</f>
        <v/>
      </c>
      <c r="G1385" s="8">
        <f>IF($B1385="","",IFERROR(INDEX(PM_Model,MATCH($B1385,PM_ID,0)),""))</f>
        <v/>
      </c>
      <c r="H1385" s="5" t="n"/>
      <c r="I1385" s="10" t="n"/>
      <c r="J1385" s="9" t="n"/>
      <c r="K1385" s="5" t="n"/>
      <c r="L1385" s="5" t="n"/>
      <c r="M1385" s="5" t="n"/>
      <c r="N1385" s="5" t="n"/>
      <c r="O1385" s="8">
        <f>IF($B1385="","",IF(AND($A1385&lt;&gt;"",COUNTIF(INV_ID,$A1385)&gt;1),"⚠ this Unit ID already exists",IF(AND($H1385&lt;&gt;"",COUNTIF(INV_Serial,$H1385)&gt;1),"⚠ this serial already exists",IF(COUNTIFS(INV_Product,$B1385,INV_No,$C1385)&gt;1,"⚠ piece number reused",""))))</f>
        <v/>
      </c>
      <c r="P1385" s="5" t="n"/>
    </row>
    <row r="1386">
      <c r="A1386" s="8">
        <f>IF(OR($B1386="",$C1386=""),"",IFERROR(INDEX(PM_Short,MATCH($B1386,PM_ID,0))&amp;"-"&amp;TEXT($C1386,"00"),"?? no such product"))</f>
        <v/>
      </c>
      <c r="B1386" s="5" t="n"/>
      <c r="C1386" s="5" t="n"/>
      <c r="D1386" s="8">
        <f>IF($B1386="","",IFERROR(INDEX(PM_Category,MATCH($B1386,PM_ID,0)),""))</f>
        <v/>
      </c>
      <c r="E1386" s="8">
        <f>IF($B1386="","",IFERROR(INDEX(PM_Subcategory,MATCH($B1386,PM_ID,0)),""))</f>
        <v/>
      </c>
      <c r="F1386" s="8">
        <f>IF($B1386="","",IFERROR(INDEX(PM_Brand,MATCH($B1386,PM_ID,0)),""))</f>
        <v/>
      </c>
      <c r="G1386" s="8">
        <f>IF($B1386="","",IFERROR(INDEX(PM_Model,MATCH($B1386,PM_ID,0)),""))</f>
        <v/>
      </c>
      <c r="H1386" s="5" t="n"/>
      <c r="I1386" s="10" t="n"/>
      <c r="J1386" s="9" t="n"/>
      <c r="K1386" s="5" t="n"/>
      <c r="L1386" s="5" t="n"/>
      <c r="M1386" s="5" t="n"/>
      <c r="N1386" s="5" t="n"/>
      <c r="O1386" s="8">
        <f>IF($B1386="","",IF(AND($A1386&lt;&gt;"",COUNTIF(INV_ID,$A1386)&gt;1),"⚠ this Unit ID already exists",IF(AND($H1386&lt;&gt;"",COUNTIF(INV_Serial,$H1386)&gt;1),"⚠ this serial already exists",IF(COUNTIFS(INV_Product,$B1386,INV_No,$C1386)&gt;1,"⚠ piece number reused",""))))</f>
        <v/>
      </c>
      <c r="P1386" s="5" t="n"/>
    </row>
    <row r="1387">
      <c r="A1387" s="8">
        <f>IF(OR($B1387="",$C1387=""),"",IFERROR(INDEX(PM_Short,MATCH($B1387,PM_ID,0))&amp;"-"&amp;TEXT($C1387,"00"),"?? no such product"))</f>
        <v/>
      </c>
      <c r="B1387" s="5" t="n"/>
      <c r="C1387" s="5" t="n"/>
      <c r="D1387" s="8">
        <f>IF($B1387="","",IFERROR(INDEX(PM_Category,MATCH($B1387,PM_ID,0)),""))</f>
        <v/>
      </c>
      <c r="E1387" s="8">
        <f>IF($B1387="","",IFERROR(INDEX(PM_Subcategory,MATCH($B1387,PM_ID,0)),""))</f>
        <v/>
      </c>
      <c r="F1387" s="8">
        <f>IF($B1387="","",IFERROR(INDEX(PM_Brand,MATCH($B1387,PM_ID,0)),""))</f>
        <v/>
      </c>
      <c r="G1387" s="8">
        <f>IF($B1387="","",IFERROR(INDEX(PM_Model,MATCH($B1387,PM_ID,0)),""))</f>
        <v/>
      </c>
      <c r="H1387" s="5" t="n"/>
      <c r="I1387" s="10" t="n"/>
      <c r="J1387" s="9" t="n"/>
      <c r="K1387" s="5" t="n"/>
      <c r="L1387" s="5" t="n"/>
      <c r="M1387" s="5" t="n"/>
      <c r="N1387" s="5" t="n"/>
      <c r="O1387" s="8">
        <f>IF($B1387="","",IF(AND($A1387&lt;&gt;"",COUNTIF(INV_ID,$A1387)&gt;1),"⚠ this Unit ID already exists",IF(AND($H1387&lt;&gt;"",COUNTIF(INV_Serial,$H1387)&gt;1),"⚠ this serial already exists",IF(COUNTIFS(INV_Product,$B1387,INV_No,$C1387)&gt;1,"⚠ piece number reused",""))))</f>
        <v/>
      </c>
      <c r="P1387" s="5" t="n"/>
    </row>
    <row r="1388">
      <c r="A1388" s="8">
        <f>IF(OR($B1388="",$C1388=""),"",IFERROR(INDEX(PM_Short,MATCH($B1388,PM_ID,0))&amp;"-"&amp;TEXT($C1388,"00"),"?? no such product"))</f>
        <v/>
      </c>
      <c r="B1388" s="5" t="n"/>
      <c r="C1388" s="5" t="n"/>
      <c r="D1388" s="8">
        <f>IF($B1388="","",IFERROR(INDEX(PM_Category,MATCH($B1388,PM_ID,0)),""))</f>
        <v/>
      </c>
      <c r="E1388" s="8">
        <f>IF($B1388="","",IFERROR(INDEX(PM_Subcategory,MATCH($B1388,PM_ID,0)),""))</f>
        <v/>
      </c>
      <c r="F1388" s="8">
        <f>IF($B1388="","",IFERROR(INDEX(PM_Brand,MATCH($B1388,PM_ID,0)),""))</f>
        <v/>
      </c>
      <c r="G1388" s="8">
        <f>IF($B1388="","",IFERROR(INDEX(PM_Model,MATCH($B1388,PM_ID,0)),""))</f>
        <v/>
      </c>
      <c r="H1388" s="5" t="n"/>
      <c r="I1388" s="10" t="n"/>
      <c r="J1388" s="9" t="n"/>
      <c r="K1388" s="5" t="n"/>
      <c r="L1388" s="5" t="n"/>
      <c r="M1388" s="5" t="n"/>
      <c r="N1388" s="5" t="n"/>
      <c r="O1388" s="8">
        <f>IF($B1388="","",IF(AND($A1388&lt;&gt;"",COUNTIF(INV_ID,$A1388)&gt;1),"⚠ this Unit ID already exists",IF(AND($H1388&lt;&gt;"",COUNTIF(INV_Serial,$H1388)&gt;1),"⚠ this serial already exists",IF(COUNTIFS(INV_Product,$B1388,INV_No,$C1388)&gt;1,"⚠ piece number reused",""))))</f>
        <v/>
      </c>
      <c r="P1388" s="5" t="n"/>
    </row>
    <row r="1389">
      <c r="A1389" s="8">
        <f>IF(OR($B1389="",$C1389=""),"",IFERROR(INDEX(PM_Short,MATCH($B1389,PM_ID,0))&amp;"-"&amp;TEXT($C1389,"00"),"?? no such product"))</f>
        <v/>
      </c>
      <c r="B1389" s="5" t="n"/>
      <c r="C1389" s="5" t="n"/>
      <c r="D1389" s="8">
        <f>IF($B1389="","",IFERROR(INDEX(PM_Category,MATCH($B1389,PM_ID,0)),""))</f>
        <v/>
      </c>
      <c r="E1389" s="8">
        <f>IF($B1389="","",IFERROR(INDEX(PM_Subcategory,MATCH($B1389,PM_ID,0)),""))</f>
        <v/>
      </c>
      <c r="F1389" s="8">
        <f>IF($B1389="","",IFERROR(INDEX(PM_Brand,MATCH($B1389,PM_ID,0)),""))</f>
        <v/>
      </c>
      <c r="G1389" s="8">
        <f>IF($B1389="","",IFERROR(INDEX(PM_Model,MATCH($B1389,PM_ID,0)),""))</f>
        <v/>
      </c>
      <c r="H1389" s="5" t="n"/>
      <c r="I1389" s="10" t="n"/>
      <c r="J1389" s="9" t="n"/>
      <c r="K1389" s="5" t="n"/>
      <c r="L1389" s="5" t="n"/>
      <c r="M1389" s="5" t="n"/>
      <c r="N1389" s="5" t="n"/>
      <c r="O1389" s="8">
        <f>IF($B1389="","",IF(AND($A1389&lt;&gt;"",COUNTIF(INV_ID,$A1389)&gt;1),"⚠ this Unit ID already exists",IF(AND($H1389&lt;&gt;"",COUNTIF(INV_Serial,$H1389)&gt;1),"⚠ this serial already exists",IF(COUNTIFS(INV_Product,$B1389,INV_No,$C1389)&gt;1,"⚠ piece number reused",""))))</f>
        <v/>
      </c>
      <c r="P1389" s="5" t="n"/>
    </row>
    <row r="1390">
      <c r="A1390" s="8">
        <f>IF(OR($B1390="",$C1390=""),"",IFERROR(INDEX(PM_Short,MATCH($B1390,PM_ID,0))&amp;"-"&amp;TEXT($C1390,"00"),"?? no such product"))</f>
        <v/>
      </c>
      <c r="B1390" s="5" t="n"/>
      <c r="C1390" s="5" t="n"/>
      <c r="D1390" s="8">
        <f>IF($B1390="","",IFERROR(INDEX(PM_Category,MATCH($B1390,PM_ID,0)),""))</f>
        <v/>
      </c>
      <c r="E1390" s="8">
        <f>IF($B1390="","",IFERROR(INDEX(PM_Subcategory,MATCH($B1390,PM_ID,0)),""))</f>
        <v/>
      </c>
      <c r="F1390" s="8">
        <f>IF($B1390="","",IFERROR(INDEX(PM_Brand,MATCH($B1390,PM_ID,0)),""))</f>
        <v/>
      </c>
      <c r="G1390" s="8">
        <f>IF($B1390="","",IFERROR(INDEX(PM_Model,MATCH($B1390,PM_ID,0)),""))</f>
        <v/>
      </c>
      <c r="H1390" s="5" t="n"/>
      <c r="I1390" s="10" t="n"/>
      <c r="J1390" s="9" t="n"/>
      <c r="K1390" s="5" t="n"/>
      <c r="L1390" s="5" t="n"/>
      <c r="M1390" s="5" t="n"/>
      <c r="N1390" s="5" t="n"/>
      <c r="O1390" s="8">
        <f>IF($B1390="","",IF(AND($A1390&lt;&gt;"",COUNTIF(INV_ID,$A1390)&gt;1),"⚠ this Unit ID already exists",IF(AND($H1390&lt;&gt;"",COUNTIF(INV_Serial,$H1390)&gt;1),"⚠ this serial already exists",IF(COUNTIFS(INV_Product,$B1390,INV_No,$C1390)&gt;1,"⚠ piece number reused",""))))</f>
        <v/>
      </c>
      <c r="P1390" s="5" t="n"/>
    </row>
    <row r="1391">
      <c r="A1391" s="8">
        <f>IF(OR($B1391="",$C1391=""),"",IFERROR(INDEX(PM_Short,MATCH($B1391,PM_ID,0))&amp;"-"&amp;TEXT($C1391,"00"),"?? no such product"))</f>
        <v/>
      </c>
      <c r="B1391" s="5" t="n"/>
      <c r="C1391" s="5" t="n"/>
      <c r="D1391" s="8">
        <f>IF($B1391="","",IFERROR(INDEX(PM_Category,MATCH($B1391,PM_ID,0)),""))</f>
        <v/>
      </c>
      <c r="E1391" s="8">
        <f>IF($B1391="","",IFERROR(INDEX(PM_Subcategory,MATCH($B1391,PM_ID,0)),""))</f>
        <v/>
      </c>
      <c r="F1391" s="8">
        <f>IF($B1391="","",IFERROR(INDEX(PM_Brand,MATCH($B1391,PM_ID,0)),""))</f>
        <v/>
      </c>
      <c r="G1391" s="8">
        <f>IF($B1391="","",IFERROR(INDEX(PM_Model,MATCH($B1391,PM_ID,0)),""))</f>
        <v/>
      </c>
      <c r="H1391" s="5" t="n"/>
      <c r="I1391" s="10" t="n"/>
      <c r="J1391" s="9" t="n"/>
      <c r="K1391" s="5" t="n"/>
      <c r="L1391" s="5" t="n"/>
      <c r="M1391" s="5" t="n"/>
      <c r="N1391" s="5" t="n"/>
      <c r="O1391" s="8">
        <f>IF($B1391="","",IF(AND($A1391&lt;&gt;"",COUNTIF(INV_ID,$A1391)&gt;1),"⚠ this Unit ID already exists",IF(AND($H1391&lt;&gt;"",COUNTIF(INV_Serial,$H1391)&gt;1),"⚠ this serial already exists",IF(COUNTIFS(INV_Product,$B1391,INV_No,$C1391)&gt;1,"⚠ piece number reused",""))))</f>
        <v/>
      </c>
      <c r="P1391" s="5" t="n"/>
    </row>
    <row r="1392">
      <c r="A1392" s="8">
        <f>IF(OR($B1392="",$C1392=""),"",IFERROR(INDEX(PM_Short,MATCH($B1392,PM_ID,0))&amp;"-"&amp;TEXT($C1392,"00"),"?? no such product"))</f>
        <v/>
      </c>
      <c r="B1392" s="5" t="n"/>
      <c r="C1392" s="5" t="n"/>
      <c r="D1392" s="8">
        <f>IF($B1392="","",IFERROR(INDEX(PM_Category,MATCH($B1392,PM_ID,0)),""))</f>
        <v/>
      </c>
      <c r="E1392" s="8">
        <f>IF($B1392="","",IFERROR(INDEX(PM_Subcategory,MATCH($B1392,PM_ID,0)),""))</f>
        <v/>
      </c>
      <c r="F1392" s="8">
        <f>IF($B1392="","",IFERROR(INDEX(PM_Brand,MATCH($B1392,PM_ID,0)),""))</f>
        <v/>
      </c>
      <c r="G1392" s="8">
        <f>IF($B1392="","",IFERROR(INDEX(PM_Model,MATCH($B1392,PM_ID,0)),""))</f>
        <v/>
      </c>
      <c r="H1392" s="5" t="n"/>
      <c r="I1392" s="10" t="n"/>
      <c r="J1392" s="9" t="n"/>
      <c r="K1392" s="5" t="n"/>
      <c r="L1392" s="5" t="n"/>
      <c r="M1392" s="5" t="n"/>
      <c r="N1392" s="5" t="n"/>
      <c r="O1392" s="8">
        <f>IF($B1392="","",IF(AND($A1392&lt;&gt;"",COUNTIF(INV_ID,$A1392)&gt;1),"⚠ this Unit ID already exists",IF(AND($H1392&lt;&gt;"",COUNTIF(INV_Serial,$H1392)&gt;1),"⚠ this serial already exists",IF(COUNTIFS(INV_Product,$B1392,INV_No,$C1392)&gt;1,"⚠ piece number reused",""))))</f>
        <v/>
      </c>
      <c r="P1392" s="5" t="n"/>
    </row>
    <row r="1393">
      <c r="A1393" s="8">
        <f>IF(OR($B1393="",$C1393=""),"",IFERROR(INDEX(PM_Short,MATCH($B1393,PM_ID,0))&amp;"-"&amp;TEXT($C1393,"00"),"?? no such product"))</f>
        <v/>
      </c>
      <c r="B1393" s="5" t="n"/>
      <c r="C1393" s="5" t="n"/>
      <c r="D1393" s="8">
        <f>IF($B1393="","",IFERROR(INDEX(PM_Category,MATCH($B1393,PM_ID,0)),""))</f>
        <v/>
      </c>
      <c r="E1393" s="8">
        <f>IF($B1393="","",IFERROR(INDEX(PM_Subcategory,MATCH($B1393,PM_ID,0)),""))</f>
        <v/>
      </c>
      <c r="F1393" s="8">
        <f>IF($B1393="","",IFERROR(INDEX(PM_Brand,MATCH($B1393,PM_ID,0)),""))</f>
        <v/>
      </c>
      <c r="G1393" s="8">
        <f>IF($B1393="","",IFERROR(INDEX(PM_Model,MATCH($B1393,PM_ID,0)),""))</f>
        <v/>
      </c>
      <c r="H1393" s="5" t="n"/>
      <c r="I1393" s="10" t="n"/>
      <c r="J1393" s="9" t="n"/>
      <c r="K1393" s="5" t="n"/>
      <c r="L1393" s="5" t="n"/>
      <c r="M1393" s="5" t="n"/>
      <c r="N1393" s="5" t="n"/>
      <c r="O1393" s="8">
        <f>IF($B1393="","",IF(AND($A1393&lt;&gt;"",COUNTIF(INV_ID,$A1393)&gt;1),"⚠ this Unit ID already exists",IF(AND($H1393&lt;&gt;"",COUNTIF(INV_Serial,$H1393)&gt;1),"⚠ this serial already exists",IF(COUNTIFS(INV_Product,$B1393,INV_No,$C1393)&gt;1,"⚠ piece number reused",""))))</f>
        <v/>
      </c>
      <c r="P1393" s="5" t="n"/>
    </row>
    <row r="1394">
      <c r="A1394" s="8">
        <f>IF(OR($B1394="",$C1394=""),"",IFERROR(INDEX(PM_Short,MATCH($B1394,PM_ID,0))&amp;"-"&amp;TEXT($C1394,"00"),"?? no such product"))</f>
        <v/>
      </c>
      <c r="B1394" s="5" t="n"/>
      <c r="C1394" s="5" t="n"/>
      <c r="D1394" s="8">
        <f>IF($B1394="","",IFERROR(INDEX(PM_Category,MATCH($B1394,PM_ID,0)),""))</f>
        <v/>
      </c>
      <c r="E1394" s="8">
        <f>IF($B1394="","",IFERROR(INDEX(PM_Subcategory,MATCH($B1394,PM_ID,0)),""))</f>
        <v/>
      </c>
      <c r="F1394" s="8">
        <f>IF($B1394="","",IFERROR(INDEX(PM_Brand,MATCH($B1394,PM_ID,0)),""))</f>
        <v/>
      </c>
      <c r="G1394" s="8">
        <f>IF($B1394="","",IFERROR(INDEX(PM_Model,MATCH($B1394,PM_ID,0)),""))</f>
        <v/>
      </c>
      <c r="H1394" s="5" t="n"/>
      <c r="I1394" s="10" t="n"/>
      <c r="J1394" s="9" t="n"/>
      <c r="K1394" s="5" t="n"/>
      <c r="L1394" s="5" t="n"/>
      <c r="M1394" s="5" t="n"/>
      <c r="N1394" s="5" t="n"/>
      <c r="O1394" s="8">
        <f>IF($B1394="","",IF(AND($A1394&lt;&gt;"",COUNTIF(INV_ID,$A1394)&gt;1),"⚠ this Unit ID already exists",IF(AND($H1394&lt;&gt;"",COUNTIF(INV_Serial,$H1394)&gt;1),"⚠ this serial already exists",IF(COUNTIFS(INV_Product,$B1394,INV_No,$C1394)&gt;1,"⚠ piece number reused",""))))</f>
        <v/>
      </c>
      <c r="P1394" s="5" t="n"/>
    </row>
    <row r="1395">
      <c r="A1395" s="8">
        <f>IF(OR($B1395="",$C1395=""),"",IFERROR(INDEX(PM_Short,MATCH($B1395,PM_ID,0))&amp;"-"&amp;TEXT($C1395,"00"),"?? no such product"))</f>
        <v/>
      </c>
      <c r="B1395" s="5" t="n"/>
      <c r="C1395" s="5" t="n"/>
      <c r="D1395" s="8">
        <f>IF($B1395="","",IFERROR(INDEX(PM_Category,MATCH($B1395,PM_ID,0)),""))</f>
        <v/>
      </c>
      <c r="E1395" s="8">
        <f>IF($B1395="","",IFERROR(INDEX(PM_Subcategory,MATCH($B1395,PM_ID,0)),""))</f>
        <v/>
      </c>
      <c r="F1395" s="8">
        <f>IF($B1395="","",IFERROR(INDEX(PM_Brand,MATCH($B1395,PM_ID,0)),""))</f>
        <v/>
      </c>
      <c r="G1395" s="8">
        <f>IF($B1395="","",IFERROR(INDEX(PM_Model,MATCH($B1395,PM_ID,0)),""))</f>
        <v/>
      </c>
      <c r="H1395" s="5" t="n"/>
      <c r="I1395" s="10" t="n"/>
      <c r="J1395" s="9" t="n"/>
      <c r="K1395" s="5" t="n"/>
      <c r="L1395" s="5" t="n"/>
      <c r="M1395" s="5" t="n"/>
      <c r="N1395" s="5" t="n"/>
      <c r="O1395" s="8">
        <f>IF($B1395="","",IF(AND($A1395&lt;&gt;"",COUNTIF(INV_ID,$A1395)&gt;1),"⚠ this Unit ID already exists",IF(AND($H1395&lt;&gt;"",COUNTIF(INV_Serial,$H1395)&gt;1),"⚠ this serial already exists",IF(COUNTIFS(INV_Product,$B1395,INV_No,$C1395)&gt;1,"⚠ piece number reused",""))))</f>
        <v/>
      </c>
      <c r="P1395" s="5" t="n"/>
    </row>
    <row r="1396">
      <c r="A1396" s="8">
        <f>IF(OR($B1396="",$C1396=""),"",IFERROR(INDEX(PM_Short,MATCH($B1396,PM_ID,0))&amp;"-"&amp;TEXT($C1396,"00"),"?? no such product"))</f>
        <v/>
      </c>
      <c r="B1396" s="5" t="n"/>
      <c r="C1396" s="5" t="n"/>
      <c r="D1396" s="8">
        <f>IF($B1396="","",IFERROR(INDEX(PM_Category,MATCH($B1396,PM_ID,0)),""))</f>
        <v/>
      </c>
      <c r="E1396" s="8">
        <f>IF($B1396="","",IFERROR(INDEX(PM_Subcategory,MATCH($B1396,PM_ID,0)),""))</f>
        <v/>
      </c>
      <c r="F1396" s="8">
        <f>IF($B1396="","",IFERROR(INDEX(PM_Brand,MATCH($B1396,PM_ID,0)),""))</f>
        <v/>
      </c>
      <c r="G1396" s="8">
        <f>IF($B1396="","",IFERROR(INDEX(PM_Model,MATCH($B1396,PM_ID,0)),""))</f>
        <v/>
      </c>
      <c r="H1396" s="5" t="n"/>
      <c r="I1396" s="10" t="n"/>
      <c r="J1396" s="9" t="n"/>
      <c r="K1396" s="5" t="n"/>
      <c r="L1396" s="5" t="n"/>
      <c r="M1396" s="5" t="n"/>
      <c r="N1396" s="5" t="n"/>
      <c r="O1396" s="8">
        <f>IF($B1396="","",IF(AND($A1396&lt;&gt;"",COUNTIF(INV_ID,$A1396)&gt;1),"⚠ this Unit ID already exists",IF(AND($H1396&lt;&gt;"",COUNTIF(INV_Serial,$H1396)&gt;1),"⚠ this serial already exists",IF(COUNTIFS(INV_Product,$B1396,INV_No,$C1396)&gt;1,"⚠ piece number reused",""))))</f>
        <v/>
      </c>
      <c r="P1396" s="5" t="n"/>
    </row>
    <row r="1397">
      <c r="A1397" s="8">
        <f>IF(OR($B1397="",$C1397=""),"",IFERROR(INDEX(PM_Short,MATCH($B1397,PM_ID,0))&amp;"-"&amp;TEXT($C1397,"00"),"?? no such product"))</f>
        <v/>
      </c>
      <c r="B1397" s="5" t="n"/>
      <c r="C1397" s="5" t="n"/>
      <c r="D1397" s="8">
        <f>IF($B1397="","",IFERROR(INDEX(PM_Category,MATCH($B1397,PM_ID,0)),""))</f>
        <v/>
      </c>
      <c r="E1397" s="8">
        <f>IF($B1397="","",IFERROR(INDEX(PM_Subcategory,MATCH($B1397,PM_ID,0)),""))</f>
        <v/>
      </c>
      <c r="F1397" s="8">
        <f>IF($B1397="","",IFERROR(INDEX(PM_Brand,MATCH($B1397,PM_ID,0)),""))</f>
        <v/>
      </c>
      <c r="G1397" s="8">
        <f>IF($B1397="","",IFERROR(INDEX(PM_Model,MATCH($B1397,PM_ID,0)),""))</f>
        <v/>
      </c>
      <c r="H1397" s="5" t="n"/>
      <c r="I1397" s="10" t="n"/>
      <c r="J1397" s="9" t="n"/>
      <c r="K1397" s="5" t="n"/>
      <c r="L1397" s="5" t="n"/>
      <c r="M1397" s="5" t="n"/>
      <c r="N1397" s="5" t="n"/>
      <c r="O1397" s="8">
        <f>IF($B1397="","",IF(AND($A1397&lt;&gt;"",COUNTIF(INV_ID,$A1397)&gt;1),"⚠ this Unit ID already exists",IF(AND($H1397&lt;&gt;"",COUNTIF(INV_Serial,$H1397)&gt;1),"⚠ this serial already exists",IF(COUNTIFS(INV_Product,$B1397,INV_No,$C1397)&gt;1,"⚠ piece number reused",""))))</f>
        <v/>
      </c>
      <c r="P1397" s="5" t="n"/>
    </row>
    <row r="1398">
      <c r="A1398" s="8">
        <f>IF(OR($B1398="",$C1398=""),"",IFERROR(INDEX(PM_Short,MATCH($B1398,PM_ID,0))&amp;"-"&amp;TEXT($C1398,"00"),"?? no such product"))</f>
        <v/>
      </c>
      <c r="B1398" s="5" t="n"/>
      <c r="C1398" s="5" t="n"/>
      <c r="D1398" s="8">
        <f>IF($B1398="","",IFERROR(INDEX(PM_Category,MATCH($B1398,PM_ID,0)),""))</f>
        <v/>
      </c>
      <c r="E1398" s="8">
        <f>IF($B1398="","",IFERROR(INDEX(PM_Subcategory,MATCH($B1398,PM_ID,0)),""))</f>
        <v/>
      </c>
      <c r="F1398" s="8">
        <f>IF($B1398="","",IFERROR(INDEX(PM_Brand,MATCH($B1398,PM_ID,0)),""))</f>
        <v/>
      </c>
      <c r="G1398" s="8">
        <f>IF($B1398="","",IFERROR(INDEX(PM_Model,MATCH($B1398,PM_ID,0)),""))</f>
        <v/>
      </c>
      <c r="H1398" s="5" t="n"/>
      <c r="I1398" s="10" t="n"/>
      <c r="J1398" s="9" t="n"/>
      <c r="K1398" s="5" t="n"/>
      <c r="L1398" s="5" t="n"/>
      <c r="M1398" s="5" t="n"/>
      <c r="N1398" s="5" t="n"/>
      <c r="O1398" s="8">
        <f>IF($B1398="","",IF(AND($A1398&lt;&gt;"",COUNTIF(INV_ID,$A1398)&gt;1),"⚠ this Unit ID already exists",IF(AND($H1398&lt;&gt;"",COUNTIF(INV_Serial,$H1398)&gt;1),"⚠ this serial already exists",IF(COUNTIFS(INV_Product,$B1398,INV_No,$C1398)&gt;1,"⚠ piece number reused",""))))</f>
        <v/>
      </c>
      <c r="P1398" s="5" t="n"/>
    </row>
    <row r="1399">
      <c r="A1399" s="8">
        <f>IF(OR($B1399="",$C1399=""),"",IFERROR(INDEX(PM_Short,MATCH($B1399,PM_ID,0))&amp;"-"&amp;TEXT($C1399,"00"),"?? no such product"))</f>
        <v/>
      </c>
      <c r="B1399" s="5" t="n"/>
      <c r="C1399" s="5" t="n"/>
      <c r="D1399" s="8">
        <f>IF($B1399="","",IFERROR(INDEX(PM_Category,MATCH($B1399,PM_ID,0)),""))</f>
        <v/>
      </c>
      <c r="E1399" s="8">
        <f>IF($B1399="","",IFERROR(INDEX(PM_Subcategory,MATCH($B1399,PM_ID,0)),""))</f>
        <v/>
      </c>
      <c r="F1399" s="8">
        <f>IF($B1399="","",IFERROR(INDEX(PM_Brand,MATCH($B1399,PM_ID,0)),""))</f>
        <v/>
      </c>
      <c r="G1399" s="8">
        <f>IF($B1399="","",IFERROR(INDEX(PM_Model,MATCH($B1399,PM_ID,0)),""))</f>
        <v/>
      </c>
      <c r="H1399" s="5" t="n"/>
      <c r="I1399" s="10" t="n"/>
      <c r="J1399" s="9" t="n"/>
      <c r="K1399" s="5" t="n"/>
      <c r="L1399" s="5" t="n"/>
      <c r="M1399" s="5" t="n"/>
      <c r="N1399" s="5" t="n"/>
      <c r="O1399" s="8">
        <f>IF($B1399="","",IF(AND($A1399&lt;&gt;"",COUNTIF(INV_ID,$A1399)&gt;1),"⚠ this Unit ID already exists",IF(AND($H1399&lt;&gt;"",COUNTIF(INV_Serial,$H1399)&gt;1),"⚠ this serial already exists",IF(COUNTIFS(INV_Product,$B1399,INV_No,$C1399)&gt;1,"⚠ piece number reused",""))))</f>
        <v/>
      </c>
      <c r="P1399" s="5" t="n"/>
    </row>
    <row r="1400">
      <c r="A1400" s="8">
        <f>IF(OR($B1400="",$C1400=""),"",IFERROR(INDEX(PM_Short,MATCH($B1400,PM_ID,0))&amp;"-"&amp;TEXT($C1400,"00"),"?? no such product"))</f>
        <v/>
      </c>
      <c r="B1400" s="5" t="n"/>
      <c r="C1400" s="5" t="n"/>
      <c r="D1400" s="8">
        <f>IF($B1400="","",IFERROR(INDEX(PM_Category,MATCH($B1400,PM_ID,0)),""))</f>
        <v/>
      </c>
      <c r="E1400" s="8">
        <f>IF($B1400="","",IFERROR(INDEX(PM_Subcategory,MATCH($B1400,PM_ID,0)),""))</f>
        <v/>
      </c>
      <c r="F1400" s="8">
        <f>IF($B1400="","",IFERROR(INDEX(PM_Brand,MATCH($B1400,PM_ID,0)),""))</f>
        <v/>
      </c>
      <c r="G1400" s="8">
        <f>IF($B1400="","",IFERROR(INDEX(PM_Model,MATCH($B1400,PM_ID,0)),""))</f>
        <v/>
      </c>
      <c r="H1400" s="5" t="n"/>
      <c r="I1400" s="10" t="n"/>
      <c r="J1400" s="9" t="n"/>
      <c r="K1400" s="5" t="n"/>
      <c r="L1400" s="5" t="n"/>
      <c r="M1400" s="5" t="n"/>
      <c r="N1400" s="5" t="n"/>
      <c r="O1400" s="8">
        <f>IF($B1400="","",IF(AND($A1400&lt;&gt;"",COUNTIF(INV_ID,$A1400)&gt;1),"⚠ this Unit ID already exists",IF(AND($H1400&lt;&gt;"",COUNTIF(INV_Serial,$H1400)&gt;1),"⚠ this serial already exists",IF(COUNTIFS(INV_Product,$B1400,INV_No,$C1400)&gt;1,"⚠ piece number reused",""))))</f>
        <v/>
      </c>
      <c r="P1400" s="5" t="n"/>
    </row>
    <row r="1401">
      <c r="A1401" s="8">
        <f>IF(OR($B1401="",$C1401=""),"",IFERROR(INDEX(PM_Short,MATCH($B1401,PM_ID,0))&amp;"-"&amp;TEXT($C1401,"00"),"?? no such product"))</f>
        <v/>
      </c>
      <c r="B1401" s="5" t="n"/>
      <c r="C1401" s="5" t="n"/>
      <c r="D1401" s="8">
        <f>IF($B1401="","",IFERROR(INDEX(PM_Category,MATCH($B1401,PM_ID,0)),""))</f>
        <v/>
      </c>
      <c r="E1401" s="8">
        <f>IF($B1401="","",IFERROR(INDEX(PM_Subcategory,MATCH($B1401,PM_ID,0)),""))</f>
        <v/>
      </c>
      <c r="F1401" s="8">
        <f>IF($B1401="","",IFERROR(INDEX(PM_Brand,MATCH($B1401,PM_ID,0)),""))</f>
        <v/>
      </c>
      <c r="G1401" s="8">
        <f>IF($B1401="","",IFERROR(INDEX(PM_Model,MATCH($B1401,PM_ID,0)),""))</f>
        <v/>
      </c>
      <c r="H1401" s="5" t="n"/>
      <c r="I1401" s="10" t="n"/>
      <c r="J1401" s="9" t="n"/>
      <c r="K1401" s="5" t="n"/>
      <c r="L1401" s="5" t="n"/>
      <c r="M1401" s="5" t="n"/>
      <c r="N1401" s="5" t="n"/>
      <c r="O1401" s="8">
        <f>IF($B1401="","",IF(AND($A1401&lt;&gt;"",COUNTIF(INV_ID,$A1401)&gt;1),"⚠ this Unit ID already exists",IF(AND($H1401&lt;&gt;"",COUNTIF(INV_Serial,$H1401)&gt;1),"⚠ this serial already exists",IF(COUNTIFS(INV_Product,$B1401,INV_No,$C1401)&gt;1,"⚠ piece number reused",""))))</f>
        <v/>
      </c>
      <c r="P1401" s="5" t="n"/>
    </row>
    <row r="1402">
      <c r="A1402" s="8">
        <f>IF(OR($B1402="",$C1402=""),"",IFERROR(INDEX(PM_Short,MATCH($B1402,PM_ID,0))&amp;"-"&amp;TEXT($C1402,"00"),"?? no such product"))</f>
        <v/>
      </c>
      <c r="B1402" s="5" t="n"/>
      <c r="C1402" s="5" t="n"/>
      <c r="D1402" s="8">
        <f>IF($B1402="","",IFERROR(INDEX(PM_Category,MATCH($B1402,PM_ID,0)),""))</f>
        <v/>
      </c>
      <c r="E1402" s="8">
        <f>IF($B1402="","",IFERROR(INDEX(PM_Subcategory,MATCH($B1402,PM_ID,0)),""))</f>
        <v/>
      </c>
      <c r="F1402" s="8">
        <f>IF($B1402="","",IFERROR(INDEX(PM_Brand,MATCH($B1402,PM_ID,0)),""))</f>
        <v/>
      </c>
      <c r="G1402" s="8">
        <f>IF($B1402="","",IFERROR(INDEX(PM_Model,MATCH($B1402,PM_ID,0)),""))</f>
        <v/>
      </c>
      <c r="H1402" s="5" t="n"/>
      <c r="I1402" s="10" t="n"/>
      <c r="J1402" s="9" t="n"/>
      <c r="K1402" s="5" t="n"/>
      <c r="L1402" s="5" t="n"/>
      <c r="M1402" s="5" t="n"/>
      <c r="N1402" s="5" t="n"/>
      <c r="O1402" s="8">
        <f>IF($B1402="","",IF(AND($A1402&lt;&gt;"",COUNTIF(INV_ID,$A1402)&gt;1),"⚠ this Unit ID already exists",IF(AND($H1402&lt;&gt;"",COUNTIF(INV_Serial,$H1402)&gt;1),"⚠ this serial already exists",IF(COUNTIFS(INV_Product,$B1402,INV_No,$C1402)&gt;1,"⚠ piece number reused",""))))</f>
        <v/>
      </c>
      <c r="P1402" s="5" t="n"/>
    </row>
    <row r="1403">
      <c r="A1403" s="8">
        <f>IF(OR($B1403="",$C1403=""),"",IFERROR(INDEX(PM_Short,MATCH($B1403,PM_ID,0))&amp;"-"&amp;TEXT($C1403,"00"),"?? no such product"))</f>
        <v/>
      </c>
      <c r="B1403" s="5" t="n"/>
      <c r="C1403" s="5" t="n"/>
      <c r="D1403" s="8">
        <f>IF($B1403="","",IFERROR(INDEX(PM_Category,MATCH($B1403,PM_ID,0)),""))</f>
        <v/>
      </c>
      <c r="E1403" s="8">
        <f>IF($B1403="","",IFERROR(INDEX(PM_Subcategory,MATCH($B1403,PM_ID,0)),""))</f>
        <v/>
      </c>
      <c r="F1403" s="8">
        <f>IF($B1403="","",IFERROR(INDEX(PM_Brand,MATCH($B1403,PM_ID,0)),""))</f>
        <v/>
      </c>
      <c r="G1403" s="8">
        <f>IF($B1403="","",IFERROR(INDEX(PM_Model,MATCH($B1403,PM_ID,0)),""))</f>
        <v/>
      </c>
      <c r="H1403" s="5" t="n"/>
      <c r="I1403" s="10" t="n"/>
      <c r="J1403" s="9" t="n"/>
      <c r="K1403" s="5" t="n"/>
      <c r="L1403" s="5" t="n"/>
      <c r="M1403" s="5" t="n"/>
      <c r="N1403" s="5" t="n"/>
      <c r="O1403" s="8">
        <f>IF($B1403="","",IF(AND($A1403&lt;&gt;"",COUNTIF(INV_ID,$A1403)&gt;1),"⚠ this Unit ID already exists",IF(AND($H1403&lt;&gt;"",COUNTIF(INV_Serial,$H1403)&gt;1),"⚠ this serial already exists",IF(COUNTIFS(INV_Product,$B1403,INV_No,$C1403)&gt;1,"⚠ piece number reused",""))))</f>
        <v/>
      </c>
      <c r="P1403" s="5" t="n"/>
    </row>
    <row r="1404">
      <c r="A1404" s="8">
        <f>IF(OR($B1404="",$C1404=""),"",IFERROR(INDEX(PM_Short,MATCH($B1404,PM_ID,0))&amp;"-"&amp;TEXT($C1404,"00"),"?? no such product"))</f>
        <v/>
      </c>
      <c r="B1404" s="5" t="n"/>
      <c r="C1404" s="5" t="n"/>
      <c r="D1404" s="8">
        <f>IF($B1404="","",IFERROR(INDEX(PM_Category,MATCH($B1404,PM_ID,0)),""))</f>
        <v/>
      </c>
      <c r="E1404" s="8">
        <f>IF($B1404="","",IFERROR(INDEX(PM_Subcategory,MATCH($B1404,PM_ID,0)),""))</f>
        <v/>
      </c>
      <c r="F1404" s="8">
        <f>IF($B1404="","",IFERROR(INDEX(PM_Brand,MATCH($B1404,PM_ID,0)),""))</f>
        <v/>
      </c>
      <c r="G1404" s="8">
        <f>IF($B1404="","",IFERROR(INDEX(PM_Model,MATCH($B1404,PM_ID,0)),""))</f>
        <v/>
      </c>
      <c r="H1404" s="5" t="n"/>
      <c r="I1404" s="10" t="n"/>
      <c r="J1404" s="9" t="n"/>
      <c r="K1404" s="5" t="n"/>
      <c r="L1404" s="5" t="n"/>
      <c r="M1404" s="5" t="n"/>
      <c r="N1404" s="5" t="n"/>
      <c r="O1404" s="8">
        <f>IF($B1404="","",IF(AND($A1404&lt;&gt;"",COUNTIF(INV_ID,$A1404)&gt;1),"⚠ this Unit ID already exists",IF(AND($H1404&lt;&gt;"",COUNTIF(INV_Serial,$H1404)&gt;1),"⚠ this serial already exists",IF(COUNTIFS(INV_Product,$B1404,INV_No,$C1404)&gt;1,"⚠ piece number reused",""))))</f>
        <v/>
      </c>
      <c r="P1404" s="5" t="n"/>
    </row>
    <row r="1405">
      <c r="A1405" s="8">
        <f>IF(OR($B1405="",$C1405=""),"",IFERROR(INDEX(PM_Short,MATCH($B1405,PM_ID,0))&amp;"-"&amp;TEXT($C1405,"00"),"?? no such product"))</f>
        <v/>
      </c>
      <c r="B1405" s="5" t="n"/>
      <c r="C1405" s="5" t="n"/>
      <c r="D1405" s="8">
        <f>IF($B1405="","",IFERROR(INDEX(PM_Category,MATCH($B1405,PM_ID,0)),""))</f>
        <v/>
      </c>
      <c r="E1405" s="8">
        <f>IF($B1405="","",IFERROR(INDEX(PM_Subcategory,MATCH($B1405,PM_ID,0)),""))</f>
        <v/>
      </c>
      <c r="F1405" s="8">
        <f>IF($B1405="","",IFERROR(INDEX(PM_Brand,MATCH($B1405,PM_ID,0)),""))</f>
        <v/>
      </c>
      <c r="G1405" s="8">
        <f>IF($B1405="","",IFERROR(INDEX(PM_Model,MATCH($B1405,PM_ID,0)),""))</f>
        <v/>
      </c>
      <c r="H1405" s="5" t="n"/>
      <c r="I1405" s="10" t="n"/>
      <c r="J1405" s="9" t="n"/>
      <c r="K1405" s="5" t="n"/>
      <c r="L1405" s="5" t="n"/>
      <c r="M1405" s="5" t="n"/>
      <c r="N1405" s="5" t="n"/>
      <c r="O1405" s="8">
        <f>IF($B1405="","",IF(AND($A1405&lt;&gt;"",COUNTIF(INV_ID,$A1405)&gt;1),"⚠ this Unit ID already exists",IF(AND($H1405&lt;&gt;"",COUNTIF(INV_Serial,$H1405)&gt;1),"⚠ this serial already exists",IF(COUNTIFS(INV_Product,$B1405,INV_No,$C1405)&gt;1,"⚠ piece number reused",""))))</f>
        <v/>
      </c>
      <c r="P1405" s="5" t="n"/>
    </row>
    <row r="1406">
      <c r="A1406" s="8">
        <f>IF(OR($B1406="",$C1406=""),"",IFERROR(INDEX(PM_Short,MATCH($B1406,PM_ID,0))&amp;"-"&amp;TEXT($C1406,"00"),"?? no such product"))</f>
        <v/>
      </c>
      <c r="B1406" s="5" t="n"/>
      <c r="C1406" s="5" t="n"/>
      <c r="D1406" s="8">
        <f>IF($B1406="","",IFERROR(INDEX(PM_Category,MATCH($B1406,PM_ID,0)),""))</f>
        <v/>
      </c>
      <c r="E1406" s="8">
        <f>IF($B1406="","",IFERROR(INDEX(PM_Subcategory,MATCH($B1406,PM_ID,0)),""))</f>
        <v/>
      </c>
      <c r="F1406" s="8">
        <f>IF($B1406="","",IFERROR(INDEX(PM_Brand,MATCH($B1406,PM_ID,0)),""))</f>
        <v/>
      </c>
      <c r="G1406" s="8">
        <f>IF($B1406="","",IFERROR(INDEX(PM_Model,MATCH($B1406,PM_ID,0)),""))</f>
        <v/>
      </c>
      <c r="H1406" s="5" t="n"/>
      <c r="I1406" s="10" t="n"/>
      <c r="J1406" s="9" t="n"/>
      <c r="K1406" s="5" t="n"/>
      <c r="L1406" s="5" t="n"/>
      <c r="M1406" s="5" t="n"/>
      <c r="N1406" s="5" t="n"/>
      <c r="O1406" s="8">
        <f>IF($B1406="","",IF(AND($A1406&lt;&gt;"",COUNTIF(INV_ID,$A1406)&gt;1),"⚠ this Unit ID already exists",IF(AND($H1406&lt;&gt;"",COUNTIF(INV_Serial,$H1406)&gt;1),"⚠ this serial already exists",IF(COUNTIFS(INV_Product,$B1406,INV_No,$C1406)&gt;1,"⚠ piece number reused",""))))</f>
        <v/>
      </c>
      <c r="P1406" s="5" t="n"/>
    </row>
    <row r="1407">
      <c r="A1407" s="8">
        <f>IF(OR($B1407="",$C1407=""),"",IFERROR(INDEX(PM_Short,MATCH($B1407,PM_ID,0))&amp;"-"&amp;TEXT($C1407,"00"),"?? no such product"))</f>
        <v/>
      </c>
      <c r="B1407" s="5" t="n"/>
      <c r="C1407" s="5" t="n"/>
      <c r="D1407" s="8">
        <f>IF($B1407="","",IFERROR(INDEX(PM_Category,MATCH($B1407,PM_ID,0)),""))</f>
        <v/>
      </c>
      <c r="E1407" s="8">
        <f>IF($B1407="","",IFERROR(INDEX(PM_Subcategory,MATCH($B1407,PM_ID,0)),""))</f>
        <v/>
      </c>
      <c r="F1407" s="8">
        <f>IF($B1407="","",IFERROR(INDEX(PM_Brand,MATCH($B1407,PM_ID,0)),""))</f>
        <v/>
      </c>
      <c r="G1407" s="8">
        <f>IF($B1407="","",IFERROR(INDEX(PM_Model,MATCH($B1407,PM_ID,0)),""))</f>
        <v/>
      </c>
      <c r="H1407" s="5" t="n"/>
      <c r="I1407" s="10" t="n"/>
      <c r="J1407" s="9" t="n"/>
      <c r="K1407" s="5" t="n"/>
      <c r="L1407" s="5" t="n"/>
      <c r="M1407" s="5" t="n"/>
      <c r="N1407" s="5" t="n"/>
      <c r="O1407" s="8">
        <f>IF($B1407="","",IF(AND($A1407&lt;&gt;"",COUNTIF(INV_ID,$A1407)&gt;1),"⚠ this Unit ID already exists",IF(AND($H1407&lt;&gt;"",COUNTIF(INV_Serial,$H1407)&gt;1),"⚠ this serial already exists",IF(COUNTIFS(INV_Product,$B1407,INV_No,$C1407)&gt;1,"⚠ piece number reused",""))))</f>
        <v/>
      </c>
      <c r="P1407" s="5" t="n"/>
    </row>
    <row r="1408">
      <c r="A1408" s="8">
        <f>IF(OR($B1408="",$C1408=""),"",IFERROR(INDEX(PM_Short,MATCH($B1408,PM_ID,0))&amp;"-"&amp;TEXT($C1408,"00"),"?? no such product"))</f>
        <v/>
      </c>
      <c r="B1408" s="5" t="n"/>
      <c r="C1408" s="5" t="n"/>
      <c r="D1408" s="8">
        <f>IF($B1408="","",IFERROR(INDEX(PM_Category,MATCH($B1408,PM_ID,0)),""))</f>
        <v/>
      </c>
      <c r="E1408" s="8">
        <f>IF($B1408="","",IFERROR(INDEX(PM_Subcategory,MATCH($B1408,PM_ID,0)),""))</f>
        <v/>
      </c>
      <c r="F1408" s="8">
        <f>IF($B1408="","",IFERROR(INDEX(PM_Brand,MATCH($B1408,PM_ID,0)),""))</f>
        <v/>
      </c>
      <c r="G1408" s="8">
        <f>IF($B1408="","",IFERROR(INDEX(PM_Model,MATCH($B1408,PM_ID,0)),""))</f>
        <v/>
      </c>
      <c r="H1408" s="5" t="n"/>
      <c r="I1408" s="10" t="n"/>
      <c r="J1408" s="9" t="n"/>
      <c r="K1408" s="5" t="n"/>
      <c r="L1408" s="5" t="n"/>
      <c r="M1408" s="5" t="n"/>
      <c r="N1408" s="5" t="n"/>
      <c r="O1408" s="8">
        <f>IF($B1408="","",IF(AND($A1408&lt;&gt;"",COUNTIF(INV_ID,$A1408)&gt;1),"⚠ this Unit ID already exists",IF(AND($H1408&lt;&gt;"",COUNTIF(INV_Serial,$H1408)&gt;1),"⚠ this serial already exists",IF(COUNTIFS(INV_Product,$B1408,INV_No,$C1408)&gt;1,"⚠ piece number reused",""))))</f>
        <v/>
      </c>
      <c r="P1408" s="5" t="n"/>
    </row>
    <row r="1409">
      <c r="A1409" s="8">
        <f>IF(OR($B1409="",$C1409=""),"",IFERROR(INDEX(PM_Short,MATCH($B1409,PM_ID,0))&amp;"-"&amp;TEXT($C1409,"00"),"?? no such product"))</f>
        <v/>
      </c>
      <c r="B1409" s="5" t="n"/>
      <c r="C1409" s="5" t="n"/>
      <c r="D1409" s="8">
        <f>IF($B1409="","",IFERROR(INDEX(PM_Category,MATCH($B1409,PM_ID,0)),""))</f>
        <v/>
      </c>
      <c r="E1409" s="8">
        <f>IF($B1409="","",IFERROR(INDEX(PM_Subcategory,MATCH($B1409,PM_ID,0)),""))</f>
        <v/>
      </c>
      <c r="F1409" s="8">
        <f>IF($B1409="","",IFERROR(INDEX(PM_Brand,MATCH($B1409,PM_ID,0)),""))</f>
        <v/>
      </c>
      <c r="G1409" s="8">
        <f>IF($B1409="","",IFERROR(INDEX(PM_Model,MATCH($B1409,PM_ID,0)),""))</f>
        <v/>
      </c>
      <c r="H1409" s="5" t="n"/>
      <c r="I1409" s="10" t="n"/>
      <c r="J1409" s="9" t="n"/>
      <c r="K1409" s="5" t="n"/>
      <c r="L1409" s="5" t="n"/>
      <c r="M1409" s="5" t="n"/>
      <c r="N1409" s="5" t="n"/>
      <c r="O1409" s="8">
        <f>IF($B1409="","",IF(AND($A1409&lt;&gt;"",COUNTIF(INV_ID,$A1409)&gt;1),"⚠ this Unit ID already exists",IF(AND($H1409&lt;&gt;"",COUNTIF(INV_Serial,$H1409)&gt;1),"⚠ this serial already exists",IF(COUNTIFS(INV_Product,$B1409,INV_No,$C1409)&gt;1,"⚠ piece number reused",""))))</f>
        <v/>
      </c>
      <c r="P1409" s="5" t="n"/>
    </row>
    <row r="1410">
      <c r="A1410" s="8">
        <f>IF(OR($B1410="",$C1410=""),"",IFERROR(INDEX(PM_Short,MATCH($B1410,PM_ID,0))&amp;"-"&amp;TEXT($C1410,"00"),"?? no such product"))</f>
        <v/>
      </c>
      <c r="B1410" s="5" t="n"/>
      <c r="C1410" s="5" t="n"/>
      <c r="D1410" s="8">
        <f>IF($B1410="","",IFERROR(INDEX(PM_Category,MATCH($B1410,PM_ID,0)),""))</f>
        <v/>
      </c>
      <c r="E1410" s="8">
        <f>IF($B1410="","",IFERROR(INDEX(PM_Subcategory,MATCH($B1410,PM_ID,0)),""))</f>
        <v/>
      </c>
      <c r="F1410" s="8">
        <f>IF($B1410="","",IFERROR(INDEX(PM_Brand,MATCH($B1410,PM_ID,0)),""))</f>
        <v/>
      </c>
      <c r="G1410" s="8">
        <f>IF($B1410="","",IFERROR(INDEX(PM_Model,MATCH($B1410,PM_ID,0)),""))</f>
        <v/>
      </c>
      <c r="H1410" s="5" t="n"/>
      <c r="I1410" s="10" t="n"/>
      <c r="J1410" s="9" t="n"/>
      <c r="K1410" s="5" t="n"/>
      <c r="L1410" s="5" t="n"/>
      <c r="M1410" s="5" t="n"/>
      <c r="N1410" s="5" t="n"/>
      <c r="O1410" s="8">
        <f>IF($B1410="","",IF(AND($A1410&lt;&gt;"",COUNTIF(INV_ID,$A1410)&gt;1),"⚠ this Unit ID already exists",IF(AND($H1410&lt;&gt;"",COUNTIF(INV_Serial,$H1410)&gt;1),"⚠ this serial already exists",IF(COUNTIFS(INV_Product,$B1410,INV_No,$C1410)&gt;1,"⚠ piece number reused",""))))</f>
        <v/>
      </c>
      <c r="P1410" s="5" t="n"/>
    </row>
    <row r="1411">
      <c r="A1411" s="8">
        <f>IF(OR($B1411="",$C1411=""),"",IFERROR(INDEX(PM_Short,MATCH($B1411,PM_ID,0))&amp;"-"&amp;TEXT($C1411,"00"),"?? no such product"))</f>
        <v/>
      </c>
      <c r="B1411" s="5" t="n"/>
      <c r="C1411" s="5" t="n"/>
      <c r="D1411" s="8">
        <f>IF($B1411="","",IFERROR(INDEX(PM_Category,MATCH($B1411,PM_ID,0)),""))</f>
        <v/>
      </c>
      <c r="E1411" s="8">
        <f>IF($B1411="","",IFERROR(INDEX(PM_Subcategory,MATCH($B1411,PM_ID,0)),""))</f>
        <v/>
      </c>
      <c r="F1411" s="8">
        <f>IF($B1411="","",IFERROR(INDEX(PM_Brand,MATCH($B1411,PM_ID,0)),""))</f>
        <v/>
      </c>
      <c r="G1411" s="8">
        <f>IF($B1411="","",IFERROR(INDEX(PM_Model,MATCH($B1411,PM_ID,0)),""))</f>
        <v/>
      </c>
      <c r="H1411" s="5" t="n"/>
      <c r="I1411" s="10" t="n"/>
      <c r="J1411" s="9" t="n"/>
      <c r="K1411" s="5" t="n"/>
      <c r="L1411" s="5" t="n"/>
      <c r="M1411" s="5" t="n"/>
      <c r="N1411" s="5" t="n"/>
      <c r="O1411" s="8">
        <f>IF($B1411="","",IF(AND($A1411&lt;&gt;"",COUNTIF(INV_ID,$A1411)&gt;1),"⚠ this Unit ID already exists",IF(AND($H1411&lt;&gt;"",COUNTIF(INV_Serial,$H1411)&gt;1),"⚠ this serial already exists",IF(COUNTIFS(INV_Product,$B1411,INV_No,$C1411)&gt;1,"⚠ piece number reused",""))))</f>
        <v/>
      </c>
      <c r="P1411" s="5" t="n"/>
    </row>
    <row r="1412">
      <c r="A1412" s="8">
        <f>IF(OR($B1412="",$C1412=""),"",IFERROR(INDEX(PM_Short,MATCH($B1412,PM_ID,0))&amp;"-"&amp;TEXT($C1412,"00"),"?? no such product"))</f>
        <v/>
      </c>
      <c r="B1412" s="5" t="n"/>
      <c r="C1412" s="5" t="n"/>
      <c r="D1412" s="8">
        <f>IF($B1412="","",IFERROR(INDEX(PM_Category,MATCH($B1412,PM_ID,0)),""))</f>
        <v/>
      </c>
      <c r="E1412" s="8">
        <f>IF($B1412="","",IFERROR(INDEX(PM_Subcategory,MATCH($B1412,PM_ID,0)),""))</f>
        <v/>
      </c>
      <c r="F1412" s="8">
        <f>IF($B1412="","",IFERROR(INDEX(PM_Brand,MATCH($B1412,PM_ID,0)),""))</f>
        <v/>
      </c>
      <c r="G1412" s="8">
        <f>IF($B1412="","",IFERROR(INDEX(PM_Model,MATCH($B1412,PM_ID,0)),""))</f>
        <v/>
      </c>
      <c r="H1412" s="5" t="n"/>
      <c r="I1412" s="10" t="n"/>
      <c r="J1412" s="9" t="n"/>
      <c r="K1412" s="5" t="n"/>
      <c r="L1412" s="5" t="n"/>
      <c r="M1412" s="5" t="n"/>
      <c r="N1412" s="5" t="n"/>
      <c r="O1412" s="8">
        <f>IF($B1412="","",IF(AND($A1412&lt;&gt;"",COUNTIF(INV_ID,$A1412)&gt;1),"⚠ this Unit ID already exists",IF(AND($H1412&lt;&gt;"",COUNTIF(INV_Serial,$H1412)&gt;1),"⚠ this serial already exists",IF(COUNTIFS(INV_Product,$B1412,INV_No,$C1412)&gt;1,"⚠ piece number reused",""))))</f>
        <v/>
      </c>
      <c r="P1412" s="5" t="n"/>
    </row>
    <row r="1413">
      <c r="A1413" s="8">
        <f>IF(OR($B1413="",$C1413=""),"",IFERROR(INDEX(PM_Short,MATCH($B1413,PM_ID,0))&amp;"-"&amp;TEXT($C1413,"00"),"?? no such product"))</f>
        <v/>
      </c>
      <c r="B1413" s="5" t="n"/>
      <c r="C1413" s="5" t="n"/>
      <c r="D1413" s="8">
        <f>IF($B1413="","",IFERROR(INDEX(PM_Category,MATCH($B1413,PM_ID,0)),""))</f>
        <v/>
      </c>
      <c r="E1413" s="8">
        <f>IF($B1413="","",IFERROR(INDEX(PM_Subcategory,MATCH($B1413,PM_ID,0)),""))</f>
        <v/>
      </c>
      <c r="F1413" s="8">
        <f>IF($B1413="","",IFERROR(INDEX(PM_Brand,MATCH($B1413,PM_ID,0)),""))</f>
        <v/>
      </c>
      <c r="G1413" s="8">
        <f>IF($B1413="","",IFERROR(INDEX(PM_Model,MATCH($B1413,PM_ID,0)),""))</f>
        <v/>
      </c>
      <c r="H1413" s="5" t="n"/>
      <c r="I1413" s="10" t="n"/>
      <c r="J1413" s="9" t="n"/>
      <c r="K1413" s="5" t="n"/>
      <c r="L1413" s="5" t="n"/>
      <c r="M1413" s="5" t="n"/>
      <c r="N1413" s="5" t="n"/>
      <c r="O1413" s="8">
        <f>IF($B1413="","",IF(AND($A1413&lt;&gt;"",COUNTIF(INV_ID,$A1413)&gt;1),"⚠ this Unit ID already exists",IF(AND($H1413&lt;&gt;"",COUNTIF(INV_Serial,$H1413)&gt;1),"⚠ this serial already exists",IF(COUNTIFS(INV_Product,$B1413,INV_No,$C1413)&gt;1,"⚠ piece number reused",""))))</f>
        <v/>
      </c>
      <c r="P1413" s="5" t="n"/>
    </row>
    <row r="1414">
      <c r="A1414" s="8">
        <f>IF(OR($B1414="",$C1414=""),"",IFERROR(INDEX(PM_Short,MATCH($B1414,PM_ID,0))&amp;"-"&amp;TEXT($C1414,"00"),"?? no such product"))</f>
        <v/>
      </c>
      <c r="B1414" s="5" t="n"/>
      <c r="C1414" s="5" t="n"/>
      <c r="D1414" s="8">
        <f>IF($B1414="","",IFERROR(INDEX(PM_Category,MATCH($B1414,PM_ID,0)),""))</f>
        <v/>
      </c>
      <c r="E1414" s="8">
        <f>IF($B1414="","",IFERROR(INDEX(PM_Subcategory,MATCH($B1414,PM_ID,0)),""))</f>
        <v/>
      </c>
      <c r="F1414" s="8">
        <f>IF($B1414="","",IFERROR(INDEX(PM_Brand,MATCH($B1414,PM_ID,0)),""))</f>
        <v/>
      </c>
      <c r="G1414" s="8">
        <f>IF($B1414="","",IFERROR(INDEX(PM_Model,MATCH($B1414,PM_ID,0)),""))</f>
        <v/>
      </c>
      <c r="H1414" s="5" t="n"/>
      <c r="I1414" s="10" t="n"/>
      <c r="J1414" s="9" t="n"/>
      <c r="K1414" s="5" t="n"/>
      <c r="L1414" s="5" t="n"/>
      <c r="M1414" s="5" t="n"/>
      <c r="N1414" s="5" t="n"/>
      <c r="O1414" s="8">
        <f>IF($B1414="","",IF(AND($A1414&lt;&gt;"",COUNTIF(INV_ID,$A1414)&gt;1),"⚠ this Unit ID already exists",IF(AND($H1414&lt;&gt;"",COUNTIF(INV_Serial,$H1414)&gt;1),"⚠ this serial already exists",IF(COUNTIFS(INV_Product,$B1414,INV_No,$C1414)&gt;1,"⚠ piece number reused",""))))</f>
        <v/>
      </c>
      <c r="P1414" s="5" t="n"/>
    </row>
    <row r="1415">
      <c r="A1415" s="8">
        <f>IF(OR($B1415="",$C1415=""),"",IFERROR(INDEX(PM_Short,MATCH($B1415,PM_ID,0))&amp;"-"&amp;TEXT($C1415,"00"),"?? no such product"))</f>
        <v/>
      </c>
      <c r="B1415" s="5" t="n"/>
      <c r="C1415" s="5" t="n"/>
      <c r="D1415" s="8">
        <f>IF($B1415="","",IFERROR(INDEX(PM_Category,MATCH($B1415,PM_ID,0)),""))</f>
        <v/>
      </c>
      <c r="E1415" s="8">
        <f>IF($B1415="","",IFERROR(INDEX(PM_Subcategory,MATCH($B1415,PM_ID,0)),""))</f>
        <v/>
      </c>
      <c r="F1415" s="8">
        <f>IF($B1415="","",IFERROR(INDEX(PM_Brand,MATCH($B1415,PM_ID,0)),""))</f>
        <v/>
      </c>
      <c r="G1415" s="8">
        <f>IF($B1415="","",IFERROR(INDEX(PM_Model,MATCH($B1415,PM_ID,0)),""))</f>
        <v/>
      </c>
      <c r="H1415" s="5" t="n"/>
      <c r="I1415" s="10" t="n"/>
      <c r="J1415" s="9" t="n"/>
      <c r="K1415" s="5" t="n"/>
      <c r="L1415" s="5" t="n"/>
      <c r="M1415" s="5" t="n"/>
      <c r="N1415" s="5" t="n"/>
      <c r="O1415" s="8">
        <f>IF($B1415="","",IF(AND($A1415&lt;&gt;"",COUNTIF(INV_ID,$A1415)&gt;1),"⚠ this Unit ID already exists",IF(AND($H1415&lt;&gt;"",COUNTIF(INV_Serial,$H1415)&gt;1),"⚠ this serial already exists",IF(COUNTIFS(INV_Product,$B1415,INV_No,$C1415)&gt;1,"⚠ piece number reused",""))))</f>
        <v/>
      </c>
      <c r="P1415" s="5" t="n"/>
    </row>
    <row r="1416">
      <c r="A1416" s="8">
        <f>IF(OR($B1416="",$C1416=""),"",IFERROR(INDEX(PM_Short,MATCH($B1416,PM_ID,0))&amp;"-"&amp;TEXT($C1416,"00"),"?? no such product"))</f>
        <v/>
      </c>
      <c r="B1416" s="5" t="n"/>
      <c r="C1416" s="5" t="n"/>
      <c r="D1416" s="8">
        <f>IF($B1416="","",IFERROR(INDEX(PM_Category,MATCH($B1416,PM_ID,0)),""))</f>
        <v/>
      </c>
      <c r="E1416" s="8">
        <f>IF($B1416="","",IFERROR(INDEX(PM_Subcategory,MATCH($B1416,PM_ID,0)),""))</f>
        <v/>
      </c>
      <c r="F1416" s="8">
        <f>IF($B1416="","",IFERROR(INDEX(PM_Brand,MATCH($B1416,PM_ID,0)),""))</f>
        <v/>
      </c>
      <c r="G1416" s="8">
        <f>IF($B1416="","",IFERROR(INDEX(PM_Model,MATCH($B1416,PM_ID,0)),""))</f>
        <v/>
      </c>
      <c r="H1416" s="5" t="n"/>
      <c r="I1416" s="10" t="n"/>
      <c r="J1416" s="9" t="n"/>
      <c r="K1416" s="5" t="n"/>
      <c r="L1416" s="5" t="n"/>
      <c r="M1416" s="5" t="n"/>
      <c r="N1416" s="5" t="n"/>
      <c r="O1416" s="8">
        <f>IF($B1416="","",IF(AND($A1416&lt;&gt;"",COUNTIF(INV_ID,$A1416)&gt;1),"⚠ this Unit ID already exists",IF(AND($H1416&lt;&gt;"",COUNTIF(INV_Serial,$H1416)&gt;1),"⚠ this serial already exists",IF(COUNTIFS(INV_Product,$B1416,INV_No,$C1416)&gt;1,"⚠ piece number reused",""))))</f>
        <v/>
      </c>
      <c r="P1416" s="5" t="n"/>
    </row>
    <row r="1417">
      <c r="A1417" s="8">
        <f>IF(OR($B1417="",$C1417=""),"",IFERROR(INDEX(PM_Short,MATCH($B1417,PM_ID,0))&amp;"-"&amp;TEXT($C1417,"00"),"?? no such product"))</f>
        <v/>
      </c>
      <c r="B1417" s="5" t="n"/>
      <c r="C1417" s="5" t="n"/>
      <c r="D1417" s="8">
        <f>IF($B1417="","",IFERROR(INDEX(PM_Category,MATCH($B1417,PM_ID,0)),""))</f>
        <v/>
      </c>
      <c r="E1417" s="8">
        <f>IF($B1417="","",IFERROR(INDEX(PM_Subcategory,MATCH($B1417,PM_ID,0)),""))</f>
        <v/>
      </c>
      <c r="F1417" s="8">
        <f>IF($B1417="","",IFERROR(INDEX(PM_Brand,MATCH($B1417,PM_ID,0)),""))</f>
        <v/>
      </c>
      <c r="G1417" s="8">
        <f>IF($B1417="","",IFERROR(INDEX(PM_Model,MATCH($B1417,PM_ID,0)),""))</f>
        <v/>
      </c>
      <c r="H1417" s="5" t="n"/>
      <c r="I1417" s="10" t="n"/>
      <c r="J1417" s="9" t="n"/>
      <c r="K1417" s="5" t="n"/>
      <c r="L1417" s="5" t="n"/>
      <c r="M1417" s="5" t="n"/>
      <c r="N1417" s="5" t="n"/>
      <c r="O1417" s="8">
        <f>IF($B1417="","",IF(AND($A1417&lt;&gt;"",COUNTIF(INV_ID,$A1417)&gt;1),"⚠ this Unit ID already exists",IF(AND($H1417&lt;&gt;"",COUNTIF(INV_Serial,$H1417)&gt;1),"⚠ this serial already exists",IF(COUNTIFS(INV_Product,$B1417,INV_No,$C1417)&gt;1,"⚠ piece number reused",""))))</f>
        <v/>
      </c>
      <c r="P1417" s="5" t="n"/>
    </row>
    <row r="1418">
      <c r="A1418" s="8">
        <f>IF(OR($B1418="",$C1418=""),"",IFERROR(INDEX(PM_Short,MATCH($B1418,PM_ID,0))&amp;"-"&amp;TEXT($C1418,"00"),"?? no such product"))</f>
        <v/>
      </c>
      <c r="B1418" s="5" t="n"/>
      <c r="C1418" s="5" t="n"/>
      <c r="D1418" s="8">
        <f>IF($B1418="","",IFERROR(INDEX(PM_Category,MATCH($B1418,PM_ID,0)),""))</f>
        <v/>
      </c>
      <c r="E1418" s="8">
        <f>IF($B1418="","",IFERROR(INDEX(PM_Subcategory,MATCH($B1418,PM_ID,0)),""))</f>
        <v/>
      </c>
      <c r="F1418" s="8">
        <f>IF($B1418="","",IFERROR(INDEX(PM_Brand,MATCH($B1418,PM_ID,0)),""))</f>
        <v/>
      </c>
      <c r="G1418" s="8">
        <f>IF($B1418="","",IFERROR(INDEX(PM_Model,MATCH($B1418,PM_ID,0)),""))</f>
        <v/>
      </c>
      <c r="H1418" s="5" t="n"/>
      <c r="I1418" s="10" t="n"/>
      <c r="J1418" s="9" t="n"/>
      <c r="K1418" s="5" t="n"/>
      <c r="L1418" s="5" t="n"/>
      <c r="M1418" s="5" t="n"/>
      <c r="N1418" s="5" t="n"/>
      <c r="O1418" s="8">
        <f>IF($B1418="","",IF(AND($A1418&lt;&gt;"",COUNTIF(INV_ID,$A1418)&gt;1),"⚠ this Unit ID already exists",IF(AND($H1418&lt;&gt;"",COUNTIF(INV_Serial,$H1418)&gt;1),"⚠ this serial already exists",IF(COUNTIFS(INV_Product,$B1418,INV_No,$C1418)&gt;1,"⚠ piece number reused",""))))</f>
        <v/>
      </c>
      <c r="P1418" s="5" t="n"/>
    </row>
    <row r="1419">
      <c r="A1419" s="8">
        <f>IF(OR($B1419="",$C1419=""),"",IFERROR(INDEX(PM_Short,MATCH($B1419,PM_ID,0))&amp;"-"&amp;TEXT($C1419,"00"),"?? no such product"))</f>
        <v/>
      </c>
      <c r="B1419" s="5" t="n"/>
      <c r="C1419" s="5" t="n"/>
      <c r="D1419" s="8">
        <f>IF($B1419="","",IFERROR(INDEX(PM_Category,MATCH($B1419,PM_ID,0)),""))</f>
        <v/>
      </c>
      <c r="E1419" s="8">
        <f>IF($B1419="","",IFERROR(INDEX(PM_Subcategory,MATCH($B1419,PM_ID,0)),""))</f>
        <v/>
      </c>
      <c r="F1419" s="8">
        <f>IF($B1419="","",IFERROR(INDEX(PM_Brand,MATCH($B1419,PM_ID,0)),""))</f>
        <v/>
      </c>
      <c r="G1419" s="8">
        <f>IF($B1419="","",IFERROR(INDEX(PM_Model,MATCH($B1419,PM_ID,0)),""))</f>
        <v/>
      </c>
      <c r="H1419" s="5" t="n"/>
      <c r="I1419" s="10" t="n"/>
      <c r="J1419" s="9" t="n"/>
      <c r="K1419" s="5" t="n"/>
      <c r="L1419" s="5" t="n"/>
      <c r="M1419" s="5" t="n"/>
      <c r="N1419" s="5" t="n"/>
      <c r="O1419" s="8">
        <f>IF($B1419="","",IF(AND($A1419&lt;&gt;"",COUNTIF(INV_ID,$A1419)&gt;1),"⚠ this Unit ID already exists",IF(AND($H1419&lt;&gt;"",COUNTIF(INV_Serial,$H1419)&gt;1),"⚠ this serial already exists",IF(COUNTIFS(INV_Product,$B1419,INV_No,$C1419)&gt;1,"⚠ piece number reused",""))))</f>
        <v/>
      </c>
      <c r="P1419" s="5" t="n"/>
    </row>
    <row r="1420">
      <c r="A1420" s="8">
        <f>IF(OR($B1420="",$C1420=""),"",IFERROR(INDEX(PM_Short,MATCH($B1420,PM_ID,0))&amp;"-"&amp;TEXT($C1420,"00"),"?? no such product"))</f>
        <v/>
      </c>
      <c r="B1420" s="5" t="n"/>
      <c r="C1420" s="5" t="n"/>
      <c r="D1420" s="8">
        <f>IF($B1420="","",IFERROR(INDEX(PM_Category,MATCH($B1420,PM_ID,0)),""))</f>
        <v/>
      </c>
      <c r="E1420" s="8">
        <f>IF($B1420="","",IFERROR(INDEX(PM_Subcategory,MATCH($B1420,PM_ID,0)),""))</f>
        <v/>
      </c>
      <c r="F1420" s="8">
        <f>IF($B1420="","",IFERROR(INDEX(PM_Brand,MATCH($B1420,PM_ID,0)),""))</f>
        <v/>
      </c>
      <c r="G1420" s="8">
        <f>IF($B1420="","",IFERROR(INDEX(PM_Model,MATCH($B1420,PM_ID,0)),""))</f>
        <v/>
      </c>
      <c r="H1420" s="5" t="n"/>
      <c r="I1420" s="10" t="n"/>
      <c r="J1420" s="9" t="n"/>
      <c r="K1420" s="5" t="n"/>
      <c r="L1420" s="5" t="n"/>
      <c r="M1420" s="5" t="n"/>
      <c r="N1420" s="5" t="n"/>
      <c r="O1420" s="8">
        <f>IF($B1420="","",IF(AND($A1420&lt;&gt;"",COUNTIF(INV_ID,$A1420)&gt;1),"⚠ this Unit ID already exists",IF(AND($H1420&lt;&gt;"",COUNTIF(INV_Serial,$H1420)&gt;1),"⚠ this serial already exists",IF(COUNTIFS(INV_Product,$B1420,INV_No,$C1420)&gt;1,"⚠ piece number reused",""))))</f>
        <v/>
      </c>
      <c r="P1420" s="5" t="n"/>
    </row>
    <row r="1421">
      <c r="A1421" s="8">
        <f>IF(OR($B1421="",$C1421=""),"",IFERROR(INDEX(PM_Short,MATCH($B1421,PM_ID,0))&amp;"-"&amp;TEXT($C1421,"00"),"?? no such product"))</f>
        <v/>
      </c>
      <c r="B1421" s="5" t="n"/>
      <c r="C1421" s="5" t="n"/>
      <c r="D1421" s="8">
        <f>IF($B1421="","",IFERROR(INDEX(PM_Category,MATCH($B1421,PM_ID,0)),""))</f>
        <v/>
      </c>
      <c r="E1421" s="8">
        <f>IF($B1421="","",IFERROR(INDEX(PM_Subcategory,MATCH($B1421,PM_ID,0)),""))</f>
        <v/>
      </c>
      <c r="F1421" s="8">
        <f>IF($B1421="","",IFERROR(INDEX(PM_Brand,MATCH($B1421,PM_ID,0)),""))</f>
        <v/>
      </c>
      <c r="G1421" s="8">
        <f>IF($B1421="","",IFERROR(INDEX(PM_Model,MATCH($B1421,PM_ID,0)),""))</f>
        <v/>
      </c>
      <c r="H1421" s="5" t="n"/>
      <c r="I1421" s="10" t="n"/>
      <c r="J1421" s="9" t="n"/>
      <c r="K1421" s="5" t="n"/>
      <c r="L1421" s="5" t="n"/>
      <c r="M1421" s="5" t="n"/>
      <c r="N1421" s="5" t="n"/>
      <c r="O1421" s="8">
        <f>IF($B1421="","",IF(AND($A1421&lt;&gt;"",COUNTIF(INV_ID,$A1421)&gt;1),"⚠ this Unit ID already exists",IF(AND($H1421&lt;&gt;"",COUNTIF(INV_Serial,$H1421)&gt;1),"⚠ this serial already exists",IF(COUNTIFS(INV_Product,$B1421,INV_No,$C1421)&gt;1,"⚠ piece number reused",""))))</f>
        <v/>
      </c>
      <c r="P1421" s="5" t="n"/>
    </row>
    <row r="1422">
      <c r="A1422" s="8">
        <f>IF(OR($B1422="",$C1422=""),"",IFERROR(INDEX(PM_Short,MATCH($B1422,PM_ID,0))&amp;"-"&amp;TEXT($C1422,"00"),"?? no such product"))</f>
        <v/>
      </c>
      <c r="B1422" s="5" t="n"/>
      <c r="C1422" s="5" t="n"/>
      <c r="D1422" s="8">
        <f>IF($B1422="","",IFERROR(INDEX(PM_Category,MATCH($B1422,PM_ID,0)),""))</f>
        <v/>
      </c>
      <c r="E1422" s="8">
        <f>IF($B1422="","",IFERROR(INDEX(PM_Subcategory,MATCH($B1422,PM_ID,0)),""))</f>
        <v/>
      </c>
      <c r="F1422" s="8">
        <f>IF($B1422="","",IFERROR(INDEX(PM_Brand,MATCH($B1422,PM_ID,0)),""))</f>
        <v/>
      </c>
      <c r="G1422" s="8">
        <f>IF($B1422="","",IFERROR(INDEX(PM_Model,MATCH($B1422,PM_ID,0)),""))</f>
        <v/>
      </c>
      <c r="H1422" s="5" t="n"/>
      <c r="I1422" s="10" t="n"/>
      <c r="J1422" s="9" t="n"/>
      <c r="K1422" s="5" t="n"/>
      <c r="L1422" s="5" t="n"/>
      <c r="M1422" s="5" t="n"/>
      <c r="N1422" s="5" t="n"/>
      <c r="O1422" s="8">
        <f>IF($B1422="","",IF(AND($A1422&lt;&gt;"",COUNTIF(INV_ID,$A1422)&gt;1),"⚠ this Unit ID already exists",IF(AND($H1422&lt;&gt;"",COUNTIF(INV_Serial,$H1422)&gt;1),"⚠ this serial already exists",IF(COUNTIFS(INV_Product,$B1422,INV_No,$C1422)&gt;1,"⚠ piece number reused",""))))</f>
        <v/>
      </c>
      <c r="P1422" s="5" t="n"/>
    </row>
    <row r="1423">
      <c r="A1423" s="8">
        <f>IF(OR($B1423="",$C1423=""),"",IFERROR(INDEX(PM_Short,MATCH($B1423,PM_ID,0))&amp;"-"&amp;TEXT($C1423,"00"),"?? no such product"))</f>
        <v/>
      </c>
      <c r="B1423" s="5" t="n"/>
      <c r="C1423" s="5" t="n"/>
      <c r="D1423" s="8">
        <f>IF($B1423="","",IFERROR(INDEX(PM_Category,MATCH($B1423,PM_ID,0)),""))</f>
        <v/>
      </c>
      <c r="E1423" s="8">
        <f>IF($B1423="","",IFERROR(INDEX(PM_Subcategory,MATCH($B1423,PM_ID,0)),""))</f>
        <v/>
      </c>
      <c r="F1423" s="8">
        <f>IF($B1423="","",IFERROR(INDEX(PM_Brand,MATCH($B1423,PM_ID,0)),""))</f>
        <v/>
      </c>
      <c r="G1423" s="8">
        <f>IF($B1423="","",IFERROR(INDEX(PM_Model,MATCH($B1423,PM_ID,0)),""))</f>
        <v/>
      </c>
      <c r="H1423" s="5" t="n"/>
      <c r="I1423" s="10" t="n"/>
      <c r="J1423" s="9" t="n"/>
      <c r="K1423" s="5" t="n"/>
      <c r="L1423" s="5" t="n"/>
      <c r="M1423" s="5" t="n"/>
      <c r="N1423" s="5" t="n"/>
      <c r="O1423" s="8">
        <f>IF($B1423="","",IF(AND($A1423&lt;&gt;"",COUNTIF(INV_ID,$A1423)&gt;1),"⚠ this Unit ID already exists",IF(AND($H1423&lt;&gt;"",COUNTIF(INV_Serial,$H1423)&gt;1),"⚠ this serial already exists",IF(COUNTIFS(INV_Product,$B1423,INV_No,$C1423)&gt;1,"⚠ piece number reused",""))))</f>
        <v/>
      </c>
      <c r="P1423" s="5" t="n"/>
    </row>
    <row r="1424">
      <c r="A1424" s="8">
        <f>IF(OR($B1424="",$C1424=""),"",IFERROR(INDEX(PM_Short,MATCH($B1424,PM_ID,0))&amp;"-"&amp;TEXT($C1424,"00"),"?? no such product"))</f>
        <v/>
      </c>
      <c r="B1424" s="5" t="n"/>
      <c r="C1424" s="5" t="n"/>
      <c r="D1424" s="8">
        <f>IF($B1424="","",IFERROR(INDEX(PM_Category,MATCH($B1424,PM_ID,0)),""))</f>
        <v/>
      </c>
      <c r="E1424" s="8">
        <f>IF($B1424="","",IFERROR(INDEX(PM_Subcategory,MATCH($B1424,PM_ID,0)),""))</f>
        <v/>
      </c>
      <c r="F1424" s="8">
        <f>IF($B1424="","",IFERROR(INDEX(PM_Brand,MATCH($B1424,PM_ID,0)),""))</f>
        <v/>
      </c>
      <c r="G1424" s="8">
        <f>IF($B1424="","",IFERROR(INDEX(PM_Model,MATCH($B1424,PM_ID,0)),""))</f>
        <v/>
      </c>
      <c r="H1424" s="5" t="n"/>
      <c r="I1424" s="10" t="n"/>
      <c r="J1424" s="9" t="n"/>
      <c r="K1424" s="5" t="n"/>
      <c r="L1424" s="5" t="n"/>
      <c r="M1424" s="5" t="n"/>
      <c r="N1424" s="5" t="n"/>
      <c r="O1424" s="8">
        <f>IF($B1424="","",IF(AND($A1424&lt;&gt;"",COUNTIF(INV_ID,$A1424)&gt;1),"⚠ this Unit ID already exists",IF(AND($H1424&lt;&gt;"",COUNTIF(INV_Serial,$H1424)&gt;1),"⚠ this serial already exists",IF(COUNTIFS(INV_Product,$B1424,INV_No,$C1424)&gt;1,"⚠ piece number reused",""))))</f>
        <v/>
      </c>
      <c r="P1424" s="5" t="n"/>
    </row>
    <row r="1425">
      <c r="A1425" s="8">
        <f>IF(OR($B1425="",$C1425=""),"",IFERROR(INDEX(PM_Short,MATCH($B1425,PM_ID,0))&amp;"-"&amp;TEXT($C1425,"00"),"?? no such product"))</f>
        <v/>
      </c>
      <c r="B1425" s="5" t="n"/>
      <c r="C1425" s="5" t="n"/>
      <c r="D1425" s="8">
        <f>IF($B1425="","",IFERROR(INDEX(PM_Category,MATCH($B1425,PM_ID,0)),""))</f>
        <v/>
      </c>
      <c r="E1425" s="8">
        <f>IF($B1425="","",IFERROR(INDEX(PM_Subcategory,MATCH($B1425,PM_ID,0)),""))</f>
        <v/>
      </c>
      <c r="F1425" s="8">
        <f>IF($B1425="","",IFERROR(INDEX(PM_Brand,MATCH($B1425,PM_ID,0)),""))</f>
        <v/>
      </c>
      <c r="G1425" s="8">
        <f>IF($B1425="","",IFERROR(INDEX(PM_Model,MATCH($B1425,PM_ID,0)),""))</f>
        <v/>
      </c>
      <c r="H1425" s="5" t="n"/>
      <c r="I1425" s="10" t="n"/>
      <c r="J1425" s="9" t="n"/>
      <c r="K1425" s="5" t="n"/>
      <c r="L1425" s="5" t="n"/>
      <c r="M1425" s="5" t="n"/>
      <c r="N1425" s="5" t="n"/>
      <c r="O1425" s="8">
        <f>IF($B1425="","",IF(AND($A1425&lt;&gt;"",COUNTIF(INV_ID,$A1425)&gt;1),"⚠ this Unit ID already exists",IF(AND($H1425&lt;&gt;"",COUNTIF(INV_Serial,$H1425)&gt;1),"⚠ this serial already exists",IF(COUNTIFS(INV_Product,$B1425,INV_No,$C1425)&gt;1,"⚠ piece number reused",""))))</f>
        <v/>
      </c>
      <c r="P1425" s="5" t="n"/>
    </row>
    <row r="1426">
      <c r="A1426" s="8">
        <f>IF(OR($B1426="",$C1426=""),"",IFERROR(INDEX(PM_Short,MATCH($B1426,PM_ID,0))&amp;"-"&amp;TEXT($C1426,"00"),"?? no such product"))</f>
        <v/>
      </c>
      <c r="B1426" s="5" t="n"/>
      <c r="C1426" s="5" t="n"/>
      <c r="D1426" s="8">
        <f>IF($B1426="","",IFERROR(INDEX(PM_Category,MATCH($B1426,PM_ID,0)),""))</f>
        <v/>
      </c>
      <c r="E1426" s="8">
        <f>IF($B1426="","",IFERROR(INDEX(PM_Subcategory,MATCH($B1426,PM_ID,0)),""))</f>
        <v/>
      </c>
      <c r="F1426" s="8">
        <f>IF($B1426="","",IFERROR(INDEX(PM_Brand,MATCH($B1426,PM_ID,0)),""))</f>
        <v/>
      </c>
      <c r="G1426" s="8">
        <f>IF($B1426="","",IFERROR(INDEX(PM_Model,MATCH($B1426,PM_ID,0)),""))</f>
        <v/>
      </c>
      <c r="H1426" s="5" t="n"/>
      <c r="I1426" s="10" t="n"/>
      <c r="J1426" s="9" t="n"/>
      <c r="K1426" s="5" t="n"/>
      <c r="L1426" s="5" t="n"/>
      <c r="M1426" s="5" t="n"/>
      <c r="N1426" s="5" t="n"/>
      <c r="O1426" s="8">
        <f>IF($B1426="","",IF(AND($A1426&lt;&gt;"",COUNTIF(INV_ID,$A1426)&gt;1),"⚠ this Unit ID already exists",IF(AND($H1426&lt;&gt;"",COUNTIF(INV_Serial,$H1426)&gt;1),"⚠ this serial already exists",IF(COUNTIFS(INV_Product,$B1426,INV_No,$C1426)&gt;1,"⚠ piece number reused",""))))</f>
        <v/>
      </c>
      <c r="P1426" s="5" t="n"/>
    </row>
    <row r="1427">
      <c r="A1427" s="8">
        <f>IF(OR($B1427="",$C1427=""),"",IFERROR(INDEX(PM_Short,MATCH($B1427,PM_ID,0))&amp;"-"&amp;TEXT($C1427,"00"),"?? no such product"))</f>
        <v/>
      </c>
      <c r="B1427" s="5" t="n"/>
      <c r="C1427" s="5" t="n"/>
      <c r="D1427" s="8">
        <f>IF($B1427="","",IFERROR(INDEX(PM_Category,MATCH($B1427,PM_ID,0)),""))</f>
        <v/>
      </c>
      <c r="E1427" s="8">
        <f>IF($B1427="","",IFERROR(INDEX(PM_Subcategory,MATCH($B1427,PM_ID,0)),""))</f>
        <v/>
      </c>
      <c r="F1427" s="8">
        <f>IF($B1427="","",IFERROR(INDEX(PM_Brand,MATCH($B1427,PM_ID,0)),""))</f>
        <v/>
      </c>
      <c r="G1427" s="8">
        <f>IF($B1427="","",IFERROR(INDEX(PM_Model,MATCH($B1427,PM_ID,0)),""))</f>
        <v/>
      </c>
      <c r="H1427" s="5" t="n"/>
      <c r="I1427" s="10" t="n"/>
      <c r="J1427" s="9" t="n"/>
      <c r="K1427" s="5" t="n"/>
      <c r="L1427" s="5" t="n"/>
      <c r="M1427" s="5" t="n"/>
      <c r="N1427" s="5" t="n"/>
      <c r="O1427" s="8">
        <f>IF($B1427="","",IF(AND($A1427&lt;&gt;"",COUNTIF(INV_ID,$A1427)&gt;1),"⚠ this Unit ID already exists",IF(AND($H1427&lt;&gt;"",COUNTIF(INV_Serial,$H1427)&gt;1),"⚠ this serial already exists",IF(COUNTIFS(INV_Product,$B1427,INV_No,$C1427)&gt;1,"⚠ piece number reused",""))))</f>
        <v/>
      </c>
      <c r="P1427" s="5" t="n"/>
    </row>
    <row r="1428">
      <c r="A1428" s="8">
        <f>IF(OR($B1428="",$C1428=""),"",IFERROR(INDEX(PM_Short,MATCH($B1428,PM_ID,0))&amp;"-"&amp;TEXT($C1428,"00"),"?? no such product"))</f>
        <v/>
      </c>
      <c r="B1428" s="5" t="n"/>
      <c r="C1428" s="5" t="n"/>
      <c r="D1428" s="8">
        <f>IF($B1428="","",IFERROR(INDEX(PM_Category,MATCH($B1428,PM_ID,0)),""))</f>
        <v/>
      </c>
      <c r="E1428" s="8">
        <f>IF($B1428="","",IFERROR(INDEX(PM_Subcategory,MATCH($B1428,PM_ID,0)),""))</f>
        <v/>
      </c>
      <c r="F1428" s="8">
        <f>IF($B1428="","",IFERROR(INDEX(PM_Brand,MATCH($B1428,PM_ID,0)),""))</f>
        <v/>
      </c>
      <c r="G1428" s="8">
        <f>IF($B1428="","",IFERROR(INDEX(PM_Model,MATCH($B1428,PM_ID,0)),""))</f>
        <v/>
      </c>
      <c r="H1428" s="5" t="n"/>
      <c r="I1428" s="10" t="n"/>
      <c r="J1428" s="9" t="n"/>
      <c r="K1428" s="5" t="n"/>
      <c r="L1428" s="5" t="n"/>
      <c r="M1428" s="5" t="n"/>
      <c r="N1428" s="5" t="n"/>
      <c r="O1428" s="8">
        <f>IF($B1428="","",IF(AND($A1428&lt;&gt;"",COUNTIF(INV_ID,$A1428)&gt;1),"⚠ this Unit ID already exists",IF(AND($H1428&lt;&gt;"",COUNTIF(INV_Serial,$H1428)&gt;1),"⚠ this serial already exists",IF(COUNTIFS(INV_Product,$B1428,INV_No,$C1428)&gt;1,"⚠ piece number reused",""))))</f>
        <v/>
      </c>
      <c r="P1428" s="5" t="n"/>
    </row>
    <row r="1429">
      <c r="A1429" s="8">
        <f>IF(OR($B1429="",$C1429=""),"",IFERROR(INDEX(PM_Short,MATCH($B1429,PM_ID,0))&amp;"-"&amp;TEXT($C1429,"00"),"?? no such product"))</f>
        <v/>
      </c>
      <c r="B1429" s="5" t="n"/>
      <c r="C1429" s="5" t="n"/>
      <c r="D1429" s="8">
        <f>IF($B1429="","",IFERROR(INDEX(PM_Category,MATCH($B1429,PM_ID,0)),""))</f>
        <v/>
      </c>
      <c r="E1429" s="8">
        <f>IF($B1429="","",IFERROR(INDEX(PM_Subcategory,MATCH($B1429,PM_ID,0)),""))</f>
        <v/>
      </c>
      <c r="F1429" s="8">
        <f>IF($B1429="","",IFERROR(INDEX(PM_Brand,MATCH($B1429,PM_ID,0)),""))</f>
        <v/>
      </c>
      <c r="G1429" s="8">
        <f>IF($B1429="","",IFERROR(INDEX(PM_Model,MATCH($B1429,PM_ID,0)),""))</f>
        <v/>
      </c>
      <c r="H1429" s="5" t="n"/>
      <c r="I1429" s="10" t="n"/>
      <c r="J1429" s="9" t="n"/>
      <c r="K1429" s="5" t="n"/>
      <c r="L1429" s="5" t="n"/>
      <c r="M1429" s="5" t="n"/>
      <c r="N1429" s="5" t="n"/>
      <c r="O1429" s="8">
        <f>IF($B1429="","",IF(AND($A1429&lt;&gt;"",COUNTIF(INV_ID,$A1429)&gt;1),"⚠ this Unit ID already exists",IF(AND($H1429&lt;&gt;"",COUNTIF(INV_Serial,$H1429)&gt;1),"⚠ this serial already exists",IF(COUNTIFS(INV_Product,$B1429,INV_No,$C1429)&gt;1,"⚠ piece number reused",""))))</f>
        <v/>
      </c>
      <c r="P1429" s="5" t="n"/>
    </row>
    <row r="1430">
      <c r="A1430" s="8">
        <f>IF(OR($B1430="",$C1430=""),"",IFERROR(INDEX(PM_Short,MATCH($B1430,PM_ID,0))&amp;"-"&amp;TEXT($C1430,"00"),"?? no such product"))</f>
        <v/>
      </c>
      <c r="B1430" s="5" t="n"/>
      <c r="C1430" s="5" t="n"/>
      <c r="D1430" s="8">
        <f>IF($B1430="","",IFERROR(INDEX(PM_Category,MATCH($B1430,PM_ID,0)),""))</f>
        <v/>
      </c>
      <c r="E1430" s="8">
        <f>IF($B1430="","",IFERROR(INDEX(PM_Subcategory,MATCH($B1430,PM_ID,0)),""))</f>
        <v/>
      </c>
      <c r="F1430" s="8">
        <f>IF($B1430="","",IFERROR(INDEX(PM_Brand,MATCH($B1430,PM_ID,0)),""))</f>
        <v/>
      </c>
      <c r="G1430" s="8">
        <f>IF($B1430="","",IFERROR(INDEX(PM_Model,MATCH($B1430,PM_ID,0)),""))</f>
        <v/>
      </c>
      <c r="H1430" s="5" t="n"/>
      <c r="I1430" s="10" t="n"/>
      <c r="J1430" s="9" t="n"/>
      <c r="K1430" s="5" t="n"/>
      <c r="L1430" s="5" t="n"/>
      <c r="M1430" s="5" t="n"/>
      <c r="N1430" s="5" t="n"/>
      <c r="O1430" s="8">
        <f>IF($B1430="","",IF(AND($A1430&lt;&gt;"",COUNTIF(INV_ID,$A1430)&gt;1),"⚠ this Unit ID already exists",IF(AND($H1430&lt;&gt;"",COUNTIF(INV_Serial,$H1430)&gt;1),"⚠ this serial already exists",IF(COUNTIFS(INV_Product,$B1430,INV_No,$C1430)&gt;1,"⚠ piece number reused",""))))</f>
        <v/>
      </c>
      <c r="P1430" s="5" t="n"/>
    </row>
    <row r="1431">
      <c r="A1431" s="8">
        <f>IF(OR($B1431="",$C1431=""),"",IFERROR(INDEX(PM_Short,MATCH($B1431,PM_ID,0))&amp;"-"&amp;TEXT($C1431,"00"),"?? no such product"))</f>
        <v/>
      </c>
      <c r="B1431" s="5" t="n"/>
      <c r="C1431" s="5" t="n"/>
      <c r="D1431" s="8">
        <f>IF($B1431="","",IFERROR(INDEX(PM_Category,MATCH($B1431,PM_ID,0)),""))</f>
        <v/>
      </c>
      <c r="E1431" s="8">
        <f>IF($B1431="","",IFERROR(INDEX(PM_Subcategory,MATCH($B1431,PM_ID,0)),""))</f>
        <v/>
      </c>
      <c r="F1431" s="8">
        <f>IF($B1431="","",IFERROR(INDEX(PM_Brand,MATCH($B1431,PM_ID,0)),""))</f>
        <v/>
      </c>
      <c r="G1431" s="8">
        <f>IF($B1431="","",IFERROR(INDEX(PM_Model,MATCH($B1431,PM_ID,0)),""))</f>
        <v/>
      </c>
      <c r="H1431" s="5" t="n"/>
      <c r="I1431" s="10" t="n"/>
      <c r="J1431" s="9" t="n"/>
      <c r="K1431" s="5" t="n"/>
      <c r="L1431" s="5" t="n"/>
      <c r="M1431" s="5" t="n"/>
      <c r="N1431" s="5" t="n"/>
      <c r="O1431" s="8">
        <f>IF($B1431="","",IF(AND($A1431&lt;&gt;"",COUNTIF(INV_ID,$A1431)&gt;1),"⚠ this Unit ID already exists",IF(AND($H1431&lt;&gt;"",COUNTIF(INV_Serial,$H1431)&gt;1),"⚠ this serial already exists",IF(COUNTIFS(INV_Product,$B1431,INV_No,$C1431)&gt;1,"⚠ piece number reused",""))))</f>
        <v/>
      </c>
      <c r="P1431" s="5" t="n"/>
    </row>
    <row r="1432">
      <c r="A1432" s="8">
        <f>IF(OR($B1432="",$C1432=""),"",IFERROR(INDEX(PM_Short,MATCH($B1432,PM_ID,0))&amp;"-"&amp;TEXT($C1432,"00"),"?? no such product"))</f>
        <v/>
      </c>
      <c r="B1432" s="5" t="n"/>
      <c r="C1432" s="5" t="n"/>
      <c r="D1432" s="8">
        <f>IF($B1432="","",IFERROR(INDEX(PM_Category,MATCH($B1432,PM_ID,0)),""))</f>
        <v/>
      </c>
      <c r="E1432" s="8">
        <f>IF($B1432="","",IFERROR(INDEX(PM_Subcategory,MATCH($B1432,PM_ID,0)),""))</f>
        <v/>
      </c>
      <c r="F1432" s="8">
        <f>IF($B1432="","",IFERROR(INDEX(PM_Brand,MATCH($B1432,PM_ID,0)),""))</f>
        <v/>
      </c>
      <c r="G1432" s="8">
        <f>IF($B1432="","",IFERROR(INDEX(PM_Model,MATCH($B1432,PM_ID,0)),""))</f>
        <v/>
      </c>
      <c r="H1432" s="5" t="n"/>
      <c r="I1432" s="10" t="n"/>
      <c r="J1432" s="9" t="n"/>
      <c r="K1432" s="5" t="n"/>
      <c r="L1432" s="5" t="n"/>
      <c r="M1432" s="5" t="n"/>
      <c r="N1432" s="5" t="n"/>
      <c r="O1432" s="8">
        <f>IF($B1432="","",IF(AND($A1432&lt;&gt;"",COUNTIF(INV_ID,$A1432)&gt;1),"⚠ this Unit ID already exists",IF(AND($H1432&lt;&gt;"",COUNTIF(INV_Serial,$H1432)&gt;1),"⚠ this serial already exists",IF(COUNTIFS(INV_Product,$B1432,INV_No,$C1432)&gt;1,"⚠ piece number reused",""))))</f>
        <v/>
      </c>
      <c r="P1432" s="5" t="n"/>
    </row>
    <row r="1433">
      <c r="A1433" s="8">
        <f>IF(OR($B1433="",$C1433=""),"",IFERROR(INDEX(PM_Short,MATCH($B1433,PM_ID,0))&amp;"-"&amp;TEXT($C1433,"00"),"?? no such product"))</f>
        <v/>
      </c>
      <c r="B1433" s="5" t="n"/>
      <c r="C1433" s="5" t="n"/>
      <c r="D1433" s="8">
        <f>IF($B1433="","",IFERROR(INDEX(PM_Category,MATCH($B1433,PM_ID,0)),""))</f>
        <v/>
      </c>
      <c r="E1433" s="8">
        <f>IF($B1433="","",IFERROR(INDEX(PM_Subcategory,MATCH($B1433,PM_ID,0)),""))</f>
        <v/>
      </c>
      <c r="F1433" s="8">
        <f>IF($B1433="","",IFERROR(INDEX(PM_Brand,MATCH($B1433,PM_ID,0)),""))</f>
        <v/>
      </c>
      <c r="G1433" s="8">
        <f>IF($B1433="","",IFERROR(INDEX(PM_Model,MATCH($B1433,PM_ID,0)),""))</f>
        <v/>
      </c>
      <c r="H1433" s="5" t="n"/>
      <c r="I1433" s="10" t="n"/>
      <c r="J1433" s="9" t="n"/>
      <c r="K1433" s="5" t="n"/>
      <c r="L1433" s="5" t="n"/>
      <c r="M1433" s="5" t="n"/>
      <c r="N1433" s="5" t="n"/>
      <c r="O1433" s="8">
        <f>IF($B1433="","",IF(AND($A1433&lt;&gt;"",COUNTIF(INV_ID,$A1433)&gt;1),"⚠ this Unit ID already exists",IF(AND($H1433&lt;&gt;"",COUNTIF(INV_Serial,$H1433)&gt;1),"⚠ this serial already exists",IF(COUNTIFS(INV_Product,$B1433,INV_No,$C1433)&gt;1,"⚠ piece number reused",""))))</f>
        <v/>
      </c>
      <c r="P1433" s="5" t="n"/>
    </row>
    <row r="1434">
      <c r="A1434" s="8">
        <f>IF(OR($B1434="",$C1434=""),"",IFERROR(INDEX(PM_Short,MATCH($B1434,PM_ID,0))&amp;"-"&amp;TEXT($C1434,"00"),"?? no such product"))</f>
        <v/>
      </c>
      <c r="B1434" s="5" t="n"/>
      <c r="C1434" s="5" t="n"/>
      <c r="D1434" s="8">
        <f>IF($B1434="","",IFERROR(INDEX(PM_Category,MATCH($B1434,PM_ID,0)),""))</f>
        <v/>
      </c>
      <c r="E1434" s="8">
        <f>IF($B1434="","",IFERROR(INDEX(PM_Subcategory,MATCH($B1434,PM_ID,0)),""))</f>
        <v/>
      </c>
      <c r="F1434" s="8">
        <f>IF($B1434="","",IFERROR(INDEX(PM_Brand,MATCH($B1434,PM_ID,0)),""))</f>
        <v/>
      </c>
      <c r="G1434" s="8">
        <f>IF($B1434="","",IFERROR(INDEX(PM_Model,MATCH($B1434,PM_ID,0)),""))</f>
        <v/>
      </c>
      <c r="H1434" s="5" t="n"/>
      <c r="I1434" s="10" t="n"/>
      <c r="J1434" s="9" t="n"/>
      <c r="K1434" s="5" t="n"/>
      <c r="L1434" s="5" t="n"/>
      <c r="M1434" s="5" t="n"/>
      <c r="N1434" s="5" t="n"/>
      <c r="O1434" s="8">
        <f>IF($B1434="","",IF(AND($A1434&lt;&gt;"",COUNTIF(INV_ID,$A1434)&gt;1),"⚠ this Unit ID already exists",IF(AND($H1434&lt;&gt;"",COUNTIF(INV_Serial,$H1434)&gt;1),"⚠ this serial already exists",IF(COUNTIFS(INV_Product,$B1434,INV_No,$C1434)&gt;1,"⚠ piece number reused",""))))</f>
        <v/>
      </c>
      <c r="P1434" s="5" t="n"/>
    </row>
    <row r="1435">
      <c r="A1435" s="8">
        <f>IF(OR($B1435="",$C1435=""),"",IFERROR(INDEX(PM_Short,MATCH($B1435,PM_ID,0))&amp;"-"&amp;TEXT($C1435,"00"),"?? no such product"))</f>
        <v/>
      </c>
      <c r="B1435" s="5" t="n"/>
      <c r="C1435" s="5" t="n"/>
      <c r="D1435" s="8">
        <f>IF($B1435="","",IFERROR(INDEX(PM_Category,MATCH($B1435,PM_ID,0)),""))</f>
        <v/>
      </c>
      <c r="E1435" s="8">
        <f>IF($B1435="","",IFERROR(INDEX(PM_Subcategory,MATCH($B1435,PM_ID,0)),""))</f>
        <v/>
      </c>
      <c r="F1435" s="8">
        <f>IF($B1435="","",IFERROR(INDEX(PM_Brand,MATCH($B1435,PM_ID,0)),""))</f>
        <v/>
      </c>
      <c r="G1435" s="8">
        <f>IF($B1435="","",IFERROR(INDEX(PM_Model,MATCH($B1435,PM_ID,0)),""))</f>
        <v/>
      </c>
      <c r="H1435" s="5" t="n"/>
      <c r="I1435" s="10" t="n"/>
      <c r="J1435" s="9" t="n"/>
      <c r="K1435" s="5" t="n"/>
      <c r="L1435" s="5" t="n"/>
      <c r="M1435" s="5" t="n"/>
      <c r="N1435" s="5" t="n"/>
      <c r="O1435" s="8">
        <f>IF($B1435="","",IF(AND($A1435&lt;&gt;"",COUNTIF(INV_ID,$A1435)&gt;1),"⚠ this Unit ID already exists",IF(AND($H1435&lt;&gt;"",COUNTIF(INV_Serial,$H1435)&gt;1),"⚠ this serial already exists",IF(COUNTIFS(INV_Product,$B1435,INV_No,$C1435)&gt;1,"⚠ piece number reused",""))))</f>
        <v/>
      </c>
      <c r="P1435" s="5" t="n"/>
    </row>
    <row r="1436">
      <c r="A1436" s="8">
        <f>IF(OR($B1436="",$C1436=""),"",IFERROR(INDEX(PM_Short,MATCH($B1436,PM_ID,0))&amp;"-"&amp;TEXT($C1436,"00"),"?? no such product"))</f>
        <v/>
      </c>
      <c r="B1436" s="5" t="n"/>
      <c r="C1436" s="5" t="n"/>
      <c r="D1436" s="8">
        <f>IF($B1436="","",IFERROR(INDEX(PM_Category,MATCH($B1436,PM_ID,0)),""))</f>
        <v/>
      </c>
      <c r="E1436" s="8">
        <f>IF($B1436="","",IFERROR(INDEX(PM_Subcategory,MATCH($B1436,PM_ID,0)),""))</f>
        <v/>
      </c>
      <c r="F1436" s="8">
        <f>IF($B1436="","",IFERROR(INDEX(PM_Brand,MATCH($B1436,PM_ID,0)),""))</f>
        <v/>
      </c>
      <c r="G1436" s="8">
        <f>IF($B1436="","",IFERROR(INDEX(PM_Model,MATCH($B1436,PM_ID,0)),""))</f>
        <v/>
      </c>
      <c r="H1436" s="5" t="n"/>
      <c r="I1436" s="10" t="n"/>
      <c r="J1436" s="9" t="n"/>
      <c r="K1436" s="5" t="n"/>
      <c r="L1436" s="5" t="n"/>
      <c r="M1436" s="5" t="n"/>
      <c r="N1436" s="5" t="n"/>
      <c r="O1436" s="8">
        <f>IF($B1436="","",IF(AND($A1436&lt;&gt;"",COUNTIF(INV_ID,$A1436)&gt;1),"⚠ this Unit ID already exists",IF(AND($H1436&lt;&gt;"",COUNTIF(INV_Serial,$H1436)&gt;1),"⚠ this serial already exists",IF(COUNTIFS(INV_Product,$B1436,INV_No,$C1436)&gt;1,"⚠ piece number reused",""))))</f>
        <v/>
      </c>
      <c r="P1436" s="5" t="n"/>
    </row>
    <row r="1437">
      <c r="A1437" s="8">
        <f>IF(OR($B1437="",$C1437=""),"",IFERROR(INDEX(PM_Short,MATCH($B1437,PM_ID,0))&amp;"-"&amp;TEXT($C1437,"00"),"?? no such product"))</f>
        <v/>
      </c>
      <c r="B1437" s="5" t="n"/>
      <c r="C1437" s="5" t="n"/>
      <c r="D1437" s="8">
        <f>IF($B1437="","",IFERROR(INDEX(PM_Category,MATCH($B1437,PM_ID,0)),""))</f>
        <v/>
      </c>
      <c r="E1437" s="8">
        <f>IF($B1437="","",IFERROR(INDEX(PM_Subcategory,MATCH($B1437,PM_ID,0)),""))</f>
        <v/>
      </c>
      <c r="F1437" s="8">
        <f>IF($B1437="","",IFERROR(INDEX(PM_Brand,MATCH($B1437,PM_ID,0)),""))</f>
        <v/>
      </c>
      <c r="G1437" s="8">
        <f>IF($B1437="","",IFERROR(INDEX(PM_Model,MATCH($B1437,PM_ID,0)),""))</f>
        <v/>
      </c>
      <c r="H1437" s="5" t="n"/>
      <c r="I1437" s="10" t="n"/>
      <c r="J1437" s="9" t="n"/>
      <c r="K1437" s="5" t="n"/>
      <c r="L1437" s="5" t="n"/>
      <c r="M1437" s="5" t="n"/>
      <c r="N1437" s="5" t="n"/>
      <c r="O1437" s="8">
        <f>IF($B1437="","",IF(AND($A1437&lt;&gt;"",COUNTIF(INV_ID,$A1437)&gt;1),"⚠ this Unit ID already exists",IF(AND($H1437&lt;&gt;"",COUNTIF(INV_Serial,$H1437)&gt;1),"⚠ this serial already exists",IF(COUNTIFS(INV_Product,$B1437,INV_No,$C1437)&gt;1,"⚠ piece number reused",""))))</f>
        <v/>
      </c>
      <c r="P1437" s="5" t="n"/>
    </row>
    <row r="1438">
      <c r="A1438" s="8">
        <f>IF(OR($B1438="",$C1438=""),"",IFERROR(INDEX(PM_Short,MATCH($B1438,PM_ID,0))&amp;"-"&amp;TEXT($C1438,"00"),"?? no such product"))</f>
        <v/>
      </c>
      <c r="B1438" s="5" t="n"/>
      <c r="C1438" s="5" t="n"/>
      <c r="D1438" s="8">
        <f>IF($B1438="","",IFERROR(INDEX(PM_Category,MATCH($B1438,PM_ID,0)),""))</f>
        <v/>
      </c>
      <c r="E1438" s="8">
        <f>IF($B1438="","",IFERROR(INDEX(PM_Subcategory,MATCH($B1438,PM_ID,0)),""))</f>
        <v/>
      </c>
      <c r="F1438" s="8">
        <f>IF($B1438="","",IFERROR(INDEX(PM_Brand,MATCH($B1438,PM_ID,0)),""))</f>
        <v/>
      </c>
      <c r="G1438" s="8">
        <f>IF($B1438="","",IFERROR(INDEX(PM_Model,MATCH($B1438,PM_ID,0)),""))</f>
        <v/>
      </c>
      <c r="H1438" s="5" t="n"/>
      <c r="I1438" s="10" t="n"/>
      <c r="J1438" s="9" t="n"/>
      <c r="K1438" s="5" t="n"/>
      <c r="L1438" s="5" t="n"/>
      <c r="M1438" s="5" t="n"/>
      <c r="N1438" s="5" t="n"/>
      <c r="O1438" s="8">
        <f>IF($B1438="","",IF(AND($A1438&lt;&gt;"",COUNTIF(INV_ID,$A1438)&gt;1),"⚠ this Unit ID already exists",IF(AND($H1438&lt;&gt;"",COUNTIF(INV_Serial,$H1438)&gt;1),"⚠ this serial already exists",IF(COUNTIFS(INV_Product,$B1438,INV_No,$C1438)&gt;1,"⚠ piece number reused",""))))</f>
        <v/>
      </c>
      <c r="P1438" s="5" t="n"/>
    </row>
    <row r="1439">
      <c r="A1439" s="8">
        <f>IF(OR($B1439="",$C1439=""),"",IFERROR(INDEX(PM_Short,MATCH($B1439,PM_ID,0))&amp;"-"&amp;TEXT($C1439,"00"),"?? no such product"))</f>
        <v/>
      </c>
      <c r="B1439" s="5" t="n"/>
      <c r="C1439" s="5" t="n"/>
      <c r="D1439" s="8">
        <f>IF($B1439="","",IFERROR(INDEX(PM_Category,MATCH($B1439,PM_ID,0)),""))</f>
        <v/>
      </c>
      <c r="E1439" s="8">
        <f>IF($B1439="","",IFERROR(INDEX(PM_Subcategory,MATCH($B1439,PM_ID,0)),""))</f>
        <v/>
      </c>
      <c r="F1439" s="8">
        <f>IF($B1439="","",IFERROR(INDEX(PM_Brand,MATCH($B1439,PM_ID,0)),""))</f>
        <v/>
      </c>
      <c r="G1439" s="8">
        <f>IF($B1439="","",IFERROR(INDEX(PM_Model,MATCH($B1439,PM_ID,0)),""))</f>
        <v/>
      </c>
      <c r="H1439" s="5" t="n"/>
      <c r="I1439" s="10" t="n"/>
      <c r="J1439" s="9" t="n"/>
      <c r="K1439" s="5" t="n"/>
      <c r="L1439" s="5" t="n"/>
      <c r="M1439" s="5" t="n"/>
      <c r="N1439" s="5" t="n"/>
      <c r="O1439" s="8">
        <f>IF($B1439="","",IF(AND($A1439&lt;&gt;"",COUNTIF(INV_ID,$A1439)&gt;1),"⚠ this Unit ID already exists",IF(AND($H1439&lt;&gt;"",COUNTIF(INV_Serial,$H1439)&gt;1),"⚠ this serial already exists",IF(COUNTIFS(INV_Product,$B1439,INV_No,$C1439)&gt;1,"⚠ piece number reused",""))))</f>
        <v/>
      </c>
      <c r="P1439" s="5" t="n"/>
    </row>
    <row r="1440">
      <c r="A1440" s="8">
        <f>IF(OR($B1440="",$C1440=""),"",IFERROR(INDEX(PM_Short,MATCH($B1440,PM_ID,0))&amp;"-"&amp;TEXT($C1440,"00"),"?? no such product"))</f>
        <v/>
      </c>
      <c r="B1440" s="5" t="n"/>
      <c r="C1440" s="5" t="n"/>
      <c r="D1440" s="8">
        <f>IF($B1440="","",IFERROR(INDEX(PM_Category,MATCH($B1440,PM_ID,0)),""))</f>
        <v/>
      </c>
      <c r="E1440" s="8">
        <f>IF($B1440="","",IFERROR(INDEX(PM_Subcategory,MATCH($B1440,PM_ID,0)),""))</f>
        <v/>
      </c>
      <c r="F1440" s="8">
        <f>IF($B1440="","",IFERROR(INDEX(PM_Brand,MATCH($B1440,PM_ID,0)),""))</f>
        <v/>
      </c>
      <c r="G1440" s="8">
        <f>IF($B1440="","",IFERROR(INDEX(PM_Model,MATCH($B1440,PM_ID,0)),""))</f>
        <v/>
      </c>
      <c r="H1440" s="5" t="n"/>
      <c r="I1440" s="10" t="n"/>
      <c r="J1440" s="9" t="n"/>
      <c r="K1440" s="5" t="n"/>
      <c r="L1440" s="5" t="n"/>
      <c r="M1440" s="5" t="n"/>
      <c r="N1440" s="5" t="n"/>
      <c r="O1440" s="8">
        <f>IF($B1440="","",IF(AND($A1440&lt;&gt;"",COUNTIF(INV_ID,$A1440)&gt;1),"⚠ this Unit ID already exists",IF(AND($H1440&lt;&gt;"",COUNTIF(INV_Serial,$H1440)&gt;1),"⚠ this serial already exists",IF(COUNTIFS(INV_Product,$B1440,INV_No,$C1440)&gt;1,"⚠ piece number reused",""))))</f>
        <v/>
      </c>
      <c r="P1440" s="5" t="n"/>
    </row>
    <row r="1441">
      <c r="A1441" s="8">
        <f>IF(OR($B1441="",$C1441=""),"",IFERROR(INDEX(PM_Short,MATCH($B1441,PM_ID,0))&amp;"-"&amp;TEXT($C1441,"00"),"?? no such product"))</f>
        <v/>
      </c>
      <c r="B1441" s="5" t="n"/>
      <c r="C1441" s="5" t="n"/>
      <c r="D1441" s="8">
        <f>IF($B1441="","",IFERROR(INDEX(PM_Category,MATCH($B1441,PM_ID,0)),""))</f>
        <v/>
      </c>
      <c r="E1441" s="8">
        <f>IF($B1441="","",IFERROR(INDEX(PM_Subcategory,MATCH($B1441,PM_ID,0)),""))</f>
        <v/>
      </c>
      <c r="F1441" s="8">
        <f>IF($B1441="","",IFERROR(INDEX(PM_Brand,MATCH($B1441,PM_ID,0)),""))</f>
        <v/>
      </c>
      <c r="G1441" s="8">
        <f>IF($B1441="","",IFERROR(INDEX(PM_Model,MATCH($B1441,PM_ID,0)),""))</f>
        <v/>
      </c>
      <c r="H1441" s="5" t="n"/>
      <c r="I1441" s="10" t="n"/>
      <c r="J1441" s="9" t="n"/>
      <c r="K1441" s="5" t="n"/>
      <c r="L1441" s="5" t="n"/>
      <c r="M1441" s="5" t="n"/>
      <c r="N1441" s="5" t="n"/>
      <c r="O1441" s="8">
        <f>IF($B1441="","",IF(AND($A1441&lt;&gt;"",COUNTIF(INV_ID,$A1441)&gt;1),"⚠ this Unit ID already exists",IF(AND($H1441&lt;&gt;"",COUNTIF(INV_Serial,$H1441)&gt;1),"⚠ this serial already exists",IF(COUNTIFS(INV_Product,$B1441,INV_No,$C1441)&gt;1,"⚠ piece number reused",""))))</f>
        <v/>
      </c>
      <c r="P1441" s="5" t="n"/>
    </row>
    <row r="1442">
      <c r="A1442" s="8">
        <f>IF(OR($B1442="",$C1442=""),"",IFERROR(INDEX(PM_Short,MATCH($B1442,PM_ID,0))&amp;"-"&amp;TEXT($C1442,"00"),"?? no such product"))</f>
        <v/>
      </c>
      <c r="B1442" s="5" t="n"/>
      <c r="C1442" s="5" t="n"/>
      <c r="D1442" s="8">
        <f>IF($B1442="","",IFERROR(INDEX(PM_Category,MATCH($B1442,PM_ID,0)),""))</f>
        <v/>
      </c>
      <c r="E1442" s="8">
        <f>IF($B1442="","",IFERROR(INDEX(PM_Subcategory,MATCH($B1442,PM_ID,0)),""))</f>
        <v/>
      </c>
      <c r="F1442" s="8">
        <f>IF($B1442="","",IFERROR(INDEX(PM_Brand,MATCH($B1442,PM_ID,0)),""))</f>
        <v/>
      </c>
      <c r="G1442" s="8">
        <f>IF($B1442="","",IFERROR(INDEX(PM_Model,MATCH($B1442,PM_ID,0)),""))</f>
        <v/>
      </c>
      <c r="H1442" s="5" t="n"/>
      <c r="I1442" s="10" t="n"/>
      <c r="J1442" s="9" t="n"/>
      <c r="K1442" s="5" t="n"/>
      <c r="L1442" s="5" t="n"/>
      <c r="M1442" s="5" t="n"/>
      <c r="N1442" s="5" t="n"/>
      <c r="O1442" s="8">
        <f>IF($B1442="","",IF(AND($A1442&lt;&gt;"",COUNTIF(INV_ID,$A1442)&gt;1),"⚠ this Unit ID already exists",IF(AND($H1442&lt;&gt;"",COUNTIF(INV_Serial,$H1442)&gt;1),"⚠ this serial already exists",IF(COUNTIFS(INV_Product,$B1442,INV_No,$C1442)&gt;1,"⚠ piece number reused",""))))</f>
        <v/>
      </c>
      <c r="P1442" s="5" t="n"/>
    </row>
    <row r="1443">
      <c r="A1443" s="8">
        <f>IF(OR($B1443="",$C1443=""),"",IFERROR(INDEX(PM_Short,MATCH($B1443,PM_ID,0))&amp;"-"&amp;TEXT($C1443,"00"),"?? no such product"))</f>
        <v/>
      </c>
      <c r="B1443" s="5" t="n"/>
      <c r="C1443" s="5" t="n"/>
      <c r="D1443" s="8">
        <f>IF($B1443="","",IFERROR(INDEX(PM_Category,MATCH($B1443,PM_ID,0)),""))</f>
        <v/>
      </c>
      <c r="E1443" s="8">
        <f>IF($B1443="","",IFERROR(INDEX(PM_Subcategory,MATCH($B1443,PM_ID,0)),""))</f>
        <v/>
      </c>
      <c r="F1443" s="8">
        <f>IF($B1443="","",IFERROR(INDEX(PM_Brand,MATCH($B1443,PM_ID,0)),""))</f>
        <v/>
      </c>
      <c r="G1443" s="8">
        <f>IF($B1443="","",IFERROR(INDEX(PM_Model,MATCH($B1443,PM_ID,0)),""))</f>
        <v/>
      </c>
      <c r="H1443" s="5" t="n"/>
      <c r="I1443" s="10" t="n"/>
      <c r="J1443" s="9" t="n"/>
      <c r="K1443" s="5" t="n"/>
      <c r="L1443" s="5" t="n"/>
      <c r="M1443" s="5" t="n"/>
      <c r="N1443" s="5" t="n"/>
      <c r="O1443" s="8">
        <f>IF($B1443="","",IF(AND($A1443&lt;&gt;"",COUNTIF(INV_ID,$A1443)&gt;1),"⚠ this Unit ID already exists",IF(AND($H1443&lt;&gt;"",COUNTIF(INV_Serial,$H1443)&gt;1),"⚠ this serial already exists",IF(COUNTIFS(INV_Product,$B1443,INV_No,$C1443)&gt;1,"⚠ piece number reused",""))))</f>
        <v/>
      </c>
      <c r="P1443" s="5" t="n"/>
    </row>
    <row r="1444">
      <c r="A1444" s="8">
        <f>IF(OR($B1444="",$C1444=""),"",IFERROR(INDEX(PM_Short,MATCH($B1444,PM_ID,0))&amp;"-"&amp;TEXT($C1444,"00"),"?? no such product"))</f>
        <v/>
      </c>
      <c r="B1444" s="5" t="n"/>
      <c r="C1444" s="5" t="n"/>
      <c r="D1444" s="8">
        <f>IF($B1444="","",IFERROR(INDEX(PM_Category,MATCH($B1444,PM_ID,0)),""))</f>
        <v/>
      </c>
      <c r="E1444" s="8">
        <f>IF($B1444="","",IFERROR(INDEX(PM_Subcategory,MATCH($B1444,PM_ID,0)),""))</f>
        <v/>
      </c>
      <c r="F1444" s="8">
        <f>IF($B1444="","",IFERROR(INDEX(PM_Brand,MATCH($B1444,PM_ID,0)),""))</f>
        <v/>
      </c>
      <c r="G1444" s="8">
        <f>IF($B1444="","",IFERROR(INDEX(PM_Model,MATCH($B1444,PM_ID,0)),""))</f>
        <v/>
      </c>
      <c r="H1444" s="5" t="n"/>
      <c r="I1444" s="10" t="n"/>
      <c r="J1444" s="9" t="n"/>
      <c r="K1444" s="5" t="n"/>
      <c r="L1444" s="5" t="n"/>
      <c r="M1444" s="5" t="n"/>
      <c r="N1444" s="5" t="n"/>
      <c r="O1444" s="8">
        <f>IF($B1444="","",IF(AND($A1444&lt;&gt;"",COUNTIF(INV_ID,$A1444)&gt;1),"⚠ this Unit ID already exists",IF(AND($H1444&lt;&gt;"",COUNTIF(INV_Serial,$H1444)&gt;1),"⚠ this serial already exists",IF(COUNTIFS(INV_Product,$B1444,INV_No,$C1444)&gt;1,"⚠ piece number reused",""))))</f>
        <v/>
      </c>
      <c r="P1444" s="5" t="n"/>
    </row>
    <row r="1445">
      <c r="A1445" s="8">
        <f>IF(OR($B1445="",$C1445=""),"",IFERROR(INDEX(PM_Short,MATCH($B1445,PM_ID,0))&amp;"-"&amp;TEXT($C1445,"00"),"?? no such product"))</f>
        <v/>
      </c>
      <c r="B1445" s="5" t="n"/>
      <c r="C1445" s="5" t="n"/>
      <c r="D1445" s="8">
        <f>IF($B1445="","",IFERROR(INDEX(PM_Category,MATCH($B1445,PM_ID,0)),""))</f>
        <v/>
      </c>
      <c r="E1445" s="8">
        <f>IF($B1445="","",IFERROR(INDEX(PM_Subcategory,MATCH($B1445,PM_ID,0)),""))</f>
        <v/>
      </c>
      <c r="F1445" s="8">
        <f>IF($B1445="","",IFERROR(INDEX(PM_Brand,MATCH($B1445,PM_ID,0)),""))</f>
        <v/>
      </c>
      <c r="G1445" s="8">
        <f>IF($B1445="","",IFERROR(INDEX(PM_Model,MATCH($B1445,PM_ID,0)),""))</f>
        <v/>
      </c>
      <c r="H1445" s="5" t="n"/>
      <c r="I1445" s="10" t="n"/>
      <c r="J1445" s="9" t="n"/>
      <c r="K1445" s="5" t="n"/>
      <c r="L1445" s="5" t="n"/>
      <c r="M1445" s="5" t="n"/>
      <c r="N1445" s="5" t="n"/>
      <c r="O1445" s="8">
        <f>IF($B1445="","",IF(AND($A1445&lt;&gt;"",COUNTIF(INV_ID,$A1445)&gt;1),"⚠ this Unit ID already exists",IF(AND($H1445&lt;&gt;"",COUNTIF(INV_Serial,$H1445)&gt;1),"⚠ this serial already exists",IF(COUNTIFS(INV_Product,$B1445,INV_No,$C1445)&gt;1,"⚠ piece number reused",""))))</f>
        <v/>
      </c>
      <c r="P1445" s="5" t="n"/>
    </row>
    <row r="1446">
      <c r="A1446" s="8">
        <f>IF(OR($B1446="",$C1446=""),"",IFERROR(INDEX(PM_Short,MATCH($B1446,PM_ID,0))&amp;"-"&amp;TEXT($C1446,"00"),"?? no such product"))</f>
        <v/>
      </c>
      <c r="B1446" s="5" t="n"/>
      <c r="C1446" s="5" t="n"/>
      <c r="D1446" s="8">
        <f>IF($B1446="","",IFERROR(INDEX(PM_Category,MATCH($B1446,PM_ID,0)),""))</f>
        <v/>
      </c>
      <c r="E1446" s="8">
        <f>IF($B1446="","",IFERROR(INDEX(PM_Subcategory,MATCH($B1446,PM_ID,0)),""))</f>
        <v/>
      </c>
      <c r="F1446" s="8">
        <f>IF($B1446="","",IFERROR(INDEX(PM_Brand,MATCH($B1446,PM_ID,0)),""))</f>
        <v/>
      </c>
      <c r="G1446" s="8">
        <f>IF($B1446="","",IFERROR(INDEX(PM_Model,MATCH($B1446,PM_ID,0)),""))</f>
        <v/>
      </c>
      <c r="H1446" s="5" t="n"/>
      <c r="I1446" s="10" t="n"/>
      <c r="J1446" s="9" t="n"/>
      <c r="K1446" s="5" t="n"/>
      <c r="L1446" s="5" t="n"/>
      <c r="M1446" s="5" t="n"/>
      <c r="N1446" s="5" t="n"/>
      <c r="O1446" s="8">
        <f>IF($B1446="","",IF(AND($A1446&lt;&gt;"",COUNTIF(INV_ID,$A1446)&gt;1),"⚠ this Unit ID already exists",IF(AND($H1446&lt;&gt;"",COUNTIF(INV_Serial,$H1446)&gt;1),"⚠ this serial already exists",IF(COUNTIFS(INV_Product,$B1446,INV_No,$C1446)&gt;1,"⚠ piece number reused",""))))</f>
        <v/>
      </c>
      <c r="P1446" s="5" t="n"/>
    </row>
    <row r="1447">
      <c r="A1447" s="8">
        <f>IF(OR($B1447="",$C1447=""),"",IFERROR(INDEX(PM_Short,MATCH($B1447,PM_ID,0))&amp;"-"&amp;TEXT($C1447,"00"),"?? no such product"))</f>
        <v/>
      </c>
      <c r="B1447" s="5" t="n"/>
      <c r="C1447" s="5" t="n"/>
      <c r="D1447" s="8">
        <f>IF($B1447="","",IFERROR(INDEX(PM_Category,MATCH($B1447,PM_ID,0)),""))</f>
        <v/>
      </c>
      <c r="E1447" s="8">
        <f>IF($B1447="","",IFERROR(INDEX(PM_Subcategory,MATCH($B1447,PM_ID,0)),""))</f>
        <v/>
      </c>
      <c r="F1447" s="8">
        <f>IF($B1447="","",IFERROR(INDEX(PM_Brand,MATCH($B1447,PM_ID,0)),""))</f>
        <v/>
      </c>
      <c r="G1447" s="8">
        <f>IF($B1447="","",IFERROR(INDEX(PM_Model,MATCH($B1447,PM_ID,0)),""))</f>
        <v/>
      </c>
      <c r="H1447" s="5" t="n"/>
      <c r="I1447" s="10" t="n"/>
      <c r="J1447" s="9" t="n"/>
      <c r="K1447" s="5" t="n"/>
      <c r="L1447" s="5" t="n"/>
      <c r="M1447" s="5" t="n"/>
      <c r="N1447" s="5" t="n"/>
      <c r="O1447" s="8">
        <f>IF($B1447="","",IF(AND($A1447&lt;&gt;"",COUNTIF(INV_ID,$A1447)&gt;1),"⚠ this Unit ID already exists",IF(AND($H1447&lt;&gt;"",COUNTIF(INV_Serial,$H1447)&gt;1),"⚠ this serial already exists",IF(COUNTIFS(INV_Product,$B1447,INV_No,$C1447)&gt;1,"⚠ piece number reused",""))))</f>
        <v/>
      </c>
      <c r="P1447" s="5" t="n"/>
    </row>
    <row r="1448">
      <c r="A1448" s="8">
        <f>IF(OR($B1448="",$C1448=""),"",IFERROR(INDEX(PM_Short,MATCH($B1448,PM_ID,0))&amp;"-"&amp;TEXT($C1448,"00"),"?? no such product"))</f>
        <v/>
      </c>
      <c r="B1448" s="5" t="n"/>
      <c r="C1448" s="5" t="n"/>
      <c r="D1448" s="8">
        <f>IF($B1448="","",IFERROR(INDEX(PM_Category,MATCH($B1448,PM_ID,0)),""))</f>
        <v/>
      </c>
      <c r="E1448" s="8">
        <f>IF($B1448="","",IFERROR(INDEX(PM_Subcategory,MATCH($B1448,PM_ID,0)),""))</f>
        <v/>
      </c>
      <c r="F1448" s="8">
        <f>IF($B1448="","",IFERROR(INDEX(PM_Brand,MATCH($B1448,PM_ID,0)),""))</f>
        <v/>
      </c>
      <c r="G1448" s="8">
        <f>IF($B1448="","",IFERROR(INDEX(PM_Model,MATCH($B1448,PM_ID,0)),""))</f>
        <v/>
      </c>
      <c r="H1448" s="5" t="n"/>
      <c r="I1448" s="10" t="n"/>
      <c r="J1448" s="9" t="n"/>
      <c r="K1448" s="5" t="n"/>
      <c r="L1448" s="5" t="n"/>
      <c r="M1448" s="5" t="n"/>
      <c r="N1448" s="5" t="n"/>
      <c r="O1448" s="8">
        <f>IF($B1448="","",IF(AND($A1448&lt;&gt;"",COUNTIF(INV_ID,$A1448)&gt;1),"⚠ this Unit ID already exists",IF(AND($H1448&lt;&gt;"",COUNTIF(INV_Serial,$H1448)&gt;1),"⚠ this serial already exists",IF(COUNTIFS(INV_Product,$B1448,INV_No,$C1448)&gt;1,"⚠ piece number reused",""))))</f>
        <v/>
      </c>
      <c r="P1448" s="5" t="n"/>
    </row>
    <row r="1449">
      <c r="A1449" s="8">
        <f>IF(OR($B1449="",$C1449=""),"",IFERROR(INDEX(PM_Short,MATCH($B1449,PM_ID,0))&amp;"-"&amp;TEXT($C1449,"00"),"?? no such product"))</f>
        <v/>
      </c>
      <c r="B1449" s="5" t="n"/>
      <c r="C1449" s="5" t="n"/>
      <c r="D1449" s="8">
        <f>IF($B1449="","",IFERROR(INDEX(PM_Category,MATCH($B1449,PM_ID,0)),""))</f>
        <v/>
      </c>
      <c r="E1449" s="8">
        <f>IF($B1449="","",IFERROR(INDEX(PM_Subcategory,MATCH($B1449,PM_ID,0)),""))</f>
        <v/>
      </c>
      <c r="F1449" s="8">
        <f>IF($B1449="","",IFERROR(INDEX(PM_Brand,MATCH($B1449,PM_ID,0)),""))</f>
        <v/>
      </c>
      <c r="G1449" s="8">
        <f>IF($B1449="","",IFERROR(INDEX(PM_Model,MATCH($B1449,PM_ID,0)),""))</f>
        <v/>
      </c>
      <c r="H1449" s="5" t="n"/>
      <c r="I1449" s="10" t="n"/>
      <c r="J1449" s="9" t="n"/>
      <c r="K1449" s="5" t="n"/>
      <c r="L1449" s="5" t="n"/>
      <c r="M1449" s="5" t="n"/>
      <c r="N1449" s="5" t="n"/>
      <c r="O1449" s="8">
        <f>IF($B1449="","",IF(AND($A1449&lt;&gt;"",COUNTIF(INV_ID,$A1449)&gt;1),"⚠ this Unit ID already exists",IF(AND($H1449&lt;&gt;"",COUNTIF(INV_Serial,$H1449)&gt;1),"⚠ this serial already exists",IF(COUNTIFS(INV_Product,$B1449,INV_No,$C1449)&gt;1,"⚠ piece number reused",""))))</f>
        <v/>
      </c>
      <c r="P1449" s="5" t="n"/>
    </row>
    <row r="1450">
      <c r="A1450" s="8">
        <f>IF(OR($B1450="",$C1450=""),"",IFERROR(INDEX(PM_Short,MATCH($B1450,PM_ID,0))&amp;"-"&amp;TEXT($C1450,"00"),"?? no such product"))</f>
        <v/>
      </c>
      <c r="B1450" s="5" t="n"/>
      <c r="C1450" s="5" t="n"/>
      <c r="D1450" s="8">
        <f>IF($B1450="","",IFERROR(INDEX(PM_Category,MATCH($B1450,PM_ID,0)),""))</f>
        <v/>
      </c>
      <c r="E1450" s="8">
        <f>IF($B1450="","",IFERROR(INDEX(PM_Subcategory,MATCH($B1450,PM_ID,0)),""))</f>
        <v/>
      </c>
      <c r="F1450" s="8">
        <f>IF($B1450="","",IFERROR(INDEX(PM_Brand,MATCH($B1450,PM_ID,0)),""))</f>
        <v/>
      </c>
      <c r="G1450" s="8">
        <f>IF($B1450="","",IFERROR(INDEX(PM_Model,MATCH($B1450,PM_ID,0)),""))</f>
        <v/>
      </c>
      <c r="H1450" s="5" t="n"/>
      <c r="I1450" s="10" t="n"/>
      <c r="J1450" s="9" t="n"/>
      <c r="K1450" s="5" t="n"/>
      <c r="L1450" s="5" t="n"/>
      <c r="M1450" s="5" t="n"/>
      <c r="N1450" s="5" t="n"/>
      <c r="O1450" s="8">
        <f>IF($B1450="","",IF(AND($A1450&lt;&gt;"",COUNTIF(INV_ID,$A1450)&gt;1),"⚠ this Unit ID already exists",IF(AND($H1450&lt;&gt;"",COUNTIF(INV_Serial,$H1450)&gt;1),"⚠ this serial already exists",IF(COUNTIFS(INV_Product,$B1450,INV_No,$C1450)&gt;1,"⚠ piece number reused",""))))</f>
        <v/>
      </c>
      <c r="P1450" s="5" t="n"/>
    </row>
    <row r="1451">
      <c r="A1451" s="8">
        <f>IF(OR($B1451="",$C1451=""),"",IFERROR(INDEX(PM_Short,MATCH($B1451,PM_ID,0))&amp;"-"&amp;TEXT($C1451,"00"),"?? no such product"))</f>
        <v/>
      </c>
      <c r="B1451" s="5" t="n"/>
      <c r="C1451" s="5" t="n"/>
      <c r="D1451" s="8">
        <f>IF($B1451="","",IFERROR(INDEX(PM_Category,MATCH($B1451,PM_ID,0)),""))</f>
        <v/>
      </c>
      <c r="E1451" s="8">
        <f>IF($B1451="","",IFERROR(INDEX(PM_Subcategory,MATCH($B1451,PM_ID,0)),""))</f>
        <v/>
      </c>
      <c r="F1451" s="8">
        <f>IF($B1451="","",IFERROR(INDEX(PM_Brand,MATCH($B1451,PM_ID,0)),""))</f>
        <v/>
      </c>
      <c r="G1451" s="8">
        <f>IF($B1451="","",IFERROR(INDEX(PM_Model,MATCH($B1451,PM_ID,0)),""))</f>
        <v/>
      </c>
      <c r="H1451" s="5" t="n"/>
      <c r="I1451" s="10" t="n"/>
      <c r="J1451" s="9" t="n"/>
      <c r="K1451" s="5" t="n"/>
      <c r="L1451" s="5" t="n"/>
      <c r="M1451" s="5" t="n"/>
      <c r="N1451" s="5" t="n"/>
      <c r="O1451" s="8">
        <f>IF($B1451="","",IF(AND($A1451&lt;&gt;"",COUNTIF(INV_ID,$A1451)&gt;1),"⚠ this Unit ID already exists",IF(AND($H1451&lt;&gt;"",COUNTIF(INV_Serial,$H1451)&gt;1),"⚠ this serial already exists",IF(COUNTIFS(INV_Product,$B1451,INV_No,$C1451)&gt;1,"⚠ piece number reused",""))))</f>
        <v/>
      </c>
      <c r="P1451" s="5" t="n"/>
    </row>
    <row r="1452">
      <c r="A1452" s="8">
        <f>IF(OR($B1452="",$C1452=""),"",IFERROR(INDEX(PM_Short,MATCH($B1452,PM_ID,0))&amp;"-"&amp;TEXT($C1452,"00"),"?? no such product"))</f>
        <v/>
      </c>
      <c r="B1452" s="5" t="n"/>
      <c r="C1452" s="5" t="n"/>
      <c r="D1452" s="8">
        <f>IF($B1452="","",IFERROR(INDEX(PM_Category,MATCH($B1452,PM_ID,0)),""))</f>
        <v/>
      </c>
      <c r="E1452" s="8">
        <f>IF($B1452="","",IFERROR(INDEX(PM_Subcategory,MATCH($B1452,PM_ID,0)),""))</f>
        <v/>
      </c>
      <c r="F1452" s="8">
        <f>IF($B1452="","",IFERROR(INDEX(PM_Brand,MATCH($B1452,PM_ID,0)),""))</f>
        <v/>
      </c>
      <c r="G1452" s="8">
        <f>IF($B1452="","",IFERROR(INDEX(PM_Model,MATCH($B1452,PM_ID,0)),""))</f>
        <v/>
      </c>
      <c r="H1452" s="5" t="n"/>
      <c r="I1452" s="10" t="n"/>
      <c r="J1452" s="9" t="n"/>
      <c r="K1452" s="5" t="n"/>
      <c r="L1452" s="5" t="n"/>
      <c r="M1452" s="5" t="n"/>
      <c r="N1452" s="5" t="n"/>
      <c r="O1452" s="8">
        <f>IF($B1452="","",IF(AND($A1452&lt;&gt;"",COUNTIF(INV_ID,$A1452)&gt;1),"⚠ this Unit ID already exists",IF(AND($H1452&lt;&gt;"",COUNTIF(INV_Serial,$H1452)&gt;1),"⚠ this serial already exists",IF(COUNTIFS(INV_Product,$B1452,INV_No,$C1452)&gt;1,"⚠ piece number reused",""))))</f>
        <v/>
      </c>
      <c r="P1452" s="5" t="n"/>
    </row>
    <row r="1453">
      <c r="A1453" s="8">
        <f>IF(OR($B1453="",$C1453=""),"",IFERROR(INDEX(PM_Short,MATCH($B1453,PM_ID,0))&amp;"-"&amp;TEXT($C1453,"00"),"?? no such product"))</f>
        <v/>
      </c>
      <c r="B1453" s="5" t="n"/>
      <c r="C1453" s="5" t="n"/>
      <c r="D1453" s="8">
        <f>IF($B1453="","",IFERROR(INDEX(PM_Category,MATCH($B1453,PM_ID,0)),""))</f>
        <v/>
      </c>
      <c r="E1453" s="8">
        <f>IF($B1453="","",IFERROR(INDEX(PM_Subcategory,MATCH($B1453,PM_ID,0)),""))</f>
        <v/>
      </c>
      <c r="F1453" s="8">
        <f>IF($B1453="","",IFERROR(INDEX(PM_Brand,MATCH($B1453,PM_ID,0)),""))</f>
        <v/>
      </c>
      <c r="G1453" s="8">
        <f>IF($B1453="","",IFERROR(INDEX(PM_Model,MATCH($B1453,PM_ID,0)),""))</f>
        <v/>
      </c>
      <c r="H1453" s="5" t="n"/>
      <c r="I1453" s="10" t="n"/>
      <c r="J1453" s="9" t="n"/>
      <c r="K1453" s="5" t="n"/>
      <c r="L1453" s="5" t="n"/>
      <c r="M1453" s="5" t="n"/>
      <c r="N1453" s="5" t="n"/>
      <c r="O1453" s="8">
        <f>IF($B1453="","",IF(AND($A1453&lt;&gt;"",COUNTIF(INV_ID,$A1453)&gt;1),"⚠ this Unit ID already exists",IF(AND($H1453&lt;&gt;"",COUNTIF(INV_Serial,$H1453)&gt;1),"⚠ this serial already exists",IF(COUNTIFS(INV_Product,$B1453,INV_No,$C1453)&gt;1,"⚠ piece number reused",""))))</f>
        <v/>
      </c>
      <c r="P1453" s="5" t="n"/>
    </row>
    <row r="1454">
      <c r="A1454" s="8">
        <f>IF(OR($B1454="",$C1454=""),"",IFERROR(INDEX(PM_Short,MATCH($B1454,PM_ID,0))&amp;"-"&amp;TEXT($C1454,"00"),"?? no such product"))</f>
        <v/>
      </c>
      <c r="B1454" s="5" t="n"/>
      <c r="C1454" s="5" t="n"/>
      <c r="D1454" s="8">
        <f>IF($B1454="","",IFERROR(INDEX(PM_Category,MATCH($B1454,PM_ID,0)),""))</f>
        <v/>
      </c>
      <c r="E1454" s="8">
        <f>IF($B1454="","",IFERROR(INDEX(PM_Subcategory,MATCH($B1454,PM_ID,0)),""))</f>
        <v/>
      </c>
      <c r="F1454" s="8">
        <f>IF($B1454="","",IFERROR(INDEX(PM_Brand,MATCH($B1454,PM_ID,0)),""))</f>
        <v/>
      </c>
      <c r="G1454" s="8">
        <f>IF($B1454="","",IFERROR(INDEX(PM_Model,MATCH($B1454,PM_ID,0)),""))</f>
        <v/>
      </c>
      <c r="H1454" s="5" t="n"/>
      <c r="I1454" s="10" t="n"/>
      <c r="J1454" s="9" t="n"/>
      <c r="K1454" s="5" t="n"/>
      <c r="L1454" s="5" t="n"/>
      <c r="M1454" s="5" t="n"/>
      <c r="N1454" s="5" t="n"/>
      <c r="O1454" s="8">
        <f>IF($B1454="","",IF(AND($A1454&lt;&gt;"",COUNTIF(INV_ID,$A1454)&gt;1),"⚠ this Unit ID already exists",IF(AND($H1454&lt;&gt;"",COUNTIF(INV_Serial,$H1454)&gt;1),"⚠ this serial already exists",IF(COUNTIFS(INV_Product,$B1454,INV_No,$C1454)&gt;1,"⚠ piece number reused",""))))</f>
        <v/>
      </c>
      <c r="P1454" s="5" t="n"/>
    </row>
    <row r="1455">
      <c r="A1455" s="8">
        <f>IF(OR($B1455="",$C1455=""),"",IFERROR(INDEX(PM_Short,MATCH($B1455,PM_ID,0))&amp;"-"&amp;TEXT($C1455,"00"),"?? no such product"))</f>
        <v/>
      </c>
      <c r="B1455" s="5" t="n"/>
      <c r="C1455" s="5" t="n"/>
      <c r="D1455" s="8">
        <f>IF($B1455="","",IFERROR(INDEX(PM_Category,MATCH($B1455,PM_ID,0)),""))</f>
        <v/>
      </c>
      <c r="E1455" s="8">
        <f>IF($B1455="","",IFERROR(INDEX(PM_Subcategory,MATCH($B1455,PM_ID,0)),""))</f>
        <v/>
      </c>
      <c r="F1455" s="8">
        <f>IF($B1455="","",IFERROR(INDEX(PM_Brand,MATCH($B1455,PM_ID,0)),""))</f>
        <v/>
      </c>
      <c r="G1455" s="8">
        <f>IF($B1455="","",IFERROR(INDEX(PM_Model,MATCH($B1455,PM_ID,0)),""))</f>
        <v/>
      </c>
      <c r="H1455" s="5" t="n"/>
      <c r="I1455" s="10" t="n"/>
      <c r="J1455" s="9" t="n"/>
      <c r="K1455" s="5" t="n"/>
      <c r="L1455" s="5" t="n"/>
      <c r="M1455" s="5" t="n"/>
      <c r="N1455" s="5" t="n"/>
      <c r="O1455" s="8">
        <f>IF($B1455="","",IF(AND($A1455&lt;&gt;"",COUNTIF(INV_ID,$A1455)&gt;1),"⚠ this Unit ID already exists",IF(AND($H1455&lt;&gt;"",COUNTIF(INV_Serial,$H1455)&gt;1),"⚠ this serial already exists",IF(COUNTIFS(INV_Product,$B1455,INV_No,$C1455)&gt;1,"⚠ piece number reused",""))))</f>
        <v/>
      </c>
      <c r="P1455" s="5" t="n"/>
    </row>
    <row r="1456">
      <c r="A1456" s="8">
        <f>IF(OR($B1456="",$C1456=""),"",IFERROR(INDEX(PM_Short,MATCH($B1456,PM_ID,0))&amp;"-"&amp;TEXT($C1456,"00"),"?? no such product"))</f>
        <v/>
      </c>
      <c r="B1456" s="5" t="n"/>
      <c r="C1456" s="5" t="n"/>
      <c r="D1456" s="8">
        <f>IF($B1456="","",IFERROR(INDEX(PM_Category,MATCH($B1456,PM_ID,0)),""))</f>
        <v/>
      </c>
      <c r="E1456" s="8">
        <f>IF($B1456="","",IFERROR(INDEX(PM_Subcategory,MATCH($B1456,PM_ID,0)),""))</f>
        <v/>
      </c>
      <c r="F1456" s="8">
        <f>IF($B1456="","",IFERROR(INDEX(PM_Brand,MATCH($B1456,PM_ID,0)),""))</f>
        <v/>
      </c>
      <c r="G1456" s="8">
        <f>IF($B1456="","",IFERROR(INDEX(PM_Model,MATCH($B1456,PM_ID,0)),""))</f>
        <v/>
      </c>
      <c r="H1456" s="5" t="n"/>
      <c r="I1456" s="10" t="n"/>
      <c r="J1456" s="9" t="n"/>
      <c r="K1456" s="5" t="n"/>
      <c r="L1456" s="5" t="n"/>
      <c r="M1456" s="5" t="n"/>
      <c r="N1456" s="5" t="n"/>
      <c r="O1456" s="8">
        <f>IF($B1456="","",IF(AND($A1456&lt;&gt;"",COUNTIF(INV_ID,$A1456)&gt;1),"⚠ this Unit ID already exists",IF(AND($H1456&lt;&gt;"",COUNTIF(INV_Serial,$H1456)&gt;1),"⚠ this serial already exists",IF(COUNTIFS(INV_Product,$B1456,INV_No,$C1456)&gt;1,"⚠ piece number reused",""))))</f>
        <v/>
      </c>
      <c r="P1456" s="5" t="n"/>
    </row>
    <row r="1457">
      <c r="A1457" s="8">
        <f>IF(OR($B1457="",$C1457=""),"",IFERROR(INDEX(PM_Short,MATCH($B1457,PM_ID,0))&amp;"-"&amp;TEXT($C1457,"00"),"?? no such product"))</f>
        <v/>
      </c>
      <c r="B1457" s="5" t="n"/>
      <c r="C1457" s="5" t="n"/>
      <c r="D1457" s="8">
        <f>IF($B1457="","",IFERROR(INDEX(PM_Category,MATCH($B1457,PM_ID,0)),""))</f>
        <v/>
      </c>
      <c r="E1457" s="8">
        <f>IF($B1457="","",IFERROR(INDEX(PM_Subcategory,MATCH($B1457,PM_ID,0)),""))</f>
        <v/>
      </c>
      <c r="F1457" s="8">
        <f>IF($B1457="","",IFERROR(INDEX(PM_Brand,MATCH($B1457,PM_ID,0)),""))</f>
        <v/>
      </c>
      <c r="G1457" s="8">
        <f>IF($B1457="","",IFERROR(INDEX(PM_Model,MATCH($B1457,PM_ID,0)),""))</f>
        <v/>
      </c>
      <c r="H1457" s="5" t="n"/>
      <c r="I1457" s="10" t="n"/>
      <c r="J1457" s="9" t="n"/>
      <c r="K1457" s="5" t="n"/>
      <c r="L1457" s="5" t="n"/>
      <c r="M1457" s="5" t="n"/>
      <c r="N1457" s="5" t="n"/>
      <c r="O1457" s="8">
        <f>IF($B1457="","",IF(AND($A1457&lt;&gt;"",COUNTIF(INV_ID,$A1457)&gt;1),"⚠ this Unit ID already exists",IF(AND($H1457&lt;&gt;"",COUNTIF(INV_Serial,$H1457)&gt;1),"⚠ this serial already exists",IF(COUNTIFS(INV_Product,$B1457,INV_No,$C1457)&gt;1,"⚠ piece number reused",""))))</f>
        <v/>
      </c>
      <c r="P1457" s="5" t="n"/>
    </row>
    <row r="1458">
      <c r="A1458" s="8">
        <f>IF(OR($B1458="",$C1458=""),"",IFERROR(INDEX(PM_Short,MATCH($B1458,PM_ID,0))&amp;"-"&amp;TEXT($C1458,"00"),"?? no such product"))</f>
        <v/>
      </c>
      <c r="B1458" s="5" t="n"/>
      <c r="C1458" s="5" t="n"/>
      <c r="D1458" s="8">
        <f>IF($B1458="","",IFERROR(INDEX(PM_Category,MATCH($B1458,PM_ID,0)),""))</f>
        <v/>
      </c>
      <c r="E1458" s="8">
        <f>IF($B1458="","",IFERROR(INDEX(PM_Subcategory,MATCH($B1458,PM_ID,0)),""))</f>
        <v/>
      </c>
      <c r="F1458" s="8">
        <f>IF($B1458="","",IFERROR(INDEX(PM_Brand,MATCH($B1458,PM_ID,0)),""))</f>
        <v/>
      </c>
      <c r="G1458" s="8">
        <f>IF($B1458="","",IFERROR(INDEX(PM_Model,MATCH($B1458,PM_ID,0)),""))</f>
        <v/>
      </c>
      <c r="H1458" s="5" t="n"/>
      <c r="I1458" s="10" t="n"/>
      <c r="J1458" s="9" t="n"/>
      <c r="K1458" s="5" t="n"/>
      <c r="L1458" s="5" t="n"/>
      <c r="M1458" s="5" t="n"/>
      <c r="N1458" s="5" t="n"/>
      <c r="O1458" s="8">
        <f>IF($B1458="","",IF(AND($A1458&lt;&gt;"",COUNTIF(INV_ID,$A1458)&gt;1),"⚠ this Unit ID already exists",IF(AND($H1458&lt;&gt;"",COUNTIF(INV_Serial,$H1458)&gt;1),"⚠ this serial already exists",IF(COUNTIFS(INV_Product,$B1458,INV_No,$C1458)&gt;1,"⚠ piece number reused",""))))</f>
        <v/>
      </c>
      <c r="P1458" s="5" t="n"/>
    </row>
    <row r="1459">
      <c r="A1459" s="8">
        <f>IF(OR($B1459="",$C1459=""),"",IFERROR(INDEX(PM_Short,MATCH($B1459,PM_ID,0))&amp;"-"&amp;TEXT($C1459,"00"),"?? no such product"))</f>
        <v/>
      </c>
      <c r="B1459" s="5" t="n"/>
      <c r="C1459" s="5" t="n"/>
      <c r="D1459" s="8">
        <f>IF($B1459="","",IFERROR(INDEX(PM_Category,MATCH($B1459,PM_ID,0)),""))</f>
        <v/>
      </c>
      <c r="E1459" s="8">
        <f>IF($B1459="","",IFERROR(INDEX(PM_Subcategory,MATCH($B1459,PM_ID,0)),""))</f>
        <v/>
      </c>
      <c r="F1459" s="8">
        <f>IF($B1459="","",IFERROR(INDEX(PM_Brand,MATCH($B1459,PM_ID,0)),""))</f>
        <v/>
      </c>
      <c r="G1459" s="8">
        <f>IF($B1459="","",IFERROR(INDEX(PM_Model,MATCH($B1459,PM_ID,0)),""))</f>
        <v/>
      </c>
      <c r="H1459" s="5" t="n"/>
      <c r="I1459" s="10" t="n"/>
      <c r="J1459" s="9" t="n"/>
      <c r="K1459" s="5" t="n"/>
      <c r="L1459" s="5" t="n"/>
      <c r="M1459" s="5" t="n"/>
      <c r="N1459" s="5" t="n"/>
      <c r="O1459" s="8">
        <f>IF($B1459="","",IF(AND($A1459&lt;&gt;"",COUNTIF(INV_ID,$A1459)&gt;1),"⚠ this Unit ID already exists",IF(AND($H1459&lt;&gt;"",COUNTIF(INV_Serial,$H1459)&gt;1),"⚠ this serial already exists",IF(COUNTIFS(INV_Product,$B1459,INV_No,$C1459)&gt;1,"⚠ piece number reused",""))))</f>
        <v/>
      </c>
      <c r="P1459" s="5" t="n"/>
    </row>
    <row r="1460">
      <c r="A1460" s="8">
        <f>IF(OR($B1460="",$C1460=""),"",IFERROR(INDEX(PM_Short,MATCH($B1460,PM_ID,0))&amp;"-"&amp;TEXT($C1460,"00"),"?? no such product"))</f>
        <v/>
      </c>
      <c r="B1460" s="5" t="n"/>
      <c r="C1460" s="5" t="n"/>
      <c r="D1460" s="8">
        <f>IF($B1460="","",IFERROR(INDEX(PM_Category,MATCH($B1460,PM_ID,0)),""))</f>
        <v/>
      </c>
      <c r="E1460" s="8">
        <f>IF($B1460="","",IFERROR(INDEX(PM_Subcategory,MATCH($B1460,PM_ID,0)),""))</f>
        <v/>
      </c>
      <c r="F1460" s="8">
        <f>IF($B1460="","",IFERROR(INDEX(PM_Brand,MATCH($B1460,PM_ID,0)),""))</f>
        <v/>
      </c>
      <c r="G1460" s="8">
        <f>IF($B1460="","",IFERROR(INDEX(PM_Model,MATCH($B1460,PM_ID,0)),""))</f>
        <v/>
      </c>
      <c r="H1460" s="5" t="n"/>
      <c r="I1460" s="10" t="n"/>
      <c r="J1460" s="9" t="n"/>
      <c r="K1460" s="5" t="n"/>
      <c r="L1460" s="5" t="n"/>
      <c r="M1460" s="5" t="n"/>
      <c r="N1460" s="5" t="n"/>
      <c r="O1460" s="8">
        <f>IF($B1460="","",IF(AND($A1460&lt;&gt;"",COUNTIF(INV_ID,$A1460)&gt;1),"⚠ this Unit ID already exists",IF(AND($H1460&lt;&gt;"",COUNTIF(INV_Serial,$H1460)&gt;1),"⚠ this serial already exists",IF(COUNTIFS(INV_Product,$B1460,INV_No,$C1460)&gt;1,"⚠ piece number reused",""))))</f>
        <v/>
      </c>
      <c r="P1460" s="5" t="n"/>
    </row>
    <row r="1461">
      <c r="A1461" s="8">
        <f>IF(OR($B1461="",$C1461=""),"",IFERROR(INDEX(PM_Short,MATCH($B1461,PM_ID,0))&amp;"-"&amp;TEXT($C1461,"00"),"?? no such product"))</f>
        <v/>
      </c>
      <c r="B1461" s="5" t="n"/>
      <c r="C1461" s="5" t="n"/>
      <c r="D1461" s="8">
        <f>IF($B1461="","",IFERROR(INDEX(PM_Category,MATCH($B1461,PM_ID,0)),""))</f>
        <v/>
      </c>
      <c r="E1461" s="8">
        <f>IF($B1461="","",IFERROR(INDEX(PM_Subcategory,MATCH($B1461,PM_ID,0)),""))</f>
        <v/>
      </c>
      <c r="F1461" s="8">
        <f>IF($B1461="","",IFERROR(INDEX(PM_Brand,MATCH($B1461,PM_ID,0)),""))</f>
        <v/>
      </c>
      <c r="G1461" s="8">
        <f>IF($B1461="","",IFERROR(INDEX(PM_Model,MATCH($B1461,PM_ID,0)),""))</f>
        <v/>
      </c>
      <c r="H1461" s="5" t="n"/>
      <c r="I1461" s="10" t="n"/>
      <c r="J1461" s="9" t="n"/>
      <c r="K1461" s="5" t="n"/>
      <c r="L1461" s="5" t="n"/>
      <c r="M1461" s="5" t="n"/>
      <c r="N1461" s="5" t="n"/>
      <c r="O1461" s="8">
        <f>IF($B1461="","",IF(AND($A1461&lt;&gt;"",COUNTIF(INV_ID,$A1461)&gt;1),"⚠ this Unit ID already exists",IF(AND($H1461&lt;&gt;"",COUNTIF(INV_Serial,$H1461)&gt;1),"⚠ this serial already exists",IF(COUNTIFS(INV_Product,$B1461,INV_No,$C1461)&gt;1,"⚠ piece number reused",""))))</f>
        <v/>
      </c>
      <c r="P1461" s="5" t="n"/>
    </row>
    <row r="1462">
      <c r="A1462" s="8">
        <f>IF(OR($B1462="",$C1462=""),"",IFERROR(INDEX(PM_Short,MATCH($B1462,PM_ID,0))&amp;"-"&amp;TEXT($C1462,"00"),"?? no such product"))</f>
        <v/>
      </c>
      <c r="B1462" s="5" t="n"/>
      <c r="C1462" s="5" t="n"/>
      <c r="D1462" s="8">
        <f>IF($B1462="","",IFERROR(INDEX(PM_Category,MATCH($B1462,PM_ID,0)),""))</f>
        <v/>
      </c>
      <c r="E1462" s="8">
        <f>IF($B1462="","",IFERROR(INDEX(PM_Subcategory,MATCH($B1462,PM_ID,0)),""))</f>
        <v/>
      </c>
      <c r="F1462" s="8">
        <f>IF($B1462="","",IFERROR(INDEX(PM_Brand,MATCH($B1462,PM_ID,0)),""))</f>
        <v/>
      </c>
      <c r="G1462" s="8">
        <f>IF($B1462="","",IFERROR(INDEX(PM_Model,MATCH($B1462,PM_ID,0)),""))</f>
        <v/>
      </c>
      <c r="H1462" s="5" t="n"/>
      <c r="I1462" s="10" t="n"/>
      <c r="J1462" s="9" t="n"/>
      <c r="K1462" s="5" t="n"/>
      <c r="L1462" s="5" t="n"/>
      <c r="M1462" s="5" t="n"/>
      <c r="N1462" s="5" t="n"/>
      <c r="O1462" s="8">
        <f>IF($B1462="","",IF(AND($A1462&lt;&gt;"",COUNTIF(INV_ID,$A1462)&gt;1),"⚠ this Unit ID already exists",IF(AND($H1462&lt;&gt;"",COUNTIF(INV_Serial,$H1462)&gt;1),"⚠ this serial already exists",IF(COUNTIFS(INV_Product,$B1462,INV_No,$C1462)&gt;1,"⚠ piece number reused",""))))</f>
        <v/>
      </c>
      <c r="P1462" s="5" t="n"/>
    </row>
    <row r="1463">
      <c r="A1463" s="8">
        <f>IF(OR($B1463="",$C1463=""),"",IFERROR(INDEX(PM_Short,MATCH($B1463,PM_ID,0))&amp;"-"&amp;TEXT($C1463,"00"),"?? no such product"))</f>
        <v/>
      </c>
      <c r="B1463" s="5" t="n"/>
      <c r="C1463" s="5" t="n"/>
      <c r="D1463" s="8">
        <f>IF($B1463="","",IFERROR(INDEX(PM_Category,MATCH($B1463,PM_ID,0)),""))</f>
        <v/>
      </c>
      <c r="E1463" s="8">
        <f>IF($B1463="","",IFERROR(INDEX(PM_Subcategory,MATCH($B1463,PM_ID,0)),""))</f>
        <v/>
      </c>
      <c r="F1463" s="8">
        <f>IF($B1463="","",IFERROR(INDEX(PM_Brand,MATCH($B1463,PM_ID,0)),""))</f>
        <v/>
      </c>
      <c r="G1463" s="8">
        <f>IF($B1463="","",IFERROR(INDEX(PM_Model,MATCH($B1463,PM_ID,0)),""))</f>
        <v/>
      </c>
      <c r="H1463" s="5" t="n"/>
      <c r="I1463" s="10" t="n"/>
      <c r="J1463" s="9" t="n"/>
      <c r="K1463" s="5" t="n"/>
      <c r="L1463" s="5" t="n"/>
      <c r="M1463" s="5" t="n"/>
      <c r="N1463" s="5" t="n"/>
      <c r="O1463" s="8">
        <f>IF($B1463="","",IF(AND($A1463&lt;&gt;"",COUNTIF(INV_ID,$A1463)&gt;1),"⚠ this Unit ID already exists",IF(AND($H1463&lt;&gt;"",COUNTIF(INV_Serial,$H1463)&gt;1),"⚠ this serial already exists",IF(COUNTIFS(INV_Product,$B1463,INV_No,$C1463)&gt;1,"⚠ piece number reused",""))))</f>
        <v/>
      </c>
      <c r="P1463" s="5" t="n"/>
    </row>
    <row r="1464">
      <c r="A1464" s="8">
        <f>IF(OR($B1464="",$C1464=""),"",IFERROR(INDEX(PM_Short,MATCH($B1464,PM_ID,0))&amp;"-"&amp;TEXT($C1464,"00"),"?? no such product"))</f>
        <v/>
      </c>
      <c r="B1464" s="5" t="n"/>
      <c r="C1464" s="5" t="n"/>
      <c r="D1464" s="8">
        <f>IF($B1464="","",IFERROR(INDEX(PM_Category,MATCH($B1464,PM_ID,0)),""))</f>
        <v/>
      </c>
      <c r="E1464" s="8">
        <f>IF($B1464="","",IFERROR(INDEX(PM_Subcategory,MATCH($B1464,PM_ID,0)),""))</f>
        <v/>
      </c>
      <c r="F1464" s="8">
        <f>IF($B1464="","",IFERROR(INDEX(PM_Brand,MATCH($B1464,PM_ID,0)),""))</f>
        <v/>
      </c>
      <c r="G1464" s="8">
        <f>IF($B1464="","",IFERROR(INDEX(PM_Model,MATCH($B1464,PM_ID,0)),""))</f>
        <v/>
      </c>
      <c r="H1464" s="5" t="n"/>
      <c r="I1464" s="10" t="n"/>
      <c r="J1464" s="9" t="n"/>
      <c r="K1464" s="5" t="n"/>
      <c r="L1464" s="5" t="n"/>
      <c r="M1464" s="5" t="n"/>
      <c r="N1464" s="5" t="n"/>
      <c r="O1464" s="8">
        <f>IF($B1464="","",IF(AND($A1464&lt;&gt;"",COUNTIF(INV_ID,$A1464)&gt;1),"⚠ this Unit ID already exists",IF(AND($H1464&lt;&gt;"",COUNTIF(INV_Serial,$H1464)&gt;1),"⚠ this serial already exists",IF(COUNTIFS(INV_Product,$B1464,INV_No,$C1464)&gt;1,"⚠ piece number reused",""))))</f>
        <v/>
      </c>
      <c r="P1464" s="5" t="n"/>
    </row>
    <row r="1465">
      <c r="A1465" s="8">
        <f>IF(OR($B1465="",$C1465=""),"",IFERROR(INDEX(PM_Short,MATCH($B1465,PM_ID,0))&amp;"-"&amp;TEXT($C1465,"00"),"?? no such product"))</f>
        <v/>
      </c>
      <c r="B1465" s="5" t="n"/>
      <c r="C1465" s="5" t="n"/>
      <c r="D1465" s="8">
        <f>IF($B1465="","",IFERROR(INDEX(PM_Category,MATCH($B1465,PM_ID,0)),""))</f>
        <v/>
      </c>
      <c r="E1465" s="8">
        <f>IF($B1465="","",IFERROR(INDEX(PM_Subcategory,MATCH($B1465,PM_ID,0)),""))</f>
        <v/>
      </c>
      <c r="F1465" s="8">
        <f>IF($B1465="","",IFERROR(INDEX(PM_Brand,MATCH($B1465,PM_ID,0)),""))</f>
        <v/>
      </c>
      <c r="G1465" s="8">
        <f>IF($B1465="","",IFERROR(INDEX(PM_Model,MATCH($B1465,PM_ID,0)),""))</f>
        <v/>
      </c>
      <c r="H1465" s="5" t="n"/>
      <c r="I1465" s="10" t="n"/>
      <c r="J1465" s="9" t="n"/>
      <c r="K1465" s="5" t="n"/>
      <c r="L1465" s="5" t="n"/>
      <c r="M1465" s="5" t="n"/>
      <c r="N1465" s="5" t="n"/>
      <c r="O1465" s="8">
        <f>IF($B1465="","",IF(AND($A1465&lt;&gt;"",COUNTIF(INV_ID,$A1465)&gt;1),"⚠ this Unit ID already exists",IF(AND($H1465&lt;&gt;"",COUNTIF(INV_Serial,$H1465)&gt;1),"⚠ this serial already exists",IF(COUNTIFS(INV_Product,$B1465,INV_No,$C1465)&gt;1,"⚠ piece number reused",""))))</f>
        <v/>
      </c>
      <c r="P1465" s="5" t="n"/>
    </row>
    <row r="1466">
      <c r="A1466" s="8">
        <f>IF(OR($B1466="",$C1466=""),"",IFERROR(INDEX(PM_Short,MATCH($B1466,PM_ID,0))&amp;"-"&amp;TEXT($C1466,"00"),"?? no such product"))</f>
        <v/>
      </c>
      <c r="B1466" s="5" t="n"/>
      <c r="C1466" s="5" t="n"/>
      <c r="D1466" s="8">
        <f>IF($B1466="","",IFERROR(INDEX(PM_Category,MATCH($B1466,PM_ID,0)),""))</f>
        <v/>
      </c>
      <c r="E1466" s="8">
        <f>IF($B1466="","",IFERROR(INDEX(PM_Subcategory,MATCH($B1466,PM_ID,0)),""))</f>
        <v/>
      </c>
      <c r="F1466" s="8">
        <f>IF($B1466="","",IFERROR(INDEX(PM_Brand,MATCH($B1466,PM_ID,0)),""))</f>
        <v/>
      </c>
      <c r="G1466" s="8">
        <f>IF($B1466="","",IFERROR(INDEX(PM_Model,MATCH($B1466,PM_ID,0)),""))</f>
        <v/>
      </c>
      <c r="H1466" s="5" t="n"/>
      <c r="I1466" s="10" t="n"/>
      <c r="J1466" s="9" t="n"/>
      <c r="K1466" s="5" t="n"/>
      <c r="L1466" s="5" t="n"/>
      <c r="M1466" s="5" t="n"/>
      <c r="N1466" s="5" t="n"/>
      <c r="O1466" s="8">
        <f>IF($B1466="","",IF(AND($A1466&lt;&gt;"",COUNTIF(INV_ID,$A1466)&gt;1),"⚠ this Unit ID already exists",IF(AND($H1466&lt;&gt;"",COUNTIF(INV_Serial,$H1466)&gt;1),"⚠ this serial already exists",IF(COUNTIFS(INV_Product,$B1466,INV_No,$C1466)&gt;1,"⚠ piece number reused",""))))</f>
        <v/>
      </c>
      <c r="P1466" s="5" t="n"/>
    </row>
    <row r="1467">
      <c r="A1467" s="8">
        <f>IF(OR($B1467="",$C1467=""),"",IFERROR(INDEX(PM_Short,MATCH($B1467,PM_ID,0))&amp;"-"&amp;TEXT($C1467,"00"),"?? no such product"))</f>
        <v/>
      </c>
      <c r="B1467" s="5" t="n"/>
      <c r="C1467" s="5" t="n"/>
      <c r="D1467" s="8">
        <f>IF($B1467="","",IFERROR(INDEX(PM_Category,MATCH($B1467,PM_ID,0)),""))</f>
        <v/>
      </c>
      <c r="E1467" s="8">
        <f>IF($B1467="","",IFERROR(INDEX(PM_Subcategory,MATCH($B1467,PM_ID,0)),""))</f>
        <v/>
      </c>
      <c r="F1467" s="8">
        <f>IF($B1467="","",IFERROR(INDEX(PM_Brand,MATCH($B1467,PM_ID,0)),""))</f>
        <v/>
      </c>
      <c r="G1467" s="8">
        <f>IF($B1467="","",IFERROR(INDEX(PM_Model,MATCH($B1467,PM_ID,0)),""))</f>
        <v/>
      </c>
      <c r="H1467" s="5" t="n"/>
      <c r="I1467" s="10" t="n"/>
      <c r="J1467" s="9" t="n"/>
      <c r="K1467" s="5" t="n"/>
      <c r="L1467" s="5" t="n"/>
      <c r="M1467" s="5" t="n"/>
      <c r="N1467" s="5" t="n"/>
      <c r="O1467" s="8">
        <f>IF($B1467="","",IF(AND($A1467&lt;&gt;"",COUNTIF(INV_ID,$A1467)&gt;1),"⚠ this Unit ID already exists",IF(AND($H1467&lt;&gt;"",COUNTIF(INV_Serial,$H1467)&gt;1),"⚠ this serial already exists",IF(COUNTIFS(INV_Product,$B1467,INV_No,$C1467)&gt;1,"⚠ piece number reused",""))))</f>
        <v/>
      </c>
      <c r="P1467" s="5" t="n"/>
    </row>
    <row r="1468">
      <c r="A1468" s="8">
        <f>IF(OR($B1468="",$C1468=""),"",IFERROR(INDEX(PM_Short,MATCH($B1468,PM_ID,0))&amp;"-"&amp;TEXT($C1468,"00"),"?? no such product"))</f>
        <v/>
      </c>
      <c r="B1468" s="5" t="n"/>
      <c r="C1468" s="5" t="n"/>
      <c r="D1468" s="8">
        <f>IF($B1468="","",IFERROR(INDEX(PM_Category,MATCH($B1468,PM_ID,0)),""))</f>
        <v/>
      </c>
      <c r="E1468" s="8">
        <f>IF($B1468="","",IFERROR(INDEX(PM_Subcategory,MATCH($B1468,PM_ID,0)),""))</f>
        <v/>
      </c>
      <c r="F1468" s="8">
        <f>IF($B1468="","",IFERROR(INDEX(PM_Brand,MATCH($B1468,PM_ID,0)),""))</f>
        <v/>
      </c>
      <c r="G1468" s="8">
        <f>IF($B1468="","",IFERROR(INDEX(PM_Model,MATCH($B1468,PM_ID,0)),""))</f>
        <v/>
      </c>
      <c r="H1468" s="5" t="n"/>
      <c r="I1468" s="10" t="n"/>
      <c r="J1468" s="9" t="n"/>
      <c r="K1468" s="5" t="n"/>
      <c r="L1468" s="5" t="n"/>
      <c r="M1468" s="5" t="n"/>
      <c r="N1468" s="5" t="n"/>
      <c r="O1468" s="8">
        <f>IF($B1468="","",IF(AND($A1468&lt;&gt;"",COUNTIF(INV_ID,$A1468)&gt;1),"⚠ this Unit ID already exists",IF(AND($H1468&lt;&gt;"",COUNTIF(INV_Serial,$H1468)&gt;1),"⚠ this serial already exists",IF(COUNTIFS(INV_Product,$B1468,INV_No,$C1468)&gt;1,"⚠ piece number reused",""))))</f>
        <v/>
      </c>
      <c r="P1468" s="5" t="n"/>
    </row>
    <row r="1469">
      <c r="A1469" s="8">
        <f>IF(OR($B1469="",$C1469=""),"",IFERROR(INDEX(PM_Short,MATCH($B1469,PM_ID,0))&amp;"-"&amp;TEXT($C1469,"00"),"?? no such product"))</f>
        <v/>
      </c>
      <c r="B1469" s="5" t="n"/>
      <c r="C1469" s="5" t="n"/>
      <c r="D1469" s="8">
        <f>IF($B1469="","",IFERROR(INDEX(PM_Category,MATCH($B1469,PM_ID,0)),""))</f>
        <v/>
      </c>
      <c r="E1469" s="8">
        <f>IF($B1469="","",IFERROR(INDEX(PM_Subcategory,MATCH($B1469,PM_ID,0)),""))</f>
        <v/>
      </c>
      <c r="F1469" s="8">
        <f>IF($B1469="","",IFERROR(INDEX(PM_Brand,MATCH($B1469,PM_ID,0)),""))</f>
        <v/>
      </c>
      <c r="G1469" s="8">
        <f>IF($B1469="","",IFERROR(INDEX(PM_Model,MATCH($B1469,PM_ID,0)),""))</f>
        <v/>
      </c>
      <c r="H1469" s="5" t="n"/>
      <c r="I1469" s="10" t="n"/>
      <c r="J1469" s="9" t="n"/>
      <c r="K1469" s="5" t="n"/>
      <c r="L1469" s="5" t="n"/>
      <c r="M1469" s="5" t="n"/>
      <c r="N1469" s="5" t="n"/>
      <c r="O1469" s="8">
        <f>IF($B1469="","",IF(AND($A1469&lt;&gt;"",COUNTIF(INV_ID,$A1469)&gt;1),"⚠ this Unit ID already exists",IF(AND($H1469&lt;&gt;"",COUNTIF(INV_Serial,$H1469)&gt;1),"⚠ this serial already exists",IF(COUNTIFS(INV_Product,$B1469,INV_No,$C1469)&gt;1,"⚠ piece number reused",""))))</f>
        <v/>
      </c>
      <c r="P1469" s="5" t="n"/>
    </row>
    <row r="1470">
      <c r="A1470" s="8">
        <f>IF(OR($B1470="",$C1470=""),"",IFERROR(INDEX(PM_Short,MATCH($B1470,PM_ID,0))&amp;"-"&amp;TEXT($C1470,"00"),"?? no such product"))</f>
        <v/>
      </c>
      <c r="B1470" s="5" t="n"/>
      <c r="C1470" s="5" t="n"/>
      <c r="D1470" s="8">
        <f>IF($B1470="","",IFERROR(INDEX(PM_Category,MATCH($B1470,PM_ID,0)),""))</f>
        <v/>
      </c>
      <c r="E1470" s="8">
        <f>IF($B1470="","",IFERROR(INDEX(PM_Subcategory,MATCH($B1470,PM_ID,0)),""))</f>
        <v/>
      </c>
      <c r="F1470" s="8">
        <f>IF($B1470="","",IFERROR(INDEX(PM_Brand,MATCH($B1470,PM_ID,0)),""))</f>
        <v/>
      </c>
      <c r="G1470" s="8">
        <f>IF($B1470="","",IFERROR(INDEX(PM_Model,MATCH($B1470,PM_ID,0)),""))</f>
        <v/>
      </c>
      <c r="H1470" s="5" t="n"/>
      <c r="I1470" s="10" t="n"/>
      <c r="J1470" s="9" t="n"/>
      <c r="K1470" s="5" t="n"/>
      <c r="L1470" s="5" t="n"/>
      <c r="M1470" s="5" t="n"/>
      <c r="N1470" s="5" t="n"/>
      <c r="O1470" s="8">
        <f>IF($B1470="","",IF(AND($A1470&lt;&gt;"",COUNTIF(INV_ID,$A1470)&gt;1),"⚠ this Unit ID already exists",IF(AND($H1470&lt;&gt;"",COUNTIF(INV_Serial,$H1470)&gt;1),"⚠ this serial already exists",IF(COUNTIFS(INV_Product,$B1470,INV_No,$C1470)&gt;1,"⚠ piece number reused",""))))</f>
        <v/>
      </c>
      <c r="P1470" s="5" t="n"/>
    </row>
    <row r="1471">
      <c r="A1471" s="8">
        <f>IF(OR($B1471="",$C1471=""),"",IFERROR(INDEX(PM_Short,MATCH($B1471,PM_ID,0))&amp;"-"&amp;TEXT($C1471,"00"),"?? no such product"))</f>
        <v/>
      </c>
      <c r="B1471" s="5" t="n"/>
      <c r="C1471" s="5" t="n"/>
      <c r="D1471" s="8">
        <f>IF($B1471="","",IFERROR(INDEX(PM_Category,MATCH($B1471,PM_ID,0)),""))</f>
        <v/>
      </c>
      <c r="E1471" s="8">
        <f>IF($B1471="","",IFERROR(INDEX(PM_Subcategory,MATCH($B1471,PM_ID,0)),""))</f>
        <v/>
      </c>
      <c r="F1471" s="8">
        <f>IF($B1471="","",IFERROR(INDEX(PM_Brand,MATCH($B1471,PM_ID,0)),""))</f>
        <v/>
      </c>
      <c r="G1471" s="8">
        <f>IF($B1471="","",IFERROR(INDEX(PM_Model,MATCH($B1471,PM_ID,0)),""))</f>
        <v/>
      </c>
      <c r="H1471" s="5" t="n"/>
      <c r="I1471" s="10" t="n"/>
      <c r="J1471" s="9" t="n"/>
      <c r="K1471" s="5" t="n"/>
      <c r="L1471" s="5" t="n"/>
      <c r="M1471" s="5" t="n"/>
      <c r="N1471" s="5" t="n"/>
      <c r="O1471" s="8">
        <f>IF($B1471="","",IF(AND($A1471&lt;&gt;"",COUNTIF(INV_ID,$A1471)&gt;1),"⚠ this Unit ID already exists",IF(AND($H1471&lt;&gt;"",COUNTIF(INV_Serial,$H1471)&gt;1),"⚠ this serial already exists",IF(COUNTIFS(INV_Product,$B1471,INV_No,$C1471)&gt;1,"⚠ piece number reused",""))))</f>
        <v/>
      </c>
      <c r="P1471" s="5" t="n"/>
    </row>
    <row r="1472">
      <c r="A1472" s="8">
        <f>IF(OR($B1472="",$C1472=""),"",IFERROR(INDEX(PM_Short,MATCH($B1472,PM_ID,0))&amp;"-"&amp;TEXT($C1472,"00"),"?? no such product"))</f>
        <v/>
      </c>
      <c r="B1472" s="5" t="n"/>
      <c r="C1472" s="5" t="n"/>
      <c r="D1472" s="8">
        <f>IF($B1472="","",IFERROR(INDEX(PM_Category,MATCH($B1472,PM_ID,0)),""))</f>
        <v/>
      </c>
      <c r="E1472" s="8">
        <f>IF($B1472="","",IFERROR(INDEX(PM_Subcategory,MATCH($B1472,PM_ID,0)),""))</f>
        <v/>
      </c>
      <c r="F1472" s="8">
        <f>IF($B1472="","",IFERROR(INDEX(PM_Brand,MATCH($B1472,PM_ID,0)),""))</f>
        <v/>
      </c>
      <c r="G1472" s="8">
        <f>IF($B1472="","",IFERROR(INDEX(PM_Model,MATCH($B1472,PM_ID,0)),""))</f>
        <v/>
      </c>
      <c r="H1472" s="5" t="n"/>
      <c r="I1472" s="10" t="n"/>
      <c r="J1472" s="9" t="n"/>
      <c r="K1472" s="5" t="n"/>
      <c r="L1472" s="5" t="n"/>
      <c r="M1472" s="5" t="n"/>
      <c r="N1472" s="5" t="n"/>
      <c r="O1472" s="8">
        <f>IF($B1472="","",IF(AND($A1472&lt;&gt;"",COUNTIF(INV_ID,$A1472)&gt;1),"⚠ this Unit ID already exists",IF(AND($H1472&lt;&gt;"",COUNTIF(INV_Serial,$H1472)&gt;1),"⚠ this serial already exists",IF(COUNTIFS(INV_Product,$B1472,INV_No,$C1472)&gt;1,"⚠ piece number reused",""))))</f>
        <v/>
      </c>
      <c r="P1472" s="5" t="n"/>
    </row>
    <row r="1473">
      <c r="A1473" s="8">
        <f>IF(OR($B1473="",$C1473=""),"",IFERROR(INDEX(PM_Short,MATCH($B1473,PM_ID,0))&amp;"-"&amp;TEXT($C1473,"00"),"?? no such product"))</f>
        <v/>
      </c>
      <c r="B1473" s="5" t="n"/>
      <c r="C1473" s="5" t="n"/>
      <c r="D1473" s="8">
        <f>IF($B1473="","",IFERROR(INDEX(PM_Category,MATCH($B1473,PM_ID,0)),""))</f>
        <v/>
      </c>
      <c r="E1473" s="8">
        <f>IF($B1473="","",IFERROR(INDEX(PM_Subcategory,MATCH($B1473,PM_ID,0)),""))</f>
        <v/>
      </c>
      <c r="F1473" s="8">
        <f>IF($B1473="","",IFERROR(INDEX(PM_Brand,MATCH($B1473,PM_ID,0)),""))</f>
        <v/>
      </c>
      <c r="G1473" s="8">
        <f>IF($B1473="","",IFERROR(INDEX(PM_Model,MATCH($B1473,PM_ID,0)),""))</f>
        <v/>
      </c>
      <c r="H1473" s="5" t="n"/>
      <c r="I1473" s="10" t="n"/>
      <c r="J1473" s="9" t="n"/>
      <c r="K1473" s="5" t="n"/>
      <c r="L1473" s="5" t="n"/>
      <c r="M1473" s="5" t="n"/>
      <c r="N1473" s="5" t="n"/>
      <c r="O1473" s="8">
        <f>IF($B1473="","",IF(AND($A1473&lt;&gt;"",COUNTIF(INV_ID,$A1473)&gt;1),"⚠ this Unit ID already exists",IF(AND($H1473&lt;&gt;"",COUNTIF(INV_Serial,$H1473)&gt;1),"⚠ this serial already exists",IF(COUNTIFS(INV_Product,$B1473,INV_No,$C1473)&gt;1,"⚠ piece number reused",""))))</f>
        <v/>
      </c>
      <c r="P1473" s="5" t="n"/>
    </row>
    <row r="1474">
      <c r="A1474" s="8">
        <f>IF(OR($B1474="",$C1474=""),"",IFERROR(INDEX(PM_Short,MATCH($B1474,PM_ID,0))&amp;"-"&amp;TEXT($C1474,"00"),"?? no such product"))</f>
        <v/>
      </c>
      <c r="B1474" s="5" t="n"/>
      <c r="C1474" s="5" t="n"/>
      <c r="D1474" s="8">
        <f>IF($B1474="","",IFERROR(INDEX(PM_Category,MATCH($B1474,PM_ID,0)),""))</f>
        <v/>
      </c>
      <c r="E1474" s="8">
        <f>IF($B1474="","",IFERROR(INDEX(PM_Subcategory,MATCH($B1474,PM_ID,0)),""))</f>
        <v/>
      </c>
      <c r="F1474" s="8">
        <f>IF($B1474="","",IFERROR(INDEX(PM_Brand,MATCH($B1474,PM_ID,0)),""))</f>
        <v/>
      </c>
      <c r="G1474" s="8">
        <f>IF($B1474="","",IFERROR(INDEX(PM_Model,MATCH($B1474,PM_ID,0)),""))</f>
        <v/>
      </c>
      <c r="H1474" s="5" t="n"/>
      <c r="I1474" s="10" t="n"/>
      <c r="J1474" s="9" t="n"/>
      <c r="K1474" s="5" t="n"/>
      <c r="L1474" s="5" t="n"/>
      <c r="M1474" s="5" t="n"/>
      <c r="N1474" s="5" t="n"/>
      <c r="O1474" s="8">
        <f>IF($B1474="","",IF(AND($A1474&lt;&gt;"",COUNTIF(INV_ID,$A1474)&gt;1),"⚠ this Unit ID already exists",IF(AND($H1474&lt;&gt;"",COUNTIF(INV_Serial,$H1474)&gt;1),"⚠ this serial already exists",IF(COUNTIFS(INV_Product,$B1474,INV_No,$C1474)&gt;1,"⚠ piece number reused",""))))</f>
        <v/>
      </c>
      <c r="P1474" s="5" t="n"/>
    </row>
    <row r="1475">
      <c r="A1475" s="8">
        <f>IF(OR($B1475="",$C1475=""),"",IFERROR(INDEX(PM_Short,MATCH($B1475,PM_ID,0))&amp;"-"&amp;TEXT($C1475,"00"),"?? no such product"))</f>
        <v/>
      </c>
      <c r="B1475" s="5" t="n"/>
      <c r="C1475" s="5" t="n"/>
      <c r="D1475" s="8">
        <f>IF($B1475="","",IFERROR(INDEX(PM_Category,MATCH($B1475,PM_ID,0)),""))</f>
        <v/>
      </c>
      <c r="E1475" s="8">
        <f>IF($B1475="","",IFERROR(INDEX(PM_Subcategory,MATCH($B1475,PM_ID,0)),""))</f>
        <v/>
      </c>
      <c r="F1475" s="8">
        <f>IF($B1475="","",IFERROR(INDEX(PM_Brand,MATCH($B1475,PM_ID,0)),""))</f>
        <v/>
      </c>
      <c r="G1475" s="8">
        <f>IF($B1475="","",IFERROR(INDEX(PM_Model,MATCH($B1475,PM_ID,0)),""))</f>
        <v/>
      </c>
      <c r="H1475" s="5" t="n"/>
      <c r="I1475" s="10" t="n"/>
      <c r="J1475" s="9" t="n"/>
      <c r="K1475" s="5" t="n"/>
      <c r="L1475" s="5" t="n"/>
      <c r="M1475" s="5" t="n"/>
      <c r="N1475" s="5" t="n"/>
      <c r="O1475" s="8">
        <f>IF($B1475="","",IF(AND($A1475&lt;&gt;"",COUNTIF(INV_ID,$A1475)&gt;1),"⚠ this Unit ID already exists",IF(AND($H1475&lt;&gt;"",COUNTIF(INV_Serial,$H1475)&gt;1),"⚠ this serial already exists",IF(COUNTIFS(INV_Product,$B1475,INV_No,$C1475)&gt;1,"⚠ piece number reused",""))))</f>
        <v/>
      </c>
      <c r="P1475" s="5" t="n"/>
    </row>
    <row r="1476">
      <c r="A1476" s="8">
        <f>IF(OR($B1476="",$C1476=""),"",IFERROR(INDEX(PM_Short,MATCH($B1476,PM_ID,0))&amp;"-"&amp;TEXT($C1476,"00"),"?? no such product"))</f>
        <v/>
      </c>
      <c r="B1476" s="5" t="n"/>
      <c r="C1476" s="5" t="n"/>
      <c r="D1476" s="8">
        <f>IF($B1476="","",IFERROR(INDEX(PM_Category,MATCH($B1476,PM_ID,0)),""))</f>
        <v/>
      </c>
      <c r="E1476" s="8">
        <f>IF($B1476="","",IFERROR(INDEX(PM_Subcategory,MATCH($B1476,PM_ID,0)),""))</f>
        <v/>
      </c>
      <c r="F1476" s="8">
        <f>IF($B1476="","",IFERROR(INDEX(PM_Brand,MATCH($B1476,PM_ID,0)),""))</f>
        <v/>
      </c>
      <c r="G1476" s="8">
        <f>IF($B1476="","",IFERROR(INDEX(PM_Model,MATCH($B1476,PM_ID,0)),""))</f>
        <v/>
      </c>
      <c r="H1476" s="5" t="n"/>
      <c r="I1476" s="10" t="n"/>
      <c r="J1476" s="9" t="n"/>
      <c r="K1476" s="5" t="n"/>
      <c r="L1476" s="5" t="n"/>
      <c r="M1476" s="5" t="n"/>
      <c r="N1476" s="5" t="n"/>
      <c r="O1476" s="8">
        <f>IF($B1476="","",IF(AND($A1476&lt;&gt;"",COUNTIF(INV_ID,$A1476)&gt;1),"⚠ this Unit ID already exists",IF(AND($H1476&lt;&gt;"",COUNTIF(INV_Serial,$H1476)&gt;1),"⚠ this serial already exists",IF(COUNTIFS(INV_Product,$B1476,INV_No,$C1476)&gt;1,"⚠ piece number reused",""))))</f>
        <v/>
      </c>
      <c r="P1476" s="5" t="n"/>
    </row>
    <row r="1477">
      <c r="A1477" s="8">
        <f>IF(OR($B1477="",$C1477=""),"",IFERROR(INDEX(PM_Short,MATCH($B1477,PM_ID,0))&amp;"-"&amp;TEXT($C1477,"00"),"?? no such product"))</f>
        <v/>
      </c>
      <c r="B1477" s="5" t="n"/>
      <c r="C1477" s="5" t="n"/>
      <c r="D1477" s="8">
        <f>IF($B1477="","",IFERROR(INDEX(PM_Category,MATCH($B1477,PM_ID,0)),""))</f>
        <v/>
      </c>
      <c r="E1477" s="8">
        <f>IF($B1477="","",IFERROR(INDEX(PM_Subcategory,MATCH($B1477,PM_ID,0)),""))</f>
        <v/>
      </c>
      <c r="F1477" s="8">
        <f>IF($B1477="","",IFERROR(INDEX(PM_Brand,MATCH($B1477,PM_ID,0)),""))</f>
        <v/>
      </c>
      <c r="G1477" s="8">
        <f>IF($B1477="","",IFERROR(INDEX(PM_Model,MATCH($B1477,PM_ID,0)),""))</f>
        <v/>
      </c>
      <c r="H1477" s="5" t="n"/>
      <c r="I1477" s="10" t="n"/>
      <c r="J1477" s="9" t="n"/>
      <c r="K1477" s="5" t="n"/>
      <c r="L1477" s="5" t="n"/>
      <c r="M1477" s="5" t="n"/>
      <c r="N1477" s="5" t="n"/>
      <c r="O1477" s="8">
        <f>IF($B1477="","",IF(AND($A1477&lt;&gt;"",COUNTIF(INV_ID,$A1477)&gt;1),"⚠ this Unit ID already exists",IF(AND($H1477&lt;&gt;"",COUNTIF(INV_Serial,$H1477)&gt;1),"⚠ this serial already exists",IF(COUNTIFS(INV_Product,$B1477,INV_No,$C1477)&gt;1,"⚠ piece number reused",""))))</f>
        <v/>
      </c>
      <c r="P1477" s="5" t="n"/>
    </row>
    <row r="1478">
      <c r="A1478" s="8">
        <f>IF(OR($B1478="",$C1478=""),"",IFERROR(INDEX(PM_Short,MATCH($B1478,PM_ID,0))&amp;"-"&amp;TEXT($C1478,"00"),"?? no such product"))</f>
        <v/>
      </c>
      <c r="B1478" s="5" t="n"/>
      <c r="C1478" s="5" t="n"/>
      <c r="D1478" s="8">
        <f>IF($B1478="","",IFERROR(INDEX(PM_Category,MATCH($B1478,PM_ID,0)),""))</f>
        <v/>
      </c>
      <c r="E1478" s="8">
        <f>IF($B1478="","",IFERROR(INDEX(PM_Subcategory,MATCH($B1478,PM_ID,0)),""))</f>
        <v/>
      </c>
      <c r="F1478" s="8">
        <f>IF($B1478="","",IFERROR(INDEX(PM_Brand,MATCH($B1478,PM_ID,0)),""))</f>
        <v/>
      </c>
      <c r="G1478" s="8">
        <f>IF($B1478="","",IFERROR(INDEX(PM_Model,MATCH($B1478,PM_ID,0)),""))</f>
        <v/>
      </c>
      <c r="H1478" s="5" t="n"/>
      <c r="I1478" s="10" t="n"/>
      <c r="J1478" s="9" t="n"/>
      <c r="K1478" s="5" t="n"/>
      <c r="L1478" s="5" t="n"/>
      <c r="M1478" s="5" t="n"/>
      <c r="N1478" s="5" t="n"/>
      <c r="O1478" s="8">
        <f>IF($B1478="","",IF(AND($A1478&lt;&gt;"",COUNTIF(INV_ID,$A1478)&gt;1),"⚠ this Unit ID already exists",IF(AND($H1478&lt;&gt;"",COUNTIF(INV_Serial,$H1478)&gt;1),"⚠ this serial already exists",IF(COUNTIFS(INV_Product,$B1478,INV_No,$C1478)&gt;1,"⚠ piece number reused",""))))</f>
        <v/>
      </c>
      <c r="P1478" s="5" t="n"/>
    </row>
    <row r="1479">
      <c r="A1479" s="8">
        <f>IF(OR($B1479="",$C1479=""),"",IFERROR(INDEX(PM_Short,MATCH($B1479,PM_ID,0))&amp;"-"&amp;TEXT($C1479,"00"),"?? no such product"))</f>
        <v/>
      </c>
      <c r="B1479" s="5" t="n"/>
      <c r="C1479" s="5" t="n"/>
      <c r="D1479" s="8">
        <f>IF($B1479="","",IFERROR(INDEX(PM_Category,MATCH($B1479,PM_ID,0)),""))</f>
        <v/>
      </c>
      <c r="E1479" s="8">
        <f>IF($B1479="","",IFERROR(INDEX(PM_Subcategory,MATCH($B1479,PM_ID,0)),""))</f>
        <v/>
      </c>
      <c r="F1479" s="8">
        <f>IF($B1479="","",IFERROR(INDEX(PM_Brand,MATCH($B1479,PM_ID,0)),""))</f>
        <v/>
      </c>
      <c r="G1479" s="8">
        <f>IF($B1479="","",IFERROR(INDEX(PM_Model,MATCH($B1479,PM_ID,0)),""))</f>
        <v/>
      </c>
      <c r="H1479" s="5" t="n"/>
      <c r="I1479" s="10" t="n"/>
      <c r="J1479" s="9" t="n"/>
      <c r="K1479" s="5" t="n"/>
      <c r="L1479" s="5" t="n"/>
      <c r="M1479" s="5" t="n"/>
      <c r="N1479" s="5" t="n"/>
      <c r="O1479" s="8">
        <f>IF($B1479="","",IF(AND($A1479&lt;&gt;"",COUNTIF(INV_ID,$A1479)&gt;1),"⚠ this Unit ID already exists",IF(AND($H1479&lt;&gt;"",COUNTIF(INV_Serial,$H1479)&gt;1),"⚠ this serial already exists",IF(COUNTIFS(INV_Product,$B1479,INV_No,$C1479)&gt;1,"⚠ piece number reused",""))))</f>
        <v/>
      </c>
      <c r="P1479" s="5" t="n"/>
    </row>
    <row r="1480">
      <c r="A1480" s="8">
        <f>IF(OR($B1480="",$C1480=""),"",IFERROR(INDEX(PM_Short,MATCH($B1480,PM_ID,0))&amp;"-"&amp;TEXT($C1480,"00"),"?? no such product"))</f>
        <v/>
      </c>
      <c r="B1480" s="5" t="n"/>
      <c r="C1480" s="5" t="n"/>
      <c r="D1480" s="8">
        <f>IF($B1480="","",IFERROR(INDEX(PM_Category,MATCH($B1480,PM_ID,0)),""))</f>
        <v/>
      </c>
      <c r="E1480" s="8">
        <f>IF($B1480="","",IFERROR(INDEX(PM_Subcategory,MATCH($B1480,PM_ID,0)),""))</f>
        <v/>
      </c>
      <c r="F1480" s="8">
        <f>IF($B1480="","",IFERROR(INDEX(PM_Brand,MATCH($B1480,PM_ID,0)),""))</f>
        <v/>
      </c>
      <c r="G1480" s="8">
        <f>IF($B1480="","",IFERROR(INDEX(PM_Model,MATCH($B1480,PM_ID,0)),""))</f>
        <v/>
      </c>
      <c r="H1480" s="5" t="n"/>
      <c r="I1480" s="10" t="n"/>
      <c r="J1480" s="9" t="n"/>
      <c r="K1480" s="5" t="n"/>
      <c r="L1480" s="5" t="n"/>
      <c r="M1480" s="5" t="n"/>
      <c r="N1480" s="5" t="n"/>
      <c r="O1480" s="8">
        <f>IF($B1480="","",IF(AND($A1480&lt;&gt;"",COUNTIF(INV_ID,$A1480)&gt;1),"⚠ this Unit ID already exists",IF(AND($H1480&lt;&gt;"",COUNTIF(INV_Serial,$H1480)&gt;1),"⚠ this serial already exists",IF(COUNTIFS(INV_Product,$B1480,INV_No,$C1480)&gt;1,"⚠ piece number reused",""))))</f>
        <v/>
      </c>
      <c r="P1480" s="5" t="n"/>
    </row>
    <row r="1481">
      <c r="A1481" s="8">
        <f>IF(OR($B1481="",$C1481=""),"",IFERROR(INDEX(PM_Short,MATCH($B1481,PM_ID,0))&amp;"-"&amp;TEXT($C1481,"00"),"?? no such product"))</f>
        <v/>
      </c>
      <c r="B1481" s="5" t="n"/>
      <c r="C1481" s="5" t="n"/>
      <c r="D1481" s="8">
        <f>IF($B1481="","",IFERROR(INDEX(PM_Category,MATCH($B1481,PM_ID,0)),""))</f>
        <v/>
      </c>
      <c r="E1481" s="8">
        <f>IF($B1481="","",IFERROR(INDEX(PM_Subcategory,MATCH($B1481,PM_ID,0)),""))</f>
        <v/>
      </c>
      <c r="F1481" s="8">
        <f>IF($B1481="","",IFERROR(INDEX(PM_Brand,MATCH($B1481,PM_ID,0)),""))</f>
        <v/>
      </c>
      <c r="G1481" s="8">
        <f>IF($B1481="","",IFERROR(INDEX(PM_Model,MATCH($B1481,PM_ID,0)),""))</f>
        <v/>
      </c>
      <c r="H1481" s="5" t="n"/>
      <c r="I1481" s="10" t="n"/>
      <c r="J1481" s="9" t="n"/>
      <c r="K1481" s="5" t="n"/>
      <c r="L1481" s="5" t="n"/>
      <c r="M1481" s="5" t="n"/>
      <c r="N1481" s="5" t="n"/>
      <c r="O1481" s="8">
        <f>IF($B1481="","",IF(AND($A1481&lt;&gt;"",COUNTIF(INV_ID,$A1481)&gt;1),"⚠ this Unit ID already exists",IF(AND($H1481&lt;&gt;"",COUNTIF(INV_Serial,$H1481)&gt;1),"⚠ this serial already exists",IF(COUNTIFS(INV_Product,$B1481,INV_No,$C1481)&gt;1,"⚠ piece number reused",""))))</f>
        <v/>
      </c>
      <c r="P1481" s="5" t="n"/>
    </row>
    <row r="1482">
      <c r="A1482" s="8">
        <f>IF(OR($B1482="",$C1482=""),"",IFERROR(INDEX(PM_Short,MATCH($B1482,PM_ID,0))&amp;"-"&amp;TEXT($C1482,"00"),"?? no such product"))</f>
        <v/>
      </c>
      <c r="B1482" s="5" t="n"/>
      <c r="C1482" s="5" t="n"/>
      <c r="D1482" s="8">
        <f>IF($B1482="","",IFERROR(INDEX(PM_Category,MATCH($B1482,PM_ID,0)),""))</f>
        <v/>
      </c>
      <c r="E1482" s="8">
        <f>IF($B1482="","",IFERROR(INDEX(PM_Subcategory,MATCH($B1482,PM_ID,0)),""))</f>
        <v/>
      </c>
      <c r="F1482" s="8">
        <f>IF($B1482="","",IFERROR(INDEX(PM_Brand,MATCH($B1482,PM_ID,0)),""))</f>
        <v/>
      </c>
      <c r="G1482" s="8">
        <f>IF($B1482="","",IFERROR(INDEX(PM_Model,MATCH($B1482,PM_ID,0)),""))</f>
        <v/>
      </c>
      <c r="H1482" s="5" t="n"/>
      <c r="I1482" s="10" t="n"/>
      <c r="J1482" s="9" t="n"/>
      <c r="K1482" s="5" t="n"/>
      <c r="L1482" s="5" t="n"/>
      <c r="M1482" s="5" t="n"/>
      <c r="N1482" s="5" t="n"/>
      <c r="O1482" s="8">
        <f>IF($B1482="","",IF(AND($A1482&lt;&gt;"",COUNTIF(INV_ID,$A1482)&gt;1),"⚠ this Unit ID already exists",IF(AND($H1482&lt;&gt;"",COUNTIF(INV_Serial,$H1482)&gt;1),"⚠ this serial already exists",IF(COUNTIFS(INV_Product,$B1482,INV_No,$C1482)&gt;1,"⚠ piece number reused",""))))</f>
        <v/>
      </c>
      <c r="P1482" s="5" t="n"/>
    </row>
    <row r="1483">
      <c r="A1483" s="8">
        <f>IF(OR($B1483="",$C1483=""),"",IFERROR(INDEX(PM_Short,MATCH($B1483,PM_ID,0))&amp;"-"&amp;TEXT($C1483,"00"),"?? no such product"))</f>
        <v/>
      </c>
      <c r="B1483" s="5" t="n"/>
      <c r="C1483" s="5" t="n"/>
      <c r="D1483" s="8">
        <f>IF($B1483="","",IFERROR(INDEX(PM_Category,MATCH($B1483,PM_ID,0)),""))</f>
        <v/>
      </c>
      <c r="E1483" s="8">
        <f>IF($B1483="","",IFERROR(INDEX(PM_Subcategory,MATCH($B1483,PM_ID,0)),""))</f>
        <v/>
      </c>
      <c r="F1483" s="8">
        <f>IF($B1483="","",IFERROR(INDEX(PM_Brand,MATCH($B1483,PM_ID,0)),""))</f>
        <v/>
      </c>
      <c r="G1483" s="8">
        <f>IF($B1483="","",IFERROR(INDEX(PM_Model,MATCH($B1483,PM_ID,0)),""))</f>
        <v/>
      </c>
      <c r="H1483" s="5" t="n"/>
      <c r="I1483" s="10" t="n"/>
      <c r="J1483" s="9" t="n"/>
      <c r="K1483" s="5" t="n"/>
      <c r="L1483" s="5" t="n"/>
      <c r="M1483" s="5" t="n"/>
      <c r="N1483" s="5" t="n"/>
      <c r="O1483" s="8">
        <f>IF($B1483="","",IF(AND($A1483&lt;&gt;"",COUNTIF(INV_ID,$A1483)&gt;1),"⚠ this Unit ID already exists",IF(AND($H1483&lt;&gt;"",COUNTIF(INV_Serial,$H1483)&gt;1),"⚠ this serial already exists",IF(COUNTIFS(INV_Product,$B1483,INV_No,$C1483)&gt;1,"⚠ piece number reused",""))))</f>
        <v/>
      </c>
      <c r="P1483" s="5" t="n"/>
    </row>
    <row r="1484">
      <c r="A1484" s="8">
        <f>IF(OR($B1484="",$C1484=""),"",IFERROR(INDEX(PM_Short,MATCH($B1484,PM_ID,0))&amp;"-"&amp;TEXT($C1484,"00"),"?? no such product"))</f>
        <v/>
      </c>
      <c r="B1484" s="5" t="n"/>
      <c r="C1484" s="5" t="n"/>
      <c r="D1484" s="8">
        <f>IF($B1484="","",IFERROR(INDEX(PM_Category,MATCH($B1484,PM_ID,0)),""))</f>
        <v/>
      </c>
      <c r="E1484" s="8">
        <f>IF($B1484="","",IFERROR(INDEX(PM_Subcategory,MATCH($B1484,PM_ID,0)),""))</f>
        <v/>
      </c>
      <c r="F1484" s="8">
        <f>IF($B1484="","",IFERROR(INDEX(PM_Brand,MATCH($B1484,PM_ID,0)),""))</f>
        <v/>
      </c>
      <c r="G1484" s="8">
        <f>IF($B1484="","",IFERROR(INDEX(PM_Model,MATCH($B1484,PM_ID,0)),""))</f>
        <v/>
      </c>
      <c r="H1484" s="5" t="n"/>
      <c r="I1484" s="10" t="n"/>
      <c r="J1484" s="9" t="n"/>
      <c r="K1484" s="5" t="n"/>
      <c r="L1484" s="5" t="n"/>
      <c r="M1484" s="5" t="n"/>
      <c r="N1484" s="5" t="n"/>
      <c r="O1484" s="8">
        <f>IF($B1484="","",IF(AND($A1484&lt;&gt;"",COUNTIF(INV_ID,$A1484)&gt;1),"⚠ this Unit ID already exists",IF(AND($H1484&lt;&gt;"",COUNTIF(INV_Serial,$H1484)&gt;1),"⚠ this serial already exists",IF(COUNTIFS(INV_Product,$B1484,INV_No,$C1484)&gt;1,"⚠ piece number reused",""))))</f>
        <v/>
      </c>
      <c r="P1484" s="5" t="n"/>
    </row>
    <row r="1485">
      <c r="A1485" s="8">
        <f>IF(OR($B1485="",$C1485=""),"",IFERROR(INDEX(PM_Short,MATCH($B1485,PM_ID,0))&amp;"-"&amp;TEXT($C1485,"00"),"?? no such product"))</f>
        <v/>
      </c>
      <c r="B1485" s="5" t="n"/>
      <c r="C1485" s="5" t="n"/>
      <c r="D1485" s="8">
        <f>IF($B1485="","",IFERROR(INDEX(PM_Category,MATCH($B1485,PM_ID,0)),""))</f>
        <v/>
      </c>
      <c r="E1485" s="8">
        <f>IF($B1485="","",IFERROR(INDEX(PM_Subcategory,MATCH($B1485,PM_ID,0)),""))</f>
        <v/>
      </c>
      <c r="F1485" s="8">
        <f>IF($B1485="","",IFERROR(INDEX(PM_Brand,MATCH($B1485,PM_ID,0)),""))</f>
        <v/>
      </c>
      <c r="G1485" s="8">
        <f>IF($B1485="","",IFERROR(INDEX(PM_Model,MATCH($B1485,PM_ID,0)),""))</f>
        <v/>
      </c>
      <c r="H1485" s="5" t="n"/>
      <c r="I1485" s="10" t="n"/>
      <c r="J1485" s="9" t="n"/>
      <c r="K1485" s="5" t="n"/>
      <c r="L1485" s="5" t="n"/>
      <c r="M1485" s="5" t="n"/>
      <c r="N1485" s="5" t="n"/>
      <c r="O1485" s="8">
        <f>IF($B1485="","",IF(AND($A1485&lt;&gt;"",COUNTIF(INV_ID,$A1485)&gt;1),"⚠ this Unit ID already exists",IF(AND($H1485&lt;&gt;"",COUNTIF(INV_Serial,$H1485)&gt;1),"⚠ this serial already exists",IF(COUNTIFS(INV_Product,$B1485,INV_No,$C1485)&gt;1,"⚠ piece number reused",""))))</f>
        <v/>
      </c>
      <c r="P1485" s="5" t="n"/>
    </row>
    <row r="1486">
      <c r="A1486" s="8">
        <f>IF(OR($B1486="",$C1486=""),"",IFERROR(INDEX(PM_Short,MATCH($B1486,PM_ID,0))&amp;"-"&amp;TEXT($C1486,"00"),"?? no such product"))</f>
        <v/>
      </c>
      <c r="B1486" s="5" t="n"/>
      <c r="C1486" s="5" t="n"/>
      <c r="D1486" s="8">
        <f>IF($B1486="","",IFERROR(INDEX(PM_Category,MATCH($B1486,PM_ID,0)),""))</f>
        <v/>
      </c>
      <c r="E1486" s="8">
        <f>IF($B1486="","",IFERROR(INDEX(PM_Subcategory,MATCH($B1486,PM_ID,0)),""))</f>
        <v/>
      </c>
      <c r="F1486" s="8">
        <f>IF($B1486="","",IFERROR(INDEX(PM_Brand,MATCH($B1486,PM_ID,0)),""))</f>
        <v/>
      </c>
      <c r="G1486" s="8">
        <f>IF($B1486="","",IFERROR(INDEX(PM_Model,MATCH($B1486,PM_ID,0)),""))</f>
        <v/>
      </c>
      <c r="H1486" s="5" t="n"/>
      <c r="I1486" s="10" t="n"/>
      <c r="J1486" s="9" t="n"/>
      <c r="K1486" s="5" t="n"/>
      <c r="L1486" s="5" t="n"/>
      <c r="M1486" s="5" t="n"/>
      <c r="N1486" s="5" t="n"/>
      <c r="O1486" s="8">
        <f>IF($B1486="","",IF(AND($A1486&lt;&gt;"",COUNTIF(INV_ID,$A1486)&gt;1),"⚠ this Unit ID already exists",IF(AND($H1486&lt;&gt;"",COUNTIF(INV_Serial,$H1486)&gt;1),"⚠ this serial already exists",IF(COUNTIFS(INV_Product,$B1486,INV_No,$C1486)&gt;1,"⚠ piece number reused",""))))</f>
        <v/>
      </c>
      <c r="P1486" s="5" t="n"/>
    </row>
    <row r="1487">
      <c r="A1487" s="8">
        <f>IF(OR($B1487="",$C1487=""),"",IFERROR(INDEX(PM_Short,MATCH($B1487,PM_ID,0))&amp;"-"&amp;TEXT($C1487,"00"),"?? no such product"))</f>
        <v/>
      </c>
      <c r="B1487" s="5" t="n"/>
      <c r="C1487" s="5" t="n"/>
      <c r="D1487" s="8">
        <f>IF($B1487="","",IFERROR(INDEX(PM_Category,MATCH($B1487,PM_ID,0)),""))</f>
        <v/>
      </c>
      <c r="E1487" s="8">
        <f>IF($B1487="","",IFERROR(INDEX(PM_Subcategory,MATCH($B1487,PM_ID,0)),""))</f>
        <v/>
      </c>
      <c r="F1487" s="8">
        <f>IF($B1487="","",IFERROR(INDEX(PM_Brand,MATCH($B1487,PM_ID,0)),""))</f>
        <v/>
      </c>
      <c r="G1487" s="8">
        <f>IF($B1487="","",IFERROR(INDEX(PM_Model,MATCH($B1487,PM_ID,0)),""))</f>
        <v/>
      </c>
      <c r="H1487" s="5" t="n"/>
      <c r="I1487" s="10" t="n"/>
      <c r="J1487" s="9" t="n"/>
      <c r="K1487" s="5" t="n"/>
      <c r="L1487" s="5" t="n"/>
      <c r="M1487" s="5" t="n"/>
      <c r="N1487" s="5" t="n"/>
      <c r="O1487" s="8">
        <f>IF($B1487="","",IF(AND($A1487&lt;&gt;"",COUNTIF(INV_ID,$A1487)&gt;1),"⚠ this Unit ID already exists",IF(AND($H1487&lt;&gt;"",COUNTIF(INV_Serial,$H1487)&gt;1),"⚠ this serial already exists",IF(COUNTIFS(INV_Product,$B1487,INV_No,$C1487)&gt;1,"⚠ piece number reused",""))))</f>
        <v/>
      </c>
      <c r="P1487" s="5" t="n"/>
    </row>
    <row r="1488">
      <c r="A1488" s="8">
        <f>IF(OR($B1488="",$C1488=""),"",IFERROR(INDEX(PM_Short,MATCH($B1488,PM_ID,0))&amp;"-"&amp;TEXT($C1488,"00"),"?? no such product"))</f>
        <v/>
      </c>
      <c r="B1488" s="5" t="n"/>
      <c r="C1488" s="5" t="n"/>
      <c r="D1488" s="8">
        <f>IF($B1488="","",IFERROR(INDEX(PM_Category,MATCH($B1488,PM_ID,0)),""))</f>
        <v/>
      </c>
      <c r="E1488" s="8">
        <f>IF($B1488="","",IFERROR(INDEX(PM_Subcategory,MATCH($B1488,PM_ID,0)),""))</f>
        <v/>
      </c>
      <c r="F1488" s="8">
        <f>IF($B1488="","",IFERROR(INDEX(PM_Brand,MATCH($B1488,PM_ID,0)),""))</f>
        <v/>
      </c>
      <c r="G1488" s="8">
        <f>IF($B1488="","",IFERROR(INDEX(PM_Model,MATCH($B1488,PM_ID,0)),""))</f>
        <v/>
      </c>
      <c r="H1488" s="5" t="n"/>
      <c r="I1488" s="10" t="n"/>
      <c r="J1488" s="9" t="n"/>
      <c r="K1488" s="5" t="n"/>
      <c r="L1488" s="5" t="n"/>
      <c r="M1488" s="5" t="n"/>
      <c r="N1488" s="5" t="n"/>
      <c r="O1488" s="8">
        <f>IF($B1488="","",IF(AND($A1488&lt;&gt;"",COUNTIF(INV_ID,$A1488)&gt;1),"⚠ this Unit ID already exists",IF(AND($H1488&lt;&gt;"",COUNTIF(INV_Serial,$H1488)&gt;1),"⚠ this serial already exists",IF(COUNTIFS(INV_Product,$B1488,INV_No,$C1488)&gt;1,"⚠ piece number reused",""))))</f>
        <v/>
      </c>
      <c r="P1488" s="5" t="n"/>
    </row>
    <row r="1489">
      <c r="A1489" s="8">
        <f>IF(OR($B1489="",$C1489=""),"",IFERROR(INDEX(PM_Short,MATCH($B1489,PM_ID,0))&amp;"-"&amp;TEXT($C1489,"00"),"?? no such product"))</f>
        <v/>
      </c>
      <c r="B1489" s="5" t="n"/>
      <c r="C1489" s="5" t="n"/>
      <c r="D1489" s="8">
        <f>IF($B1489="","",IFERROR(INDEX(PM_Category,MATCH($B1489,PM_ID,0)),""))</f>
        <v/>
      </c>
      <c r="E1489" s="8">
        <f>IF($B1489="","",IFERROR(INDEX(PM_Subcategory,MATCH($B1489,PM_ID,0)),""))</f>
        <v/>
      </c>
      <c r="F1489" s="8">
        <f>IF($B1489="","",IFERROR(INDEX(PM_Brand,MATCH($B1489,PM_ID,0)),""))</f>
        <v/>
      </c>
      <c r="G1489" s="8">
        <f>IF($B1489="","",IFERROR(INDEX(PM_Model,MATCH($B1489,PM_ID,0)),""))</f>
        <v/>
      </c>
      <c r="H1489" s="5" t="n"/>
      <c r="I1489" s="10" t="n"/>
      <c r="J1489" s="9" t="n"/>
      <c r="K1489" s="5" t="n"/>
      <c r="L1489" s="5" t="n"/>
      <c r="M1489" s="5" t="n"/>
      <c r="N1489" s="5" t="n"/>
      <c r="O1489" s="8">
        <f>IF($B1489="","",IF(AND($A1489&lt;&gt;"",COUNTIF(INV_ID,$A1489)&gt;1),"⚠ this Unit ID already exists",IF(AND($H1489&lt;&gt;"",COUNTIF(INV_Serial,$H1489)&gt;1),"⚠ this serial already exists",IF(COUNTIFS(INV_Product,$B1489,INV_No,$C1489)&gt;1,"⚠ piece number reused",""))))</f>
        <v/>
      </c>
      <c r="P1489" s="5" t="n"/>
    </row>
    <row r="1490">
      <c r="A1490" s="8">
        <f>IF(OR($B1490="",$C1490=""),"",IFERROR(INDEX(PM_Short,MATCH($B1490,PM_ID,0))&amp;"-"&amp;TEXT($C1490,"00"),"?? no such product"))</f>
        <v/>
      </c>
      <c r="B1490" s="5" t="n"/>
      <c r="C1490" s="5" t="n"/>
      <c r="D1490" s="8">
        <f>IF($B1490="","",IFERROR(INDEX(PM_Category,MATCH($B1490,PM_ID,0)),""))</f>
        <v/>
      </c>
      <c r="E1490" s="8">
        <f>IF($B1490="","",IFERROR(INDEX(PM_Subcategory,MATCH($B1490,PM_ID,0)),""))</f>
        <v/>
      </c>
      <c r="F1490" s="8">
        <f>IF($B1490="","",IFERROR(INDEX(PM_Brand,MATCH($B1490,PM_ID,0)),""))</f>
        <v/>
      </c>
      <c r="G1490" s="8">
        <f>IF($B1490="","",IFERROR(INDEX(PM_Model,MATCH($B1490,PM_ID,0)),""))</f>
        <v/>
      </c>
      <c r="H1490" s="5" t="n"/>
      <c r="I1490" s="10" t="n"/>
      <c r="J1490" s="9" t="n"/>
      <c r="K1490" s="5" t="n"/>
      <c r="L1490" s="5" t="n"/>
      <c r="M1490" s="5" t="n"/>
      <c r="N1490" s="5" t="n"/>
      <c r="O1490" s="8">
        <f>IF($B1490="","",IF(AND($A1490&lt;&gt;"",COUNTIF(INV_ID,$A1490)&gt;1),"⚠ this Unit ID already exists",IF(AND($H1490&lt;&gt;"",COUNTIF(INV_Serial,$H1490)&gt;1),"⚠ this serial already exists",IF(COUNTIFS(INV_Product,$B1490,INV_No,$C1490)&gt;1,"⚠ piece number reused",""))))</f>
        <v/>
      </c>
      <c r="P1490" s="5" t="n"/>
    </row>
    <row r="1491">
      <c r="A1491" s="8">
        <f>IF(OR($B1491="",$C1491=""),"",IFERROR(INDEX(PM_Short,MATCH($B1491,PM_ID,0))&amp;"-"&amp;TEXT($C1491,"00"),"?? no such product"))</f>
        <v/>
      </c>
      <c r="B1491" s="5" t="n"/>
      <c r="C1491" s="5" t="n"/>
      <c r="D1491" s="8">
        <f>IF($B1491="","",IFERROR(INDEX(PM_Category,MATCH($B1491,PM_ID,0)),""))</f>
        <v/>
      </c>
      <c r="E1491" s="8">
        <f>IF($B1491="","",IFERROR(INDEX(PM_Subcategory,MATCH($B1491,PM_ID,0)),""))</f>
        <v/>
      </c>
      <c r="F1491" s="8">
        <f>IF($B1491="","",IFERROR(INDEX(PM_Brand,MATCH($B1491,PM_ID,0)),""))</f>
        <v/>
      </c>
      <c r="G1491" s="8">
        <f>IF($B1491="","",IFERROR(INDEX(PM_Model,MATCH($B1491,PM_ID,0)),""))</f>
        <v/>
      </c>
      <c r="H1491" s="5" t="n"/>
      <c r="I1491" s="10" t="n"/>
      <c r="J1491" s="9" t="n"/>
      <c r="K1491" s="5" t="n"/>
      <c r="L1491" s="5" t="n"/>
      <c r="M1491" s="5" t="n"/>
      <c r="N1491" s="5" t="n"/>
      <c r="O1491" s="8">
        <f>IF($B1491="","",IF(AND($A1491&lt;&gt;"",COUNTIF(INV_ID,$A1491)&gt;1),"⚠ this Unit ID already exists",IF(AND($H1491&lt;&gt;"",COUNTIF(INV_Serial,$H1491)&gt;1),"⚠ this serial already exists",IF(COUNTIFS(INV_Product,$B1491,INV_No,$C1491)&gt;1,"⚠ piece number reused",""))))</f>
        <v/>
      </c>
      <c r="P1491" s="5" t="n"/>
    </row>
    <row r="1492">
      <c r="A1492" s="8">
        <f>IF(OR($B1492="",$C1492=""),"",IFERROR(INDEX(PM_Short,MATCH($B1492,PM_ID,0))&amp;"-"&amp;TEXT($C1492,"00"),"?? no such product"))</f>
        <v/>
      </c>
      <c r="B1492" s="5" t="n"/>
      <c r="C1492" s="5" t="n"/>
      <c r="D1492" s="8">
        <f>IF($B1492="","",IFERROR(INDEX(PM_Category,MATCH($B1492,PM_ID,0)),""))</f>
        <v/>
      </c>
      <c r="E1492" s="8">
        <f>IF($B1492="","",IFERROR(INDEX(PM_Subcategory,MATCH($B1492,PM_ID,0)),""))</f>
        <v/>
      </c>
      <c r="F1492" s="8">
        <f>IF($B1492="","",IFERROR(INDEX(PM_Brand,MATCH($B1492,PM_ID,0)),""))</f>
        <v/>
      </c>
      <c r="G1492" s="8">
        <f>IF($B1492="","",IFERROR(INDEX(PM_Model,MATCH($B1492,PM_ID,0)),""))</f>
        <v/>
      </c>
      <c r="H1492" s="5" t="n"/>
      <c r="I1492" s="10" t="n"/>
      <c r="J1492" s="9" t="n"/>
      <c r="K1492" s="5" t="n"/>
      <c r="L1492" s="5" t="n"/>
      <c r="M1492" s="5" t="n"/>
      <c r="N1492" s="5" t="n"/>
      <c r="O1492" s="8">
        <f>IF($B1492="","",IF(AND($A1492&lt;&gt;"",COUNTIF(INV_ID,$A1492)&gt;1),"⚠ this Unit ID already exists",IF(AND($H1492&lt;&gt;"",COUNTIF(INV_Serial,$H1492)&gt;1),"⚠ this serial already exists",IF(COUNTIFS(INV_Product,$B1492,INV_No,$C1492)&gt;1,"⚠ piece number reused",""))))</f>
        <v/>
      </c>
      <c r="P1492" s="5" t="n"/>
    </row>
    <row r="1493">
      <c r="A1493" s="8">
        <f>IF(OR($B1493="",$C1493=""),"",IFERROR(INDEX(PM_Short,MATCH($B1493,PM_ID,0))&amp;"-"&amp;TEXT($C1493,"00"),"?? no such product"))</f>
        <v/>
      </c>
      <c r="B1493" s="5" t="n"/>
      <c r="C1493" s="5" t="n"/>
      <c r="D1493" s="8">
        <f>IF($B1493="","",IFERROR(INDEX(PM_Category,MATCH($B1493,PM_ID,0)),""))</f>
        <v/>
      </c>
      <c r="E1493" s="8">
        <f>IF($B1493="","",IFERROR(INDEX(PM_Subcategory,MATCH($B1493,PM_ID,0)),""))</f>
        <v/>
      </c>
      <c r="F1493" s="8">
        <f>IF($B1493="","",IFERROR(INDEX(PM_Brand,MATCH($B1493,PM_ID,0)),""))</f>
        <v/>
      </c>
      <c r="G1493" s="8">
        <f>IF($B1493="","",IFERROR(INDEX(PM_Model,MATCH($B1493,PM_ID,0)),""))</f>
        <v/>
      </c>
      <c r="H1493" s="5" t="n"/>
      <c r="I1493" s="10" t="n"/>
      <c r="J1493" s="9" t="n"/>
      <c r="K1493" s="5" t="n"/>
      <c r="L1493" s="5" t="n"/>
      <c r="M1493" s="5" t="n"/>
      <c r="N1493" s="5" t="n"/>
      <c r="O1493" s="8">
        <f>IF($B1493="","",IF(AND($A1493&lt;&gt;"",COUNTIF(INV_ID,$A1493)&gt;1),"⚠ this Unit ID already exists",IF(AND($H1493&lt;&gt;"",COUNTIF(INV_Serial,$H1493)&gt;1),"⚠ this serial already exists",IF(COUNTIFS(INV_Product,$B1493,INV_No,$C1493)&gt;1,"⚠ piece number reused",""))))</f>
        <v/>
      </c>
      <c r="P1493" s="5" t="n"/>
    </row>
    <row r="1494">
      <c r="A1494" s="8">
        <f>IF(OR($B1494="",$C1494=""),"",IFERROR(INDEX(PM_Short,MATCH($B1494,PM_ID,0))&amp;"-"&amp;TEXT($C1494,"00"),"?? no such product"))</f>
        <v/>
      </c>
      <c r="B1494" s="5" t="n"/>
      <c r="C1494" s="5" t="n"/>
      <c r="D1494" s="8">
        <f>IF($B1494="","",IFERROR(INDEX(PM_Category,MATCH($B1494,PM_ID,0)),""))</f>
        <v/>
      </c>
      <c r="E1494" s="8">
        <f>IF($B1494="","",IFERROR(INDEX(PM_Subcategory,MATCH($B1494,PM_ID,0)),""))</f>
        <v/>
      </c>
      <c r="F1494" s="8">
        <f>IF($B1494="","",IFERROR(INDEX(PM_Brand,MATCH($B1494,PM_ID,0)),""))</f>
        <v/>
      </c>
      <c r="G1494" s="8">
        <f>IF($B1494="","",IFERROR(INDEX(PM_Model,MATCH($B1494,PM_ID,0)),""))</f>
        <v/>
      </c>
      <c r="H1494" s="5" t="n"/>
      <c r="I1494" s="10" t="n"/>
      <c r="J1494" s="9" t="n"/>
      <c r="K1494" s="5" t="n"/>
      <c r="L1494" s="5" t="n"/>
      <c r="M1494" s="5" t="n"/>
      <c r="N1494" s="5" t="n"/>
      <c r="O1494" s="8">
        <f>IF($B1494="","",IF(AND($A1494&lt;&gt;"",COUNTIF(INV_ID,$A1494)&gt;1),"⚠ this Unit ID already exists",IF(AND($H1494&lt;&gt;"",COUNTIF(INV_Serial,$H1494)&gt;1),"⚠ this serial already exists",IF(COUNTIFS(INV_Product,$B1494,INV_No,$C1494)&gt;1,"⚠ piece number reused",""))))</f>
        <v/>
      </c>
      <c r="P1494" s="5" t="n"/>
    </row>
    <row r="1495">
      <c r="A1495" s="8">
        <f>IF(OR($B1495="",$C1495=""),"",IFERROR(INDEX(PM_Short,MATCH($B1495,PM_ID,0))&amp;"-"&amp;TEXT($C1495,"00"),"?? no such product"))</f>
        <v/>
      </c>
      <c r="B1495" s="5" t="n"/>
      <c r="C1495" s="5" t="n"/>
      <c r="D1495" s="8">
        <f>IF($B1495="","",IFERROR(INDEX(PM_Category,MATCH($B1495,PM_ID,0)),""))</f>
        <v/>
      </c>
      <c r="E1495" s="8">
        <f>IF($B1495="","",IFERROR(INDEX(PM_Subcategory,MATCH($B1495,PM_ID,0)),""))</f>
        <v/>
      </c>
      <c r="F1495" s="8">
        <f>IF($B1495="","",IFERROR(INDEX(PM_Brand,MATCH($B1495,PM_ID,0)),""))</f>
        <v/>
      </c>
      <c r="G1495" s="8">
        <f>IF($B1495="","",IFERROR(INDEX(PM_Model,MATCH($B1495,PM_ID,0)),""))</f>
        <v/>
      </c>
      <c r="H1495" s="5" t="n"/>
      <c r="I1495" s="10" t="n"/>
      <c r="J1495" s="9" t="n"/>
      <c r="K1495" s="5" t="n"/>
      <c r="L1495" s="5" t="n"/>
      <c r="M1495" s="5" t="n"/>
      <c r="N1495" s="5" t="n"/>
      <c r="O1495" s="8">
        <f>IF($B1495="","",IF(AND($A1495&lt;&gt;"",COUNTIF(INV_ID,$A1495)&gt;1),"⚠ this Unit ID already exists",IF(AND($H1495&lt;&gt;"",COUNTIF(INV_Serial,$H1495)&gt;1),"⚠ this serial already exists",IF(COUNTIFS(INV_Product,$B1495,INV_No,$C1495)&gt;1,"⚠ piece number reused",""))))</f>
        <v/>
      </c>
      <c r="P1495" s="5" t="n"/>
    </row>
    <row r="1496">
      <c r="A1496" s="8">
        <f>IF(OR($B1496="",$C1496=""),"",IFERROR(INDEX(PM_Short,MATCH($B1496,PM_ID,0))&amp;"-"&amp;TEXT($C1496,"00"),"?? no such product"))</f>
        <v/>
      </c>
      <c r="B1496" s="5" t="n"/>
      <c r="C1496" s="5" t="n"/>
      <c r="D1496" s="8">
        <f>IF($B1496="","",IFERROR(INDEX(PM_Category,MATCH($B1496,PM_ID,0)),""))</f>
        <v/>
      </c>
      <c r="E1496" s="8">
        <f>IF($B1496="","",IFERROR(INDEX(PM_Subcategory,MATCH($B1496,PM_ID,0)),""))</f>
        <v/>
      </c>
      <c r="F1496" s="8">
        <f>IF($B1496="","",IFERROR(INDEX(PM_Brand,MATCH($B1496,PM_ID,0)),""))</f>
        <v/>
      </c>
      <c r="G1496" s="8">
        <f>IF($B1496="","",IFERROR(INDEX(PM_Model,MATCH($B1496,PM_ID,0)),""))</f>
        <v/>
      </c>
      <c r="H1496" s="5" t="n"/>
      <c r="I1496" s="10" t="n"/>
      <c r="J1496" s="9" t="n"/>
      <c r="K1496" s="5" t="n"/>
      <c r="L1496" s="5" t="n"/>
      <c r="M1496" s="5" t="n"/>
      <c r="N1496" s="5" t="n"/>
      <c r="O1496" s="8">
        <f>IF($B1496="","",IF(AND($A1496&lt;&gt;"",COUNTIF(INV_ID,$A1496)&gt;1),"⚠ this Unit ID already exists",IF(AND($H1496&lt;&gt;"",COUNTIF(INV_Serial,$H1496)&gt;1),"⚠ this serial already exists",IF(COUNTIFS(INV_Product,$B1496,INV_No,$C1496)&gt;1,"⚠ piece number reused",""))))</f>
        <v/>
      </c>
      <c r="P1496" s="5" t="n"/>
    </row>
    <row r="1497">
      <c r="A1497" s="8">
        <f>IF(OR($B1497="",$C1497=""),"",IFERROR(INDEX(PM_Short,MATCH($B1497,PM_ID,0))&amp;"-"&amp;TEXT($C1497,"00"),"?? no such product"))</f>
        <v/>
      </c>
      <c r="B1497" s="5" t="n"/>
      <c r="C1497" s="5" t="n"/>
      <c r="D1497" s="8">
        <f>IF($B1497="","",IFERROR(INDEX(PM_Category,MATCH($B1497,PM_ID,0)),""))</f>
        <v/>
      </c>
      <c r="E1497" s="8">
        <f>IF($B1497="","",IFERROR(INDEX(PM_Subcategory,MATCH($B1497,PM_ID,0)),""))</f>
        <v/>
      </c>
      <c r="F1497" s="8">
        <f>IF($B1497="","",IFERROR(INDEX(PM_Brand,MATCH($B1497,PM_ID,0)),""))</f>
        <v/>
      </c>
      <c r="G1497" s="8">
        <f>IF($B1497="","",IFERROR(INDEX(PM_Model,MATCH($B1497,PM_ID,0)),""))</f>
        <v/>
      </c>
      <c r="H1497" s="5" t="n"/>
      <c r="I1497" s="10" t="n"/>
      <c r="J1497" s="9" t="n"/>
      <c r="K1497" s="5" t="n"/>
      <c r="L1497" s="5" t="n"/>
      <c r="M1497" s="5" t="n"/>
      <c r="N1497" s="5" t="n"/>
      <c r="O1497" s="8">
        <f>IF($B1497="","",IF(AND($A1497&lt;&gt;"",COUNTIF(INV_ID,$A1497)&gt;1),"⚠ this Unit ID already exists",IF(AND($H1497&lt;&gt;"",COUNTIF(INV_Serial,$H1497)&gt;1),"⚠ this serial already exists",IF(COUNTIFS(INV_Product,$B1497,INV_No,$C1497)&gt;1,"⚠ piece number reused",""))))</f>
        <v/>
      </c>
      <c r="P1497" s="5" t="n"/>
    </row>
    <row r="1498">
      <c r="A1498" s="8">
        <f>IF(OR($B1498="",$C1498=""),"",IFERROR(INDEX(PM_Short,MATCH($B1498,PM_ID,0))&amp;"-"&amp;TEXT($C1498,"00"),"?? no such product"))</f>
        <v/>
      </c>
      <c r="B1498" s="5" t="n"/>
      <c r="C1498" s="5" t="n"/>
      <c r="D1498" s="8">
        <f>IF($B1498="","",IFERROR(INDEX(PM_Category,MATCH($B1498,PM_ID,0)),""))</f>
        <v/>
      </c>
      <c r="E1498" s="8">
        <f>IF($B1498="","",IFERROR(INDEX(PM_Subcategory,MATCH($B1498,PM_ID,0)),""))</f>
        <v/>
      </c>
      <c r="F1498" s="8">
        <f>IF($B1498="","",IFERROR(INDEX(PM_Brand,MATCH($B1498,PM_ID,0)),""))</f>
        <v/>
      </c>
      <c r="G1498" s="8">
        <f>IF($B1498="","",IFERROR(INDEX(PM_Model,MATCH($B1498,PM_ID,0)),""))</f>
        <v/>
      </c>
      <c r="H1498" s="5" t="n"/>
      <c r="I1498" s="10" t="n"/>
      <c r="J1498" s="9" t="n"/>
      <c r="K1498" s="5" t="n"/>
      <c r="L1498" s="5" t="n"/>
      <c r="M1498" s="5" t="n"/>
      <c r="N1498" s="5" t="n"/>
      <c r="O1498" s="8">
        <f>IF($B1498="","",IF(AND($A1498&lt;&gt;"",COUNTIF(INV_ID,$A1498)&gt;1),"⚠ this Unit ID already exists",IF(AND($H1498&lt;&gt;"",COUNTIF(INV_Serial,$H1498)&gt;1),"⚠ this serial already exists",IF(COUNTIFS(INV_Product,$B1498,INV_No,$C1498)&gt;1,"⚠ piece number reused",""))))</f>
        <v/>
      </c>
      <c r="P1498" s="5" t="n"/>
    </row>
    <row r="1499">
      <c r="A1499" s="8">
        <f>IF(OR($B1499="",$C1499=""),"",IFERROR(INDEX(PM_Short,MATCH($B1499,PM_ID,0))&amp;"-"&amp;TEXT($C1499,"00"),"?? no such product"))</f>
        <v/>
      </c>
      <c r="B1499" s="5" t="n"/>
      <c r="C1499" s="5" t="n"/>
      <c r="D1499" s="8">
        <f>IF($B1499="","",IFERROR(INDEX(PM_Category,MATCH($B1499,PM_ID,0)),""))</f>
        <v/>
      </c>
      <c r="E1499" s="8">
        <f>IF($B1499="","",IFERROR(INDEX(PM_Subcategory,MATCH($B1499,PM_ID,0)),""))</f>
        <v/>
      </c>
      <c r="F1499" s="8">
        <f>IF($B1499="","",IFERROR(INDEX(PM_Brand,MATCH($B1499,PM_ID,0)),""))</f>
        <v/>
      </c>
      <c r="G1499" s="8">
        <f>IF($B1499="","",IFERROR(INDEX(PM_Model,MATCH($B1499,PM_ID,0)),""))</f>
        <v/>
      </c>
      <c r="H1499" s="5" t="n"/>
      <c r="I1499" s="10" t="n"/>
      <c r="J1499" s="9" t="n"/>
      <c r="K1499" s="5" t="n"/>
      <c r="L1499" s="5" t="n"/>
      <c r="M1499" s="5" t="n"/>
      <c r="N1499" s="5" t="n"/>
      <c r="O1499" s="8">
        <f>IF($B1499="","",IF(AND($A1499&lt;&gt;"",COUNTIF(INV_ID,$A1499)&gt;1),"⚠ this Unit ID already exists",IF(AND($H1499&lt;&gt;"",COUNTIF(INV_Serial,$H1499)&gt;1),"⚠ this serial already exists",IF(COUNTIFS(INV_Product,$B1499,INV_No,$C1499)&gt;1,"⚠ piece number reused",""))))</f>
        <v/>
      </c>
      <c r="P1499" s="5" t="n"/>
    </row>
    <row r="1500">
      <c r="A1500" s="8">
        <f>IF(OR($B1500="",$C1500=""),"",IFERROR(INDEX(PM_Short,MATCH($B1500,PM_ID,0))&amp;"-"&amp;TEXT($C1500,"00"),"?? no such product"))</f>
        <v/>
      </c>
      <c r="B1500" s="5" t="n"/>
      <c r="C1500" s="5" t="n"/>
      <c r="D1500" s="8">
        <f>IF($B1500="","",IFERROR(INDEX(PM_Category,MATCH($B1500,PM_ID,0)),""))</f>
        <v/>
      </c>
      <c r="E1500" s="8">
        <f>IF($B1500="","",IFERROR(INDEX(PM_Subcategory,MATCH($B1500,PM_ID,0)),""))</f>
        <v/>
      </c>
      <c r="F1500" s="8">
        <f>IF($B1500="","",IFERROR(INDEX(PM_Brand,MATCH($B1500,PM_ID,0)),""))</f>
        <v/>
      </c>
      <c r="G1500" s="8">
        <f>IF($B1500="","",IFERROR(INDEX(PM_Model,MATCH($B1500,PM_ID,0)),""))</f>
        <v/>
      </c>
      <c r="H1500" s="5" t="n"/>
      <c r="I1500" s="10" t="n"/>
      <c r="J1500" s="9" t="n"/>
      <c r="K1500" s="5" t="n"/>
      <c r="L1500" s="5" t="n"/>
      <c r="M1500" s="5" t="n"/>
      <c r="N1500" s="5" t="n"/>
      <c r="O1500" s="8">
        <f>IF($B1500="","",IF(AND($A1500&lt;&gt;"",COUNTIF(INV_ID,$A1500)&gt;1),"⚠ this Unit ID already exists",IF(AND($H1500&lt;&gt;"",COUNTIF(INV_Serial,$H1500)&gt;1),"⚠ this serial already exists",IF(COUNTIFS(INV_Product,$B1500,INV_No,$C1500)&gt;1,"⚠ piece number reused",""))))</f>
        <v/>
      </c>
      <c r="P1500" s="5" t="n"/>
    </row>
    <row r="1501">
      <c r="A1501" s="8">
        <f>IF(OR($B1501="",$C1501=""),"",IFERROR(INDEX(PM_Short,MATCH($B1501,PM_ID,0))&amp;"-"&amp;TEXT($C1501,"00"),"?? no such product"))</f>
        <v/>
      </c>
      <c r="B1501" s="5" t="n"/>
      <c r="C1501" s="5" t="n"/>
      <c r="D1501" s="8">
        <f>IF($B1501="","",IFERROR(INDEX(PM_Category,MATCH($B1501,PM_ID,0)),""))</f>
        <v/>
      </c>
      <c r="E1501" s="8">
        <f>IF($B1501="","",IFERROR(INDEX(PM_Subcategory,MATCH($B1501,PM_ID,0)),""))</f>
        <v/>
      </c>
      <c r="F1501" s="8">
        <f>IF($B1501="","",IFERROR(INDEX(PM_Brand,MATCH($B1501,PM_ID,0)),""))</f>
        <v/>
      </c>
      <c r="G1501" s="8">
        <f>IF($B1501="","",IFERROR(INDEX(PM_Model,MATCH($B1501,PM_ID,0)),""))</f>
        <v/>
      </c>
      <c r="H1501" s="5" t="n"/>
      <c r="I1501" s="10" t="n"/>
      <c r="J1501" s="9" t="n"/>
      <c r="K1501" s="5" t="n"/>
      <c r="L1501" s="5" t="n"/>
      <c r="M1501" s="5" t="n"/>
      <c r="N1501" s="5" t="n"/>
      <c r="O1501" s="8">
        <f>IF($B1501="","",IF(AND($A1501&lt;&gt;"",COUNTIF(INV_ID,$A1501)&gt;1),"⚠ this Unit ID already exists",IF(AND($H1501&lt;&gt;"",COUNTIF(INV_Serial,$H1501)&gt;1),"⚠ this serial already exists",IF(COUNTIFS(INV_Product,$B1501,INV_No,$C1501)&gt;1,"⚠ piece number reused",""))))</f>
        <v/>
      </c>
      <c r="P1501" s="5" t="n"/>
    </row>
    <row r="1502">
      <c r="A1502" s="8">
        <f>IF(OR($B1502="",$C1502=""),"",IFERROR(INDEX(PM_Short,MATCH($B1502,PM_ID,0))&amp;"-"&amp;TEXT($C1502,"00"),"?? no such product"))</f>
        <v/>
      </c>
      <c r="B1502" s="5" t="n"/>
      <c r="C1502" s="5" t="n"/>
      <c r="D1502" s="8">
        <f>IF($B1502="","",IFERROR(INDEX(PM_Category,MATCH($B1502,PM_ID,0)),""))</f>
        <v/>
      </c>
      <c r="E1502" s="8">
        <f>IF($B1502="","",IFERROR(INDEX(PM_Subcategory,MATCH($B1502,PM_ID,0)),""))</f>
        <v/>
      </c>
      <c r="F1502" s="8">
        <f>IF($B1502="","",IFERROR(INDEX(PM_Brand,MATCH($B1502,PM_ID,0)),""))</f>
        <v/>
      </c>
      <c r="G1502" s="8">
        <f>IF($B1502="","",IFERROR(INDEX(PM_Model,MATCH($B1502,PM_ID,0)),""))</f>
        <v/>
      </c>
      <c r="H1502" s="5" t="n"/>
      <c r="I1502" s="10" t="n"/>
      <c r="J1502" s="9" t="n"/>
      <c r="K1502" s="5" t="n"/>
      <c r="L1502" s="5" t="n"/>
      <c r="M1502" s="5" t="n"/>
      <c r="N1502" s="5" t="n"/>
      <c r="O1502" s="8">
        <f>IF($B1502="","",IF(AND($A1502&lt;&gt;"",COUNTIF(INV_ID,$A1502)&gt;1),"⚠ this Unit ID already exists",IF(AND($H1502&lt;&gt;"",COUNTIF(INV_Serial,$H1502)&gt;1),"⚠ this serial already exists",IF(COUNTIFS(INV_Product,$B1502,INV_No,$C1502)&gt;1,"⚠ piece number reused",""))))</f>
        <v/>
      </c>
      <c r="P1502" s="5" t="n"/>
    </row>
    <row r="1503">
      <c r="A1503" s="8">
        <f>IF(OR($B1503="",$C1503=""),"",IFERROR(INDEX(PM_Short,MATCH($B1503,PM_ID,0))&amp;"-"&amp;TEXT($C1503,"00"),"?? no such product"))</f>
        <v/>
      </c>
      <c r="B1503" s="5" t="n"/>
      <c r="C1503" s="5" t="n"/>
      <c r="D1503" s="8">
        <f>IF($B1503="","",IFERROR(INDEX(PM_Category,MATCH($B1503,PM_ID,0)),""))</f>
        <v/>
      </c>
      <c r="E1503" s="8">
        <f>IF($B1503="","",IFERROR(INDEX(PM_Subcategory,MATCH($B1503,PM_ID,0)),""))</f>
        <v/>
      </c>
      <c r="F1503" s="8">
        <f>IF($B1503="","",IFERROR(INDEX(PM_Brand,MATCH($B1503,PM_ID,0)),""))</f>
        <v/>
      </c>
      <c r="G1503" s="8">
        <f>IF($B1503="","",IFERROR(INDEX(PM_Model,MATCH($B1503,PM_ID,0)),""))</f>
        <v/>
      </c>
      <c r="H1503" s="5" t="n"/>
      <c r="I1503" s="10" t="n"/>
      <c r="J1503" s="9" t="n"/>
      <c r="K1503" s="5" t="n"/>
      <c r="L1503" s="5" t="n"/>
      <c r="M1503" s="5" t="n"/>
      <c r="N1503" s="5" t="n"/>
      <c r="O1503" s="8">
        <f>IF($B1503="","",IF(AND($A1503&lt;&gt;"",COUNTIF(INV_ID,$A1503)&gt;1),"⚠ this Unit ID already exists",IF(AND($H1503&lt;&gt;"",COUNTIF(INV_Serial,$H1503)&gt;1),"⚠ this serial already exists",IF(COUNTIFS(INV_Product,$B1503,INV_No,$C1503)&gt;1,"⚠ piece number reused",""))))</f>
        <v/>
      </c>
      <c r="P1503" s="5" t="n"/>
    </row>
    <row r="1504">
      <c r="A1504" s="8">
        <f>IF(OR($B1504="",$C1504=""),"",IFERROR(INDEX(PM_Short,MATCH($B1504,PM_ID,0))&amp;"-"&amp;TEXT($C1504,"00"),"?? no such product"))</f>
        <v/>
      </c>
      <c r="B1504" s="5" t="n"/>
      <c r="C1504" s="5" t="n"/>
      <c r="D1504" s="8">
        <f>IF($B1504="","",IFERROR(INDEX(PM_Category,MATCH($B1504,PM_ID,0)),""))</f>
        <v/>
      </c>
      <c r="E1504" s="8">
        <f>IF($B1504="","",IFERROR(INDEX(PM_Subcategory,MATCH($B1504,PM_ID,0)),""))</f>
        <v/>
      </c>
      <c r="F1504" s="8">
        <f>IF($B1504="","",IFERROR(INDEX(PM_Brand,MATCH($B1504,PM_ID,0)),""))</f>
        <v/>
      </c>
      <c r="G1504" s="8">
        <f>IF($B1504="","",IFERROR(INDEX(PM_Model,MATCH($B1504,PM_ID,0)),""))</f>
        <v/>
      </c>
      <c r="H1504" s="5" t="n"/>
      <c r="I1504" s="10" t="n"/>
      <c r="J1504" s="9" t="n"/>
      <c r="K1504" s="5" t="n"/>
      <c r="L1504" s="5" t="n"/>
      <c r="M1504" s="5" t="n"/>
      <c r="N1504" s="5" t="n"/>
      <c r="O1504" s="8">
        <f>IF($B1504="","",IF(AND($A1504&lt;&gt;"",COUNTIF(INV_ID,$A1504)&gt;1),"⚠ this Unit ID already exists",IF(AND($H1504&lt;&gt;"",COUNTIF(INV_Serial,$H1504)&gt;1),"⚠ this serial already exists",IF(COUNTIFS(INV_Product,$B1504,INV_No,$C1504)&gt;1,"⚠ piece number reused",""))))</f>
        <v/>
      </c>
      <c r="P1504" s="5" t="n"/>
    </row>
    <row r="1505">
      <c r="A1505" s="8">
        <f>IF(OR($B1505="",$C1505=""),"",IFERROR(INDEX(PM_Short,MATCH($B1505,PM_ID,0))&amp;"-"&amp;TEXT($C1505,"00"),"?? no such product"))</f>
        <v/>
      </c>
      <c r="B1505" s="5" t="n"/>
      <c r="C1505" s="5" t="n"/>
      <c r="D1505" s="8">
        <f>IF($B1505="","",IFERROR(INDEX(PM_Category,MATCH($B1505,PM_ID,0)),""))</f>
        <v/>
      </c>
      <c r="E1505" s="8">
        <f>IF($B1505="","",IFERROR(INDEX(PM_Subcategory,MATCH($B1505,PM_ID,0)),""))</f>
        <v/>
      </c>
      <c r="F1505" s="8">
        <f>IF($B1505="","",IFERROR(INDEX(PM_Brand,MATCH($B1505,PM_ID,0)),""))</f>
        <v/>
      </c>
      <c r="G1505" s="8">
        <f>IF($B1505="","",IFERROR(INDEX(PM_Model,MATCH($B1505,PM_ID,0)),""))</f>
        <v/>
      </c>
      <c r="H1505" s="5" t="n"/>
      <c r="I1505" s="10" t="n"/>
      <c r="J1505" s="9" t="n"/>
      <c r="K1505" s="5" t="n"/>
      <c r="L1505" s="5" t="n"/>
      <c r="M1505" s="5" t="n"/>
      <c r="N1505" s="5" t="n"/>
      <c r="O1505" s="8">
        <f>IF($B1505="","",IF(AND($A1505&lt;&gt;"",COUNTIF(INV_ID,$A1505)&gt;1),"⚠ this Unit ID already exists",IF(AND($H1505&lt;&gt;"",COUNTIF(INV_Serial,$H1505)&gt;1),"⚠ this serial already exists",IF(COUNTIFS(INV_Product,$B1505,INV_No,$C1505)&gt;1,"⚠ piece number reused",""))))</f>
        <v/>
      </c>
      <c r="P1505" s="5" t="n"/>
    </row>
    <row r="1506">
      <c r="A1506" s="8">
        <f>IF(OR($B1506="",$C1506=""),"",IFERROR(INDEX(PM_Short,MATCH($B1506,PM_ID,0))&amp;"-"&amp;TEXT($C1506,"00"),"?? no such product"))</f>
        <v/>
      </c>
      <c r="B1506" s="5" t="n"/>
      <c r="C1506" s="5" t="n"/>
      <c r="D1506" s="8">
        <f>IF($B1506="","",IFERROR(INDEX(PM_Category,MATCH($B1506,PM_ID,0)),""))</f>
        <v/>
      </c>
      <c r="E1506" s="8">
        <f>IF($B1506="","",IFERROR(INDEX(PM_Subcategory,MATCH($B1506,PM_ID,0)),""))</f>
        <v/>
      </c>
      <c r="F1506" s="8">
        <f>IF($B1506="","",IFERROR(INDEX(PM_Brand,MATCH($B1506,PM_ID,0)),""))</f>
        <v/>
      </c>
      <c r="G1506" s="8">
        <f>IF($B1506="","",IFERROR(INDEX(PM_Model,MATCH($B1506,PM_ID,0)),""))</f>
        <v/>
      </c>
      <c r="H1506" s="5" t="n"/>
      <c r="I1506" s="10" t="n"/>
      <c r="J1506" s="9" t="n"/>
      <c r="K1506" s="5" t="n"/>
      <c r="L1506" s="5" t="n"/>
      <c r="M1506" s="5" t="n"/>
      <c r="N1506" s="5" t="n"/>
      <c r="O1506" s="8">
        <f>IF($B1506="","",IF(AND($A1506&lt;&gt;"",COUNTIF(INV_ID,$A1506)&gt;1),"⚠ this Unit ID already exists",IF(AND($H1506&lt;&gt;"",COUNTIF(INV_Serial,$H1506)&gt;1),"⚠ this serial already exists",IF(COUNTIFS(INV_Product,$B1506,INV_No,$C1506)&gt;1,"⚠ piece number reused",""))))</f>
        <v/>
      </c>
      <c r="P1506" s="5" t="n"/>
    </row>
    <row r="1507">
      <c r="A1507" s="8">
        <f>IF(OR($B1507="",$C1507=""),"",IFERROR(INDEX(PM_Short,MATCH($B1507,PM_ID,0))&amp;"-"&amp;TEXT($C1507,"00"),"?? no such product"))</f>
        <v/>
      </c>
      <c r="B1507" s="5" t="n"/>
      <c r="C1507" s="5" t="n"/>
      <c r="D1507" s="8">
        <f>IF($B1507="","",IFERROR(INDEX(PM_Category,MATCH($B1507,PM_ID,0)),""))</f>
        <v/>
      </c>
      <c r="E1507" s="8">
        <f>IF($B1507="","",IFERROR(INDEX(PM_Subcategory,MATCH($B1507,PM_ID,0)),""))</f>
        <v/>
      </c>
      <c r="F1507" s="8">
        <f>IF($B1507="","",IFERROR(INDEX(PM_Brand,MATCH($B1507,PM_ID,0)),""))</f>
        <v/>
      </c>
      <c r="G1507" s="8">
        <f>IF($B1507="","",IFERROR(INDEX(PM_Model,MATCH($B1507,PM_ID,0)),""))</f>
        <v/>
      </c>
      <c r="H1507" s="5" t="n"/>
      <c r="I1507" s="10" t="n"/>
      <c r="J1507" s="9" t="n"/>
      <c r="K1507" s="5" t="n"/>
      <c r="L1507" s="5" t="n"/>
      <c r="M1507" s="5" t="n"/>
      <c r="N1507" s="5" t="n"/>
      <c r="O1507" s="8">
        <f>IF($B1507="","",IF(AND($A1507&lt;&gt;"",COUNTIF(INV_ID,$A1507)&gt;1),"⚠ this Unit ID already exists",IF(AND($H1507&lt;&gt;"",COUNTIF(INV_Serial,$H1507)&gt;1),"⚠ this serial already exists",IF(COUNTIFS(INV_Product,$B1507,INV_No,$C1507)&gt;1,"⚠ piece number reused",""))))</f>
        <v/>
      </c>
      <c r="P1507" s="5" t="n"/>
    </row>
    <row r="1508">
      <c r="A1508" s="8">
        <f>IF(OR($B1508="",$C1508=""),"",IFERROR(INDEX(PM_Short,MATCH($B1508,PM_ID,0))&amp;"-"&amp;TEXT($C1508,"00"),"?? no such product"))</f>
        <v/>
      </c>
      <c r="B1508" s="5" t="n"/>
      <c r="C1508" s="5" t="n"/>
      <c r="D1508" s="8">
        <f>IF($B1508="","",IFERROR(INDEX(PM_Category,MATCH($B1508,PM_ID,0)),""))</f>
        <v/>
      </c>
      <c r="E1508" s="8">
        <f>IF($B1508="","",IFERROR(INDEX(PM_Subcategory,MATCH($B1508,PM_ID,0)),""))</f>
        <v/>
      </c>
      <c r="F1508" s="8">
        <f>IF($B1508="","",IFERROR(INDEX(PM_Brand,MATCH($B1508,PM_ID,0)),""))</f>
        <v/>
      </c>
      <c r="G1508" s="8">
        <f>IF($B1508="","",IFERROR(INDEX(PM_Model,MATCH($B1508,PM_ID,0)),""))</f>
        <v/>
      </c>
      <c r="H1508" s="5" t="n"/>
      <c r="I1508" s="10" t="n"/>
      <c r="J1508" s="9" t="n"/>
      <c r="K1508" s="5" t="n"/>
      <c r="L1508" s="5" t="n"/>
      <c r="M1508" s="5" t="n"/>
      <c r="N1508" s="5" t="n"/>
      <c r="O1508" s="8">
        <f>IF($B1508="","",IF(AND($A1508&lt;&gt;"",COUNTIF(INV_ID,$A1508)&gt;1),"⚠ this Unit ID already exists",IF(AND($H1508&lt;&gt;"",COUNTIF(INV_Serial,$H1508)&gt;1),"⚠ this serial already exists",IF(COUNTIFS(INV_Product,$B1508,INV_No,$C1508)&gt;1,"⚠ piece number reused",""))))</f>
        <v/>
      </c>
      <c r="P1508" s="5" t="n"/>
    </row>
    <row r="1509">
      <c r="A1509" s="8">
        <f>IF(OR($B1509="",$C1509=""),"",IFERROR(INDEX(PM_Short,MATCH($B1509,PM_ID,0))&amp;"-"&amp;TEXT($C1509,"00"),"?? no such product"))</f>
        <v/>
      </c>
      <c r="B1509" s="5" t="n"/>
      <c r="C1509" s="5" t="n"/>
      <c r="D1509" s="8">
        <f>IF($B1509="","",IFERROR(INDEX(PM_Category,MATCH($B1509,PM_ID,0)),""))</f>
        <v/>
      </c>
      <c r="E1509" s="8">
        <f>IF($B1509="","",IFERROR(INDEX(PM_Subcategory,MATCH($B1509,PM_ID,0)),""))</f>
        <v/>
      </c>
      <c r="F1509" s="8">
        <f>IF($B1509="","",IFERROR(INDEX(PM_Brand,MATCH($B1509,PM_ID,0)),""))</f>
        <v/>
      </c>
      <c r="G1509" s="8">
        <f>IF($B1509="","",IFERROR(INDEX(PM_Model,MATCH($B1509,PM_ID,0)),""))</f>
        <v/>
      </c>
      <c r="H1509" s="5" t="n"/>
      <c r="I1509" s="10" t="n"/>
      <c r="J1509" s="9" t="n"/>
      <c r="K1509" s="5" t="n"/>
      <c r="L1509" s="5" t="n"/>
      <c r="M1509" s="5" t="n"/>
      <c r="N1509" s="5" t="n"/>
      <c r="O1509" s="8">
        <f>IF($B1509="","",IF(AND($A1509&lt;&gt;"",COUNTIF(INV_ID,$A1509)&gt;1),"⚠ this Unit ID already exists",IF(AND($H1509&lt;&gt;"",COUNTIF(INV_Serial,$H1509)&gt;1),"⚠ this serial already exists",IF(COUNTIFS(INV_Product,$B1509,INV_No,$C1509)&gt;1,"⚠ piece number reused",""))))</f>
        <v/>
      </c>
      <c r="P1509" s="5" t="n"/>
    </row>
    <row r="1510">
      <c r="A1510" s="8">
        <f>IF(OR($B1510="",$C1510=""),"",IFERROR(INDEX(PM_Short,MATCH($B1510,PM_ID,0))&amp;"-"&amp;TEXT($C1510,"00"),"?? no such product"))</f>
        <v/>
      </c>
      <c r="B1510" s="5" t="n"/>
      <c r="C1510" s="5" t="n"/>
      <c r="D1510" s="8">
        <f>IF($B1510="","",IFERROR(INDEX(PM_Category,MATCH($B1510,PM_ID,0)),""))</f>
        <v/>
      </c>
      <c r="E1510" s="8">
        <f>IF($B1510="","",IFERROR(INDEX(PM_Subcategory,MATCH($B1510,PM_ID,0)),""))</f>
        <v/>
      </c>
      <c r="F1510" s="8">
        <f>IF($B1510="","",IFERROR(INDEX(PM_Brand,MATCH($B1510,PM_ID,0)),""))</f>
        <v/>
      </c>
      <c r="G1510" s="8">
        <f>IF($B1510="","",IFERROR(INDEX(PM_Model,MATCH($B1510,PM_ID,0)),""))</f>
        <v/>
      </c>
      <c r="H1510" s="5" t="n"/>
      <c r="I1510" s="10" t="n"/>
      <c r="J1510" s="9" t="n"/>
      <c r="K1510" s="5" t="n"/>
      <c r="L1510" s="5" t="n"/>
      <c r="M1510" s="5" t="n"/>
      <c r="N1510" s="5" t="n"/>
      <c r="O1510" s="8">
        <f>IF($B1510="","",IF(AND($A1510&lt;&gt;"",COUNTIF(INV_ID,$A1510)&gt;1),"⚠ this Unit ID already exists",IF(AND($H1510&lt;&gt;"",COUNTIF(INV_Serial,$H1510)&gt;1),"⚠ this serial already exists",IF(COUNTIFS(INV_Product,$B1510,INV_No,$C1510)&gt;1,"⚠ piece number reused",""))))</f>
        <v/>
      </c>
      <c r="P1510" s="5" t="n"/>
    </row>
    <row r="1511">
      <c r="A1511" s="8">
        <f>IF(OR($B1511="",$C1511=""),"",IFERROR(INDEX(PM_Short,MATCH($B1511,PM_ID,0))&amp;"-"&amp;TEXT($C1511,"00"),"?? no such product"))</f>
        <v/>
      </c>
      <c r="B1511" s="5" t="n"/>
      <c r="C1511" s="5" t="n"/>
      <c r="D1511" s="8">
        <f>IF($B1511="","",IFERROR(INDEX(PM_Category,MATCH($B1511,PM_ID,0)),""))</f>
        <v/>
      </c>
      <c r="E1511" s="8">
        <f>IF($B1511="","",IFERROR(INDEX(PM_Subcategory,MATCH($B1511,PM_ID,0)),""))</f>
        <v/>
      </c>
      <c r="F1511" s="8">
        <f>IF($B1511="","",IFERROR(INDEX(PM_Brand,MATCH($B1511,PM_ID,0)),""))</f>
        <v/>
      </c>
      <c r="G1511" s="8">
        <f>IF($B1511="","",IFERROR(INDEX(PM_Model,MATCH($B1511,PM_ID,0)),""))</f>
        <v/>
      </c>
      <c r="H1511" s="5" t="n"/>
      <c r="I1511" s="10" t="n"/>
      <c r="J1511" s="9" t="n"/>
      <c r="K1511" s="5" t="n"/>
      <c r="L1511" s="5" t="n"/>
      <c r="M1511" s="5" t="n"/>
      <c r="N1511" s="5" t="n"/>
      <c r="O1511" s="8">
        <f>IF($B1511="","",IF(AND($A1511&lt;&gt;"",COUNTIF(INV_ID,$A1511)&gt;1),"⚠ this Unit ID already exists",IF(AND($H1511&lt;&gt;"",COUNTIF(INV_Serial,$H1511)&gt;1),"⚠ this serial already exists",IF(COUNTIFS(INV_Product,$B1511,INV_No,$C1511)&gt;1,"⚠ piece number reused",""))))</f>
        <v/>
      </c>
      <c r="P1511" s="5" t="n"/>
    </row>
    <row r="1512">
      <c r="A1512" s="8">
        <f>IF(OR($B1512="",$C1512=""),"",IFERROR(INDEX(PM_Short,MATCH($B1512,PM_ID,0))&amp;"-"&amp;TEXT($C1512,"00"),"?? no such product"))</f>
        <v/>
      </c>
      <c r="B1512" s="5" t="n"/>
      <c r="C1512" s="5" t="n"/>
      <c r="D1512" s="8">
        <f>IF($B1512="","",IFERROR(INDEX(PM_Category,MATCH($B1512,PM_ID,0)),""))</f>
        <v/>
      </c>
      <c r="E1512" s="8">
        <f>IF($B1512="","",IFERROR(INDEX(PM_Subcategory,MATCH($B1512,PM_ID,0)),""))</f>
        <v/>
      </c>
      <c r="F1512" s="8">
        <f>IF($B1512="","",IFERROR(INDEX(PM_Brand,MATCH($B1512,PM_ID,0)),""))</f>
        <v/>
      </c>
      <c r="G1512" s="8">
        <f>IF($B1512="","",IFERROR(INDEX(PM_Model,MATCH($B1512,PM_ID,0)),""))</f>
        <v/>
      </c>
      <c r="H1512" s="5" t="n"/>
      <c r="I1512" s="10" t="n"/>
      <c r="J1512" s="9" t="n"/>
      <c r="K1512" s="5" t="n"/>
      <c r="L1512" s="5" t="n"/>
      <c r="M1512" s="5" t="n"/>
      <c r="N1512" s="5" t="n"/>
      <c r="O1512" s="8">
        <f>IF($B1512="","",IF(AND($A1512&lt;&gt;"",COUNTIF(INV_ID,$A1512)&gt;1),"⚠ this Unit ID already exists",IF(AND($H1512&lt;&gt;"",COUNTIF(INV_Serial,$H1512)&gt;1),"⚠ this serial already exists",IF(COUNTIFS(INV_Product,$B1512,INV_No,$C1512)&gt;1,"⚠ piece number reused",""))))</f>
        <v/>
      </c>
      <c r="P1512" s="5" t="n"/>
    </row>
    <row r="1513">
      <c r="A1513" s="8">
        <f>IF(OR($B1513="",$C1513=""),"",IFERROR(INDEX(PM_Short,MATCH($B1513,PM_ID,0))&amp;"-"&amp;TEXT($C1513,"00"),"?? no such product"))</f>
        <v/>
      </c>
      <c r="B1513" s="5" t="n"/>
      <c r="C1513" s="5" t="n"/>
      <c r="D1513" s="8">
        <f>IF($B1513="","",IFERROR(INDEX(PM_Category,MATCH($B1513,PM_ID,0)),""))</f>
        <v/>
      </c>
      <c r="E1513" s="8">
        <f>IF($B1513="","",IFERROR(INDEX(PM_Subcategory,MATCH($B1513,PM_ID,0)),""))</f>
        <v/>
      </c>
      <c r="F1513" s="8">
        <f>IF($B1513="","",IFERROR(INDEX(PM_Brand,MATCH($B1513,PM_ID,0)),""))</f>
        <v/>
      </c>
      <c r="G1513" s="8">
        <f>IF($B1513="","",IFERROR(INDEX(PM_Model,MATCH($B1513,PM_ID,0)),""))</f>
        <v/>
      </c>
      <c r="H1513" s="5" t="n"/>
      <c r="I1513" s="10" t="n"/>
      <c r="J1513" s="9" t="n"/>
      <c r="K1513" s="5" t="n"/>
      <c r="L1513" s="5" t="n"/>
      <c r="M1513" s="5" t="n"/>
      <c r="N1513" s="5" t="n"/>
      <c r="O1513" s="8">
        <f>IF($B1513="","",IF(AND($A1513&lt;&gt;"",COUNTIF(INV_ID,$A1513)&gt;1),"⚠ this Unit ID already exists",IF(AND($H1513&lt;&gt;"",COUNTIF(INV_Serial,$H1513)&gt;1),"⚠ this serial already exists",IF(COUNTIFS(INV_Product,$B1513,INV_No,$C1513)&gt;1,"⚠ piece number reused",""))))</f>
        <v/>
      </c>
      <c r="P1513" s="5" t="n"/>
    </row>
    <row r="1514">
      <c r="A1514" s="8">
        <f>IF(OR($B1514="",$C1514=""),"",IFERROR(INDEX(PM_Short,MATCH($B1514,PM_ID,0))&amp;"-"&amp;TEXT($C1514,"00"),"?? no such product"))</f>
        <v/>
      </c>
      <c r="B1514" s="5" t="n"/>
      <c r="C1514" s="5" t="n"/>
      <c r="D1514" s="8">
        <f>IF($B1514="","",IFERROR(INDEX(PM_Category,MATCH($B1514,PM_ID,0)),""))</f>
        <v/>
      </c>
      <c r="E1514" s="8">
        <f>IF($B1514="","",IFERROR(INDEX(PM_Subcategory,MATCH($B1514,PM_ID,0)),""))</f>
        <v/>
      </c>
      <c r="F1514" s="8">
        <f>IF($B1514="","",IFERROR(INDEX(PM_Brand,MATCH($B1514,PM_ID,0)),""))</f>
        <v/>
      </c>
      <c r="G1514" s="8">
        <f>IF($B1514="","",IFERROR(INDEX(PM_Model,MATCH($B1514,PM_ID,0)),""))</f>
        <v/>
      </c>
      <c r="H1514" s="5" t="n"/>
      <c r="I1514" s="10" t="n"/>
      <c r="J1514" s="9" t="n"/>
      <c r="K1514" s="5" t="n"/>
      <c r="L1514" s="5" t="n"/>
      <c r="M1514" s="5" t="n"/>
      <c r="N1514" s="5" t="n"/>
      <c r="O1514" s="8">
        <f>IF($B1514="","",IF(AND($A1514&lt;&gt;"",COUNTIF(INV_ID,$A1514)&gt;1),"⚠ this Unit ID already exists",IF(AND($H1514&lt;&gt;"",COUNTIF(INV_Serial,$H1514)&gt;1),"⚠ this serial already exists",IF(COUNTIFS(INV_Product,$B1514,INV_No,$C1514)&gt;1,"⚠ piece number reused",""))))</f>
        <v/>
      </c>
      <c r="P1514" s="5" t="n"/>
    </row>
    <row r="1515">
      <c r="A1515" s="8">
        <f>IF(OR($B1515="",$C1515=""),"",IFERROR(INDEX(PM_Short,MATCH($B1515,PM_ID,0))&amp;"-"&amp;TEXT($C1515,"00"),"?? no such product"))</f>
        <v/>
      </c>
      <c r="B1515" s="5" t="n"/>
      <c r="C1515" s="5" t="n"/>
      <c r="D1515" s="8">
        <f>IF($B1515="","",IFERROR(INDEX(PM_Category,MATCH($B1515,PM_ID,0)),""))</f>
        <v/>
      </c>
      <c r="E1515" s="8">
        <f>IF($B1515="","",IFERROR(INDEX(PM_Subcategory,MATCH($B1515,PM_ID,0)),""))</f>
        <v/>
      </c>
      <c r="F1515" s="8">
        <f>IF($B1515="","",IFERROR(INDEX(PM_Brand,MATCH($B1515,PM_ID,0)),""))</f>
        <v/>
      </c>
      <c r="G1515" s="8">
        <f>IF($B1515="","",IFERROR(INDEX(PM_Model,MATCH($B1515,PM_ID,0)),""))</f>
        <v/>
      </c>
      <c r="H1515" s="5" t="n"/>
      <c r="I1515" s="10" t="n"/>
      <c r="J1515" s="9" t="n"/>
      <c r="K1515" s="5" t="n"/>
      <c r="L1515" s="5" t="n"/>
      <c r="M1515" s="5" t="n"/>
      <c r="N1515" s="5" t="n"/>
      <c r="O1515" s="8">
        <f>IF($B1515="","",IF(AND($A1515&lt;&gt;"",COUNTIF(INV_ID,$A1515)&gt;1),"⚠ this Unit ID already exists",IF(AND($H1515&lt;&gt;"",COUNTIF(INV_Serial,$H1515)&gt;1),"⚠ this serial already exists",IF(COUNTIFS(INV_Product,$B1515,INV_No,$C1515)&gt;1,"⚠ piece number reused",""))))</f>
        <v/>
      </c>
      <c r="P1515" s="5" t="n"/>
    </row>
    <row r="1516">
      <c r="A1516" s="8">
        <f>IF(OR($B1516="",$C1516=""),"",IFERROR(INDEX(PM_Short,MATCH($B1516,PM_ID,0))&amp;"-"&amp;TEXT($C1516,"00"),"?? no such product"))</f>
        <v/>
      </c>
      <c r="B1516" s="5" t="n"/>
      <c r="C1516" s="5" t="n"/>
      <c r="D1516" s="8">
        <f>IF($B1516="","",IFERROR(INDEX(PM_Category,MATCH($B1516,PM_ID,0)),""))</f>
        <v/>
      </c>
      <c r="E1516" s="8">
        <f>IF($B1516="","",IFERROR(INDEX(PM_Subcategory,MATCH($B1516,PM_ID,0)),""))</f>
        <v/>
      </c>
      <c r="F1516" s="8">
        <f>IF($B1516="","",IFERROR(INDEX(PM_Brand,MATCH($B1516,PM_ID,0)),""))</f>
        <v/>
      </c>
      <c r="G1516" s="8">
        <f>IF($B1516="","",IFERROR(INDEX(PM_Model,MATCH($B1516,PM_ID,0)),""))</f>
        <v/>
      </c>
      <c r="H1516" s="5" t="n"/>
      <c r="I1516" s="10" t="n"/>
      <c r="J1516" s="9" t="n"/>
      <c r="K1516" s="5" t="n"/>
      <c r="L1516" s="5" t="n"/>
      <c r="M1516" s="5" t="n"/>
      <c r="N1516" s="5" t="n"/>
      <c r="O1516" s="8">
        <f>IF($B1516="","",IF(AND($A1516&lt;&gt;"",COUNTIF(INV_ID,$A1516)&gt;1),"⚠ this Unit ID already exists",IF(AND($H1516&lt;&gt;"",COUNTIF(INV_Serial,$H1516)&gt;1),"⚠ this serial already exists",IF(COUNTIFS(INV_Product,$B1516,INV_No,$C1516)&gt;1,"⚠ piece number reused",""))))</f>
        <v/>
      </c>
      <c r="P1516" s="5" t="n"/>
    </row>
    <row r="1517">
      <c r="A1517" s="8">
        <f>IF(OR($B1517="",$C1517=""),"",IFERROR(INDEX(PM_Short,MATCH($B1517,PM_ID,0))&amp;"-"&amp;TEXT($C1517,"00"),"?? no such product"))</f>
        <v/>
      </c>
      <c r="B1517" s="5" t="n"/>
      <c r="C1517" s="5" t="n"/>
      <c r="D1517" s="8">
        <f>IF($B1517="","",IFERROR(INDEX(PM_Category,MATCH($B1517,PM_ID,0)),""))</f>
        <v/>
      </c>
      <c r="E1517" s="8">
        <f>IF($B1517="","",IFERROR(INDEX(PM_Subcategory,MATCH($B1517,PM_ID,0)),""))</f>
        <v/>
      </c>
      <c r="F1517" s="8">
        <f>IF($B1517="","",IFERROR(INDEX(PM_Brand,MATCH($B1517,PM_ID,0)),""))</f>
        <v/>
      </c>
      <c r="G1517" s="8">
        <f>IF($B1517="","",IFERROR(INDEX(PM_Model,MATCH($B1517,PM_ID,0)),""))</f>
        <v/>
      </c>
      <c r="H1517" s="5" t="n"/>
      <c r="I1517" s="10" t="n"/>
      <c r="J1517" s="9" t="n"/>
      <c r="K1517" s="5" t="n"/>
      <c r="L1517" s="5" t="n"/>
      <c r="M1517" s="5" t="n"/>
      <c r="N1517" s="5" t="n"/>
      <c r="O1517" s="8">
        <f>IF($B1517="","",IF(AND($A1517&lt;&gt;"",COUNTIF(INV_ID,$A1517)&gt;1),"⚠ this Unit ID already exists",IF(AND($H1517&lt;&gt;"",COUNTIF(INV_Serial,$H1517)&gt;1),"⚠ this serial already exists",IF(COUNTIFS(INV_Product,$B1517,INV_No,$C1517)&gt;1,"⚠ piece number reused",""))))</f>
        <v/>
      </c>
      <c r="P1517" s="5" t="n"/>
    </row>
    <row r="1518">
      <c r="A1518" s="8">
        <f>IF(OR($B1518="",$C1518=""),"",IFERROR(INDEX(PM_Short,MATCH($B1518,PM_ID,0))&amp;"-"&amp;TEXT($C1518,"00"),"?? no such product"))</f>
        <v/>
      </c>
      <c r="B1518" s="5" t="n"/>
      <c r="C1518" s="5" t="n"/>
      <c r="D1518" s="8">
        <f>IF($B1518="","",IFERROR(INDEX(PM_Category,MATCH($B1518,PM_ID,0)),""))</f>
        <v/>
      </c>
      <c r="E1518" s="8">
        <f>IF($B1518="","",IFERROR(INDEX(PM_Subcategory,MATCH($B1518,PM_ID,0)),""))</f>
        <v/>
      </c>
      <c r="F1518" s="8">
        <f>IF($B1518="","",IFERROR(INDEX(PM_Brand,MATCH($B1518,PM_ID,0)),""))</f>
        <v/>
      </c>
      <c r="G1518" s="8">
        <f>IF($B1518="","",IFERROR(INDEX(PM_Model,MATCH($B1518,PM_ID,0)),""))</f>
        <v/>
      </c>
      <c r="H1518" s="5" t="n"/>
      <c r="I1518" s="10" t="n"/>
      <c r="J1518" s="9" t="n"/>
      <c r="K1518" s="5" t="n"/>
      <c r="L1518" s="5" t="n"/>
      <c r="M1518" s="5" t="n"/>
      <c r="N1518" s="5" t="n"/>
      <c r="O1518" s="8">
        <f>IF($B1518="","",IF(AND($A1518&lt;&gt;"",COUNTIF(INV_ID,$A1518)&gt;1),"⚠ this Unit ID already exists",IF(AND($H1518&lt;&gt;"",COUNTIF(INV_Serial,$H1518)&gt;1),"⚠ this serial already exists",IF(COUNTIFS(INV_Product,$B1518,INV_No,$C1518)&gt;1,"⚠ piece number reused",""))))</f>
        <v/>
      </c>
      <c r="P1518" s="5" t="n"/>
    </row>
    <row r="1519">
      <c r="A1519" s="8">
        <f>IF(OR($B1519="",$C1519=""),"",IFERROR(INDEX(PM_Short,MATCH($B1519,PM_ID,0))&amp;"-"&amp;TEXT($C1519,"00"),"?? no such product"))</f>
        <v/>
      </c>
      <c r="B1519" s="5" t="n"/>
      <c r="C1519" s="5" t="n"/>
      <c r="D1519" s="8">
        <f>IF($B1519="","",IFERROR(INDEX(PM_Category,MATCH($B1519,PM_ID,0)),""))</f>
        <v/>
      </c>
      <c r="E1519" s="8">
        <f>IF($B1519="","",IFERROR(INDEX(PM_Subcategory,MATCH($B1519,PM_ID,0)),""))</f>
        <v/>
      </c>
      <c r="F1519" s="8">
        <f>IF($B1519="","",IFERROR(INDEX(PM_Brand,MATCH($B1519,PM_ID,0)),""))</f>
        <v/>
      </c>
      <c r="G1519" s="8">
        <f>IF($B1519="","",IFERROR(INDEX(PM_Model,MATCH($B1519,PM_ID,0)),""))</f>
        <v/>
      </c>
      <c r="H1519" s="5" t="n"/>
      <c r="I1519" s="10" t="n"/>
      <c r="J1519" s="9" t="n"/>
      <c r="K1519" s="5" t="n"/>
      <c r="L1519" s="5" t="n"/>
      <c r="M1519" s="5" t="n"/>
      <c r="N1519" s="5" t="n"/>
      <c r="O1519" s="8">
        <f>IF($B1519="","",IF(AND($A1519&lt;&gt;"",COUNTIF(INV_ID,$A1519)&gt;1),"⚠ this Unit ID already exists",IF(AND($H1519&lt;&gt;"",COUNTIF(INV_Serial,$H1519)&gt;1),"⚠ this serial already exists",IF(COUNTIFS(INV_Product,$B1519,INV_No,$C1519)&gt;1,"⚠ piece number reused",""))))</f>
        <v/>
      </c>
      <c r="P1519" s="5" t="n"/>
    </row>
    <row r="1520">
      <c r="A1520" s="8">
        <f>IF(OR($B1520="",$C1520=""),"",IFERROR(INDEX(PM_Short,MATCH($B1520,PM_ID,0))&amp;"-"&amp;TEXT($C1520,"00"),"?? no such product"))</f>
        <v/>
      </c>
      <c r="B1520" s="5" t="n"/>
      <c r="C1520" s="5" t="n"/>
      <c r="D1520" s="8">
        <f>IF($B1520="","",IFERROR(INDEX(PM_Category,MATCH($B1520,PM_ID,0)),""))</f>
        <v/>
      </c>
      <c r="E1520" s="8">
        <f>IF($B1520="","",IFERROR(INDEX(PM_Subcategory,MATCH($B1520,PM_ID,0)),""))</f>
        <v/>
      </c>
      <c r="F1520" s="8">
        <f>IF($B1520="","",IFERROR(INDEX(PM_Brand,MATCH($B1520,PM_ID,0)),""))</f>
        <v/>
      </c>
      <c r="G1520" s="8">
        <f>IF($B1520="","",IFERROR(INDEX(PM_Model,MATCH($B1520,PM_ID,0)),""))</f>
        <v/>
      </c>
      <c r="H1520" s="5" t="n"/>
      <c r="I1520" s="10" t="n"/>
      <c r="J1520" s="9" t="n"/>
      <c r="K1520" s="5" t="n"/>
      <c r="L1520" s="5" t="n"/>
      <c r="M1520" s="5" t="n"/>
      <c r="N1520" s="5" t="n"/>
      <c r="O1520" s="8">
        <f>IF($B1520="","",IF(AND($A1520&lt;&gt;"",COUNTIF(INV_ID,$A1520)&gt;1),"⚠ this Unit ID already exists",IF(AND($H1520&lt;&gt;"",COUNTIF(INV_Serial,$H1520)&gt;1),"⚠ this serial already exists",IF(COUNTIFS(INV_Product,$B1520,INV_No,$C1520)&gt;1,"⚠ piece number reused",""))))</f>
        <v/>
      </c>
      <c r="P1520" s="5" t="n"/>
    </row>
    <row r="1521">
      <c r="A1521" s="8">
        <f>IF(OR($B1521="",$C1521=""),"",IFERROR(INDEX(PM_Short,MATCH($B1521,PM_ID,0))&amp;"-"&amp;TEXT($C1521,"00"),"?? no such product"))</f>
        <v/>
      </c>
      <c r="B1521" s="5" t="n"/>
      <c r="C1521" s="5" t="n"/>
      <c r="D1521" s="8">
        <f>IF($B1521="","",IFERROR(INDEX(PM_Category,MATCH($B1521,PM_ID,0)),""))</f>
        <v/>
      </c>
      <c r="E1521" s="8">
        <f>IF($B1521="","",IFERROR(INDEX(PM_Subcategory,MATCH($B1521,PM_ID,0)),""))</f>
        <v/>
      </c>
      <c r="F1521" s="8">
        <f>IF($B1521="","",IFERROR(INDEX(PM_Brand,MATCH($B1521,PM_ID,0)),""))</f>
        <v/>
      </c>
      <c r="G1521" s="8">
        <f>IF($B1521="","",IFERROR(INDEX(PM_Model,MATCH($B1521,PM_ID,0)),""))</f>
        <v/>
      </c>
      <c r="H1521" s="5" t="n"/>
      <c r="I1521" s="10" t="n"/>
      <c r="J1521" s="9" t="n"/>
      <c r="K1521" s="5" t="n"/>
      <c r="L1521" s="5" t="n"/>
      <c r="M1521" s="5" t="n"/>
      <c r="N1521" s="5" t="n"/>
      <c r="O1521" s="8">
        <f>IF($B1521="","",IF(AND($A1521&lt;&gt;"",COUNTIF(INV_ID,$A1521)&gt;1),"⚠ this Unit ID already exists",IF(AND($H1521&lt;&gt;"",COUNTIF(INV_Serial,$H1521)&gt;1),"⚠ this serial already exists",IF(COUNTIFS(INV_Product,$B1521,INV_No,$C1521)&gt;1,"⚠ piece number reused",""))))</f>
        <v/>
      </c>
      <c r="P1521" s="5" t="n"/>
    </row>
    <row r="1522">
      <c r="A1522" s="8">
        <f>IF(OR($B1522="",$C1522=""),"",IFERROR(INDEX(PM_Short,MATCH($B1522,PM_ID,0))&amp;"-"&amp;TEXT($C1522,"00"),"?? no such product"))</f>
        <v/>
      </c>
      <c r="B1522" s="5" t="n"/>
      <c r="C1522" s="5" t="n"/>
      <c r="D1522" s="8">
        <f>IF($B1522="","",IFERROR(INDEX(PM_Category,MATCH($B1522,PM_ID,0)),""))</f>
        <v/>
      </c>
      <c r="E1522" s="8">
        <f>IF($B1522="","",IFERROR(INDEX(PM_Subcategory,MATCH($B1522,PM_ID,0)),""))</f>
        <v/>
      </c>
      <c r="F1522" s="8">
        <f>IF($B1522="","",IFERROR(INDEX(PM_Brand,MATCH($B1522,PM_ID,0)),""))</f>
        <v/>
      </c>
      <c r="G1522" s="8">
        <f>IF($B1522="","",IFERROR(INDEX(PM_Model,MATCH($B1522,PM_ID,0)),""))</f>
        <v/>
      </c>
      <c r="H1522" s="5" t="n"/>
      <c r="I1522" s="10" t="n"/>
      <c r="J1522" s="9" t="n"/>
      <c r="K1522" s="5" t="n"/>
      <c r="L1522" s="5" t="n"/>
      <c r="M1522" s="5" t="n"/>
      <c r="N1522" s="5" t="n"/>
      <c r="O1522" s="8">
        <f>IF($B1522="","",IF(AND($A1522&lt;&gt;"",COUNTIF(INV_ID,$A1522)&gt;1),"⚠ this Unit ID already exists",IF(AND($H1522&lt;&gt;"",COUNTIF(INV_Serial,$H1522)&gt;1),"⚠ this serial already exists",IF(COUNTIFS(INV_Product,$B1522,INV_No,$C1522)&gt;1,"⚠ piece number reused",""))))</f>
        <v/>
      </c>
      <c r="P1522" s="5" t="n"/>
    </row>
    <row r="1523">
      <c r="A1523" s="8">
        <f>IF(OR($B1523="",$C1523=""),"",IFERROR(INDEX(PM_Short,MATCH($B1523,PM_ID,0))&amp;"-"&amp;TEXT($C1523,"00"),"?? no such product"))</f>
        <v/>
      </c>
      <c r="B1523" s="5" t="n"/>
      <c r="C1523" s="5" t="n"/>
      <c r="D1523" s="8">
        <f>IF($B1523="","",IFERROR(INDEX(PM_Category,MATCH($B1523,PM_ID,0)),""))</f>
        <v/>
      </c>
      <c r="E1523" s="8">
        <f>IF($B1523="","",IFERROR(INDEX(PM_Subcategory,MATCH($B1523,PM_ID,0)),""))</f>
        <v/>
      </c>
      <c r="F1523" s="8">
        <f>IF($B1523="","",IFERROR(INDEX(PM_Brand,MATCH($B1523,PM_ID,0)),""))</f>
        <v/>
      </c>
      <c r="G1523" s="8">
        <f>IF($B1523="","",IFERROR(INDEX(PM_Model,MATCH($B1523,PM_ID,0)),""))</f>
        <v/>
      </c>
      <c r="H1523" s="5" t="n"/>
      <c r="I1523" s="10" t="n"/>
      <c r="J1523" s="9" t="n"/>
      <c r="K1523" s="5" t="n"/>
      <c r="L1523" s="5" t="n"/>
      <c r="M1523" s="5" t="n"/>
      <c r="N1523" s="5" t="n"/>
      <c r="O1523" s="8">
        <f>IF($B1523="","",IF(AND($A1523&lt;&gt;"",COUNTIF(INV_ID,$A1523)&gt;1),"⚠ this Unit ID already exists",IF(AND($H1523&lt;&gt;"",COUNTIF(INV_Serial,$H1523)&gt;1),"⚠ this serial already exists",IF(COUNTIFS(INV_Product,$B1523,INV_No,$C1523)&gt;1,"⚠ piece number reused",""))))</f>
        <v/>
      </c>
      <c r="P1523" s="5" t="n"/>
    </row>
    <row r="1524">
      <c r="A1524" s="8">
        <f>IF(OR($B1524="",$C1524=""),"",IFERROR(INDEX(PM_Short,MATCH($B1524,PM_ID,0))&amp;"-"&amp;TEXT($C1524,"00"),"?? no such product"))</f>
        <v/>
      </c>
      <c r="B1524" s="5" t="n"/>
      <c r="C1524" s="5" t="n"/>
      <c r="D1524" s="8">
        <f>IF($B1524="","",IFERROR(INDEX(PM_Category,MATCH($B1524,PM_ID,0)),""))</f>
        <v/>
      </c>
      <c r="E1524" s="8">
        <f>IF($B1524="","",IFERROR(INDEX(PM_Subcategory,MATCH($B1524,PM_ID,0)),""))</f>
        <v/>
      </c>
      <c r="F1524" s="8">
        <f>IF($B1524="","",IFERROR(INDEX(PM_Brand,MATCH($B1524,PM_ID,0)),""))</f>
        <v/>
      </c>
      <c r="G1524" s="8">
        <f>IF($B1524="","",IFERROR(INDEX(PM_Model,MATCH($B1524,PM_ID,0)),""))</f>
        <v/>
      </c>
      <c r="H1524" s="5" t="n"/>
      <c r="I1524" s="10" t="n"/>
      <c r="J1524" s="9" t="n"/>
      <c r="K1524" s="5" t="n"/>
      <c r="L1524" s="5" t="n"/>
      <c r="M1524" s="5" t="n"/>
      <c r="N1524" s="5" t="n"/>
      <c r="O1524" s="8">
        <f>IF($B1524="","",IF(AND($A1524&lt;&gt;"",COUNTIF(INV_ID,$A1524)&gt;1),"⚠ this Unit ID already exists",IF(AND($H1524&lt;&gt;"",COUNTIF(INV_Serial,$H1524)&gt;1),"⚠ this serial already exists",IF(COUNTIFS(INV_Product,$B1524,INV_No,$C1524)&gt;1,"⚠ piece number reused",""))))</f>
        <v/>
      </c>
      <c r="P1524" s="5" t="n"/>
    </row>
    <row r="1525">
      <c r="A1525" s="8">
        <f>IF(OR($B1525="",$C1525=""),"",IFERROR(INDEX(PM_Short,MATCH($B1525,PM_ID,0))&amp;"-"&amp;TEXT($C1525,"00"),"?? no such product"))</f>
        <v/>
      </c>
      <c r="B1525" s="5" t="n"/>
      <c r="C1525" s="5" t="n"/>
      <c r="D1525" s="8">
        <f>IF($B1525="","",IFERROR(INDEX(PM_Category,MATCH($B1525,PM_ID,0)),""))</f>
        <v/>
      </c>
      <c r="E1525" s="8">
        <f>IF($B1525="","",IFERROR(INDEX(PM_Subcategory,MATCH($B1525,PM_ID,0)),""))</f>
        <v/>
      </c>
      <c r="F1525" s="8">
        <f>IF($B1525="","",IFERROR(INDEX(PM_Brand,MATCH($B1525,PM_ID,0)),""))</f>
        <v/>
      </c>
      <c r="G1525" s="8">
        <f>IF($B1525="","",IFERROR(INDEX(PM_Model,MATCH($B1525,PM_ID,0)),""))</f>
        <v/>
      </c>
      <c r="H1525" s="5" t="n"/>
      <c r="I1525" s="10" t="n"/>
      <c r="J1525" s="9" t="n"/>
      <c r="K1525" s="5" t="n"/>
      <c r="L1525" s="5" t="n"/>
      <c r="M1525" s="5" t="n"/>
      <c r="N1525" s="5" t="n"/>
      <c r="O1525" s="8">
        <f>IF($B1525="","",IF(AND($A1525&lt;&gt;"",COUNTIF(INV_ID,$A1525)&gt;1),"⚠ this Unit ID already exists",IF(AND($H1525&lt;&gt;"",COUNTIF(INV_Serial,$H1525)&gt;1),"⚠ this serial already exists",IF(COUNTIFS(INV_Product,$B1525,INV_No,$C1525)&gt;1,"⚠ piece number reused",""))))</f>
        <v/>
      </c>
      <c r="P1525" s="5" t="n"/>
    </row>
    <row r="1526">
      <c r="A1526" s="8">
        <f>IF(OR($B1526="",$C1526=""),"",IFERROR(INDEX(PM_Short,MATCH($B1526,PM_ID,0))&amp;"-"&amp;TEXT($C1526,"00"),"?? no such product"))</f>
        <v/>
      </c>
      <c r="B1526" s="5" t="n"/>
      <c r="C1526" s="5" t="n"/>
      <c r="D1526" s="8">
        <f>IF($B1526="","",IFERROR(INDEX(PM_Category,MATCH($B1526,PM_ID,0)),""))</f>
        <v/>
      </c>
      <c r="E1526" s="8">
        <f>IF($B1526="","",IFERROR(INDEX(PM_Subcategory,MATCH($B1526,PM_ID,0)),""))</f>
        <v/>
      </c>
      <c r="F1526" s="8">
        <f>IF($B1526="","",IFERROR(INDEX(PM_Brand,MATCH($B1526,PM_ID,0)),""))</f>
        <v/>
      </c>
      <c r="G1526" s="8">
        <f>IF($B1526="","",IFERROR(INDEX(PM_Model,MATCH($B1526,PM_ID,0)),""))</f>
        <v/>
      </c>
      <c r="H1526" s="5" t="n"/>
      <c r="I1526" s="10" t="n"/>
      <c r="J1526" s="9" t="n"/>
      <c r="K1526" s="5" t="n"/>
      <c r="L1526" s="5" t="n"/>
      <c r="M1526" s="5" t="n"/>
      <c r="N1526" s="5" t="n"/>
      <c r="O1526" s="8">
        <f>IF($B1526="","",IF(AND($A1526&lt;&gt;"",COUNTIF(INV_ID,$A1526)&gt;1),"⚠ this Unit ID already exists",IF(AND($H1526&lt;&gt;"",COUNTIF(INV_Serial,$H1526)&gt;1),"⚠ this serial already exists",IF(COUNTIFS(INV_Product,$B1526,INV_No,$C1526)&gt;1,"⚠ piece number reused",""))))</f>
        <v/>
      </c>
      <c r="P1526" s="5" t="n"/>
    </row>
    <row r="1527">
      <c r="A1527" s="8">
        <f>IF(OR($B1527="",$C1527=""),"",IFERROR(INDEX(PM_Short,MATCH($B1527,PM_ID,0))&amp;"-"&amp;TEXT($C1527,"00"),"?? no such product"))</f>
        <v/>
      </c>
      <c r="B1527" s="5" t="n"/>
      <c r="C1527" s="5" t="n"/>
      <c r="D1527" s="8">
        <f>IF($B1527="","",IFERROR(INDEX(PM_Category,MATCH($B1527,PM_ID,0)),""))</f>
        <v/>
      </c>
      <c r="E1527" s="8">
        <f>IF($B1527="","",IFERROR(INDEX(PM_Subcategory,MATCH($B1527,PM_ID,0)),""))</f>
        <v/>
      </c>
      <c r="F1527" s="8">
        <f>IF($B1527="","",IFERROR(INDEX(PM_Brand,MATCH($B1527,PM_ID,0)),""))</f>
        <v/>
      </c>
      <c r="G1527" s="8">
        <f>IF($B1527="","",IFERROR(INDEX(PM_Model,MATCH($B1527,PM_ID,0)),""))</f>
        <v/>
      </c>
      <c r="H1527" s="5" t="n"/>
      <c r="I1527" s="10" t="n"/>
      <c r="J1527" s="9" t="n"/>
      <c r="K1527" s="5" t="n"/>
      <c r="L1527" s="5" t="n"/>
      <c r="M1527" s="5" t="n"/>
      <c r="N1527" s="5" t="n"/>
      <c r="O1527" s="8">
        <f>IF($B1527="","",IF(AND($A1527&lt;&gt;"",COUNTIF(INV_ID,$A1527)&gt;1),"⚠ this Unit ID already exists",IF(AND($H1527&lt;&gt;"",COUNTIF(INV_Serial,$H1527)&gt;1),"⚠ this serial already exists",IF(COUNTIFS(INV_Product,$B1527,INV_No,$C1527)&gt;1,"⚠ piece number reused",""))))</f>
        <v/>
      </c>
      <c r="P1527" s="5" t="n"/>
    </row>
    <row r="1528">
      <c r="A1528" s="8">
        <f>IF(OR($B1528="",$C1528=""),"",IFERROR(INDEX(PM_Short,MATCH($B1528,PM_ID,0))&amp;"-"&amp;TEXT($C1528,"00"),"?? no such product"))</f>
        <v/>
      </c>
      <c r="B1528" s="5" t="n"/>
      <c r="C1528" s="5" t="n"/>
      <c r="D1528" s="8">
        <f>IF($B1528="","",IFERROR(INDEX(PM_Category,MATCH($B1528,PM_ID,0)),""))</f>
        <v/>
      </c>
      <c r="E1528" s="8">
        <f>IF($B1528="","",IFERROR(INDEX(PM_Subcategory,MATCH($B1528,PM_ID,0)),""))</f>
        <v/>
      </c>
      <c r="F1528" s="8">
        <f>IF($B1528="","",IFERROR(INDEX(PM_Brand,MATCH($B1528,PM_ID,0)),""))</f>
        <v/>
      </c>
      <c r="G1528" s="8">
        <f>IF($B1528="","",IFERROR(INDEX(PM_Model,MATCH($B1528,PM_ID,0)),""))</f>
        <v/>
      </c>
      <c r="H1528" s="5" t="n"/>
      <c r="I1528" s="10" t="n"/>
      <c r="J1528" s="9" t="n"/>
      <c r="K1528" s="5" t="n"/>
      <c r="L1528" s="5" t="n"/>
      <c r="M1528" s="5" t="n"/>
      <c r="N1528" s="5" t="n"/>
      <c r="O1528" s="8">
        <f>IF($B1528="","",IF(AND($A1528&lt;&gt;"",COUNTIF(INV_ID,$A1528)&gt;1),"⚠ this Unit ID already exists",IF(AND($H1528&lt;&gt;"",COUNTIF(INV_Serial,$H1528)&gt;1),"⚠ this serial already exists",IF(COUNTIFS(INV_Product,$B1528,INV_No,$C1528)&gt;1,"⚠ piece number reused",""))))</f>
        <v/>
      </c>
      <c r="P1528" s="5" t="n"/>
    </row>
    <row r="1529">
      <c r="A1529" s="8">
        <f>IF(OR($B1529="",$C1529=""),"",IFERROR(INDEX(PM_Short,MATCH($B1529,PM_ID,0))&amp;"-"&amp;TEXT($C1529,"00"),"?? no such product"))</f>
        <v/>
      </c>
      <c r="B1529" s="5" t="n"/>
      <c r="C1529" s="5" t="n"/>
      <c r="D1529" s="8">
        <f>IF($B1529="","",IFERROR(INDEX(PM_Category,MATCH($B1529,PM_ID,0)),""))</f>
        <v/>
      </c>
      <c r="E1529" s="8">
        <f>IF($B1529="","",IFERROR(INDEX(PM_Subcategory,MATCH($B1529,PM_ID,0)),""))</f>
        <v/>
      </c>
      <c r="F1529" s="8">
        <f>IF($B1529="","",IFERROR(INDEX(PM_Brand,MATCH($B1529,PM_ID,0)),""))</f>
        <v/>
      </c>
      <c r="G1529" s="8">
        <f>IF($B1529="","",IFERROR(INDEX(PM_Model,MATCH($B1529,PM_ID,0)),""))</f>
        <v/>
      </c>
      <c r="H1529" s="5" t="n"/>
      <c r="I1529" s="10" t="n"/>
      <c r="J1529" s="9" t="n"/>
      <c r="K1529" s="5" t="n"/>
      <c r="L1529" s="5" t="n"/>
      <c r="M1529" s="5" t="n"/>
      <c r="N1529" s="5" t="n"/>
      <c r="O1529" s="8">
        <f>IF($B1529="","",IF(AND($A1529&lt;&gt;"",COUNTIF(INV_ID,$A1529)&gt;1),"⚠ this Unit ID already exists",IF(AND($H1529&lt;&gt;"",COUNTIF(INV_Serial,$H1529)&gt;1),"⚠ this serial already exists",IF(COUNTIFS(INV_Product,$B1529,INV_No,$C1529)&gt;1,"⚠ piece number reused",""))))</f>
        <v/>
      </c>
      <c r="P1529" s="5" t="n"/>
    </row>
    <row r="1530">
      <c r="A1530" s="8">
        <f>IF(OR($B1530="",$C1530=""),"",IFERROR(INDEX(PM_Short,MATCH($B1530,PM_ID,0))&amp;"-"&amp;TEXT($C1530,"00"),"?? no such product"))</f>
        <v/>
      </c>
      <c r="B1530" s="5" t="n"/>
      <c r="C1530" s="5" t="n"/>
      <c r="D1530" s="8">
        <f>IF($B1530="","",IFERROR(INDEX(PM_Category,MATCH($B1530,PM_ID,0)),""))</f>
        <v/>
      </c>
      <c r="E1530" s="8">
        <f>IF($B1530="","",IFERROR(INDEX(PM_Subcategory,MATCH($B1530,PM_ID,0)),""))</f>
        <v/>
      </c>
      <c r="F1530" s="8">
        <f>IF($B1530="","",IFERROR(INDEX(PM_Brand,MATCH($B1530,PM_ID,0)),""))</f>
        <v/>
      </c>
      <c r="G1530" s="8">
        <f>IF($B1530="","",IFERROR(INDEX(PM_Model,MATCH($B1530,PM_ID,0)),""))</f>
        <v/>
      </c>
      <c r="H1530" s="5" t="n"/>
      <c r="I1530" s="10" t="n"/>
      <c r="J1530" s="9" t="n"/>
      <c r="K1530" s="5" t="n"/>
      <c r="L1530" s="5" t="n"/>
      <c r="M1530" s="5" t="n"/>
      <c r="N1530" s="5" t="n"/>
      <c r="O1530" s="8">
        <f>IF($B1530="","",IF(AND($A1530&lt;&gt;"",COUNTIF(INV_ID,$A1530)&gt;1),"⚠ this Unit ID already exists",IF(AND($H1530&lt;&gt;"",COUNTIF(INV_Serial,$H1530)&gt;1),"⚠ this serial already exists",IF(COUNTIFS(INV_Product,$B1530,INV_No,$C1530)&gt;1,"⚠ piece number reused",""))))</f>
        <v/>
      </c>
      <c r="P1530" s="5" t="n"/>
    </row>
    <row r="1531">
      <c r="A1531" s="8">
        <f>IF(OR($B1531="",$C1531=""),"",IFERROR(INDEX(PM_Short,MATCH($B1531,PM_ID,0))&amp;"-"&amp;TEXT($C1531,"00"),"?? no such product"))</f>
        <v/>
      </c>
      <c r="B1531" s="5" t="n"/>
      <c r="C1531" s="5" t="n"/>
      <c r="D1531" s="8">
        <f>IF($B1531="","",IFERROR(INDEX(PM_Category,MATCH($B1531,PM_ID,0)),""))</f>
        <v/>
      </c>
      <c r="E1531" s="8">
        <f>IF($B1531="","",IFERROR(INDEX(PM_Subcategory,MATCH($B1531,PM_ID,0)),""))</f>
        <v/>
      </c>
      <c r="F1531" s="8">
        <f>IF($B1531="","",IFERROR(INDEX(PM_Brand,MATCH($B1531,PM_ID,0)),""))</f>
        <v/>
      </c>
      <c r="G1531" s="8">
        <f>IF($B1531="","",IFERROR(INDEX(PM_Model,MATCH($B1531,PM_ID,0)),""))</f>
        <v/>
      </c>
      <c r="H1531" s="5" t="n"/>
      <c r="I1531" s="10" t="n"/>
      <c r="J1531" s="9" t="n"/>
      <c r="K1531" s="5" t="n"/>
      <c r="L1531" s="5" t="n"/>
      <c r="M1531" s="5" t="n"/>
      <c r="N1531" s="5" t="n"/>
      <c r="O1531" s="8">
        <f>IF($B1531="","",IF(AND($A1531&lt;&gt;"",COUNTIF(INV_ID,$A1531)&gt;1),"⚠ this Unit ID already exists",IF(AND($H1531&lt;&gt;"",COUNTIF(INV_Serial,$H1531)&gt;1),"⚠ this serial already exists",IF(COUNTIFS(INV_Product,$B1531,INV_No,$C1531)&gt;1,"⚠ piece number reused",""))))</f>
        <v/>
      </c>
      <c r="P1531" s="5" t="n"/>
    </row>
    <row r="1532">
      <c r="A1532" s="8">
        <f>IF(OR($B1532="",$C1532=""),"",IFERROR(INDEX(PM_Short,MATCH($B1532,PM_ID,0))&amp;"-"&amp;TEXT($C1532,"00"),"?? no such product"))</f>
        <v/>
      </c>
      <c r="B1532" s="5" t="n"/>
      <c r="C1532" s="5" t="n"/>
      <c r="D1532" s="8">
        <f>IF($B1532="","",IFERROR(INDEX(PM_Category,MATCH($B1532,PM_ID,0)),""))</f>
        <v/>
      </c>
      <c r="E1532" s="8">
        <f>IF($B1532="","",IFERROR(INDEX(PM_Subcategory,MATCH($B1532,PM_ID,0)),""))</f>
        <v/>
      </c>
      <c r="F1532" s="8">
        <f>IF($B1532="","",IFERROR(INDEX(PM_Brand,MATCH($B1532,PM_ID,0)),""))</f>
        <v/>
      </c>
      <c r="G1532" s="8">
        <f>IF($B1532="","",IFERROR(INDEX(PM_Model,MATCH($B1532,PM_ID,0)),""))</f>
        <v/>
      </c>
      <c r="H1532" s="5" t="n"/>
      <c r="I1532" s="10" t="n"/>
      <c r="J1532" s="9" t="n"/>
      <c r="K1532" s="5" t="n"/>
      <c r="L1532" s="5" t="n"/>
      <c r="M1532" s="5" t="n"/>
      <c r="N1532" s="5" t="n"/>
      <c r="O1532" s="8">
        <f>IF($B1532="","",IF(AND($A1532&lt;&gt;"",COUNTIF(INV_ID,$A1532)&gt;1),"⚠ this Unit ID already exists",IF(AND($H1532&lt;&gt;"",COUNTIF(INV_Serial,$H1532)&gt;1),"⚠ this serial already exists",IF(COUNTIFS(INV_Product,$B1532,INV_No,$C1532)&gt;1,"⚠ piece number reused",""))))</f>
        <v/>
      </c>
      <c r="P1532" s="5" t="n"/>
    </row>
    <row r="1533">
      <c r="A1533" s="8">
        <f>IF(OR($B1533="",$C1533=""),"",IFERROR(INDEX(PM_Short,MATCH($B1533,PM_ID,0))&amp;"-"&amp;TEXT($C1533,"00"),"?? no such product"))</f>
        <v/>
      </c>
      <c r="B1533" s="5" t="n"/>
      <c r="C1533" s="5" t="n"/>
      <c r="D1533" s="8">
        <f>IF($B1533="","",IFERROR(INDEX(PM_Category,MATCH($B1533,PM_ID,0)),""))</f>
        <v/>
      </c>
      <c r="E1533" s="8">
        <f>IF($B1533="","",IFERROR(INDEX(PM_Subcategory,MATCH($B1533,PM_ID,0)),""))</f>
        <v/>
      </c>
      <c r="F1533" s="8">
        <f>IF($B1533="","",IFERROR(INDEX(PM_Brand,MATCH($B1533,PM_ID,0)),""))</f>
        <v/>
      </c>
      <c r="G1533" s="8">
        <f>IF($B1533="","",IFERROR(INDEX(PM_Model,MATCH($B1533,PM_ID,0)),""))</f>
        <v/>
      </c>
      <c r="H1533" s="5" t="n"/>
      <c r="I1533" s="10" t="n"/>
      <c r="J1533" s="9" t="n"/>
      <c r="K1533" s="5" t="n"/>
      <c r="L1533" s="5" t="n"/>
      <c r="M1533" s="5" t="n"/>
      <c r="N1533" s="5" t="n"/>
      <c r="O1533" s="8">
        <f>IF($B1533="","",IF(AND($A1533&lt;&gt;"",COUNTIF(INV_ID,$A1533)&gt;1),"⚠ this Unit ID already exists",IF(AND($H1533&lt;&gt;"",COUNTIF(INV_Serial,$H1533)&gt;1),"⚠ this serial already exists",IF(COUNTIFS(INV_Product,$B1533,INV_No,$C1533)&gt;1,"⚠ piece number reused",""))))</f>
        <v/>
      </c>
      <c r="P1533" s="5" t="n"/>
    </row>
    <row r="1534">
      <c r="A1534" s="8">
        <f>IF(OR($B1534="",$C1534=""),"",IFERROR(INDEX(PM_Short,MATCH($B1534,PM_ID,0))&amp;"-"&amp;TEXT($C1534,"00"),"?? no such product"))</f>
        <v/>
      </c>
      <c r="B1534" s="5" t="n"/>
      <c r="C1534" s="5" t="n"/>
      <c r="D1534" s="8">
        <f>IF($B1534="","",IFERROR(INDEX(PM_Category,MATCH($B1534,PM_ID,0)),""))</f>
        <v/>
      </c>
      <c r="E1534" s="8">
        <f>IF($B1534="","",IFERROR(INDEX(PM_Subcategory,MATCH($B1534,PM_ID,0)),""))</f>
        <v/>
      </c>
      <c r="F1534" s="8">
        <f>IF($B1534="","",IFERROR(INDEX(PM_Brand,MATCH($B1534,PM_ID,0)),""))</f>
        <v/>
      </c>
      <c r="G1534" s="8">
        <f>IF($B1534="","",IFERROR(INDEX(PM_Model,MATCH($B1534,PM_ID,0)),""))</f>
        <v/>
      </c>
      <c r="H1534" s="5" t="n"/>
      <c r="I1534" s="10" t="n"/>
      <c r="J1534" s="9" t="n"/>
      <c r="K1534" s="5" t="n"/>
      <c r="L1534" s="5" t="n"/>
      <c r="M1534" s="5" t="n"/>
      <c r="N1534" s="5" t="n"/>
      <c r="O1534" s="8">
        <f>IF($B1534="","",IF(AND($A1534&lt;&gt;"",COUNTIF(INV_ID,$A1534)&gt;1),"⚠ this Unit ID already exists",IF(AND($H1534&lt;&gt;"",COUNTIF(INV_Serial,$H1534)&gt;1),"⚠ this serial already exists",IF(COUNTIFS(INV_Product,$B1534,INV_No,$C1534)&gt;1,"⚠ piece number reused",""))))</f>
        <v/>
      </c>
      <c r="P1534" s="5" t="n"/>
    </row>
    <row r="1535">
      <c r="A1535" s="8">
        <f>IF(OR($B1535="",$C1535=""),"",IFERROR(INDEX(PM_Short,MATCH($B1535,PM_ID,0))&amp;"-"&amp;TEXT($C1535,"00"),"?? no such product"))</f>
        <v/>
      </c>
      <c r="B1535" s="5" t="n"/>
      <c r="C1535" s="5" t="n"/>
      <c r="D1535" s="8">
        <f>IF($B1535="","",IFERROR(INDEX(PM_Category,MATCH($B1535,PM_ID,0)),""))</f>
        <v/>
      </c>
      <c r="E1535" s="8">
        <f>IF($B1535="","",IFERROR(INDEX(PM_Subcategory,MATCH($B1535,PM_ID,0)),""))</f>
        <v/>
      </c>
      <c r="F1535" s="8">
        <f>IF($B1535="","",IFERROR(INDEX(PM_Brand,MATCH($B1535,PM_ID,0)),""))</f>
        <v/>
      </c>
      <c r="G1535" s="8">
        <f>IF($B1535="","",IFERROR(INDEX(PM_Model,MATCH($B1535,PM_ID,0)),""))</f>
        <v/>
      </c>
      <c r="H1535" s="5" t="n"/>
      <c r="I1535" s="10" t="n"/>
      <c r="J1535" s="9" t="n"/>
      <c r="K1535" s="5" t="n"/>
      <c r="L1535" s="5" t="n"/>
      <c r="M1535" s="5" t="n"/>
      <c r="N1535" s="5" t="n"/>
      <c r="O1535" s="8">
        <f>IF($B1535="","",IF(AND($A1535&lt;&gt;"",COUNTIF(INV_ID,$A1535)&gt;1),"⚠ this Unit ID already exists",IF(AND($H1535&lt;&gt;"",COUNTIF(INV_Serial,$H1535)&gt;1),"⚠ this serial already exists",IF(COUNTIFS(INV_Product,$B1535,INV_No,$C1535)&gt;1,"⚠ piece number reused",""))))</f>
        <v/>
      </c>
      <c r="P1535" s="5" t="n"/>
    </row>
    <row r="1536">
      <c r="A1536" s="8">
        <f>IF(OR($B1536="",$C1536=""),"",IFERROR(INDEX(PM_Short,MATCH($B1536,PM_ID,0))&amp;"-"&amp;TEXT($C1536,"00"),"?? no such product"))</f>
        <v/>
      </c>
      <c r="B1536" s="5" t="n"/>
      <c r="C1536" s="5" t="n"/>
      <c r="D1536" s="8">
        <f>IF($B1536="","",IFERROR(INDEX(PM_Category,MATCH($B1536,PM_ID,0)),""))</f>
        <v/>
      </c>
      <c r="E1536" s="8">
        <f>IF($B1536="","",IFERROR(INDEX(PM_Subcategory,MATCH($B1536,PM_ID,0)),""))</f>
        <v/>
      </c>
      <c r="F1536" s="8">
        <f>IF($B1536="","",IFERROR(INDEX(PM_Brand,MATCH($B1536,PM_ID,0)),""))</f>
        <v/>
      </c>
      <c r="G1536" s="8">
        <f>IF($B1536="","",IFERROR(INDEX(PM_Model,MATCH($B1536,PM_ID,0)),""))</f>
        <v/>
      </c>
      <c r="H1536" s="5" t="n"/>
      <c r="I1536" s="10" t="n"/>
      <c r="J1536" s="9" t="n"/>
      <c r="K1536" s="5" t="n"/>
      <c r="L1536" s="5" t="n"/>
      <c r="M1536" s="5" t="n"/>
      <c r="N1536" s="5" t="n"/>
      <c r="O1536" s="8">
        <f>IF($B1536="","",IF(AND($A1536&lt;&gt;"",COUNTIF(INV_ID,$A1536)&gt;1),"⚠ this Unit ID already exists",IF(AND($H1536&lt;&gt;"",COUNTIF(INV_Serial,$H1536)&gt;1),"⚠ this serial already exists",IF(COUNTIFS(INV_Product,$B1536,INV_No,$C1536)&gt;1,"⚠ piece number reused",""))))</f>
        <v/>
      </c>
      <c r="P1536" s="5" t="n"/>
    </row>
    <row r="1537">
      <c r="A1537" s="8">
        <f>IF(OR($B1537="",$C1537=""),"",IFERROR(INDEX(PM_Short,MATCH($B1537,PM_ID,0))&amp;"-"&amp;TEXT($C1537,"00"),"?? no such product"))</f>
        <v/>
      </c>
      <c r="B1537" s="5" t="n"/>
      <c r="C1537" s="5" t="n"/>
      <c r="D1537" s="8">
        <f>IF($B1537="","",IFERROR(INDEX(PM_Category,MATCH($B1537,PM_ID,0)),""))</f>
        <v/>
      </c>
      <c r="E1537" s="8">
        <f>IF($B1537="","",IFERROR(INDEX(PM_Subcategory,MATCH($B1537,PM_ID,0)),""))</f>
        <v/>
      </c>
      <c r="F1537" s="8">
        <f>IF($B1537="","",IFERROR(INDEX(PM_Brand,MATCH($B1537,PM_ID,0)),""))</f>
        <v/>
      </c>
      <c r="G1537" s="8">
        <f>IF($B1537="","",IFERROR(INDEX(PM_Model,MATCH($B1537,PM_ID,0)),""))</f>
        <v/>
      </c>
      <c r="H1537" s="5" t="n"/>
      <c r="I1537" s="10" t="n"/>
      <c r="J1537" s="9" t="n"/>
      <c r="K1537" s="5" t="n"/>
      <c r="L1537" s="5" t="n"/>
      <c r="M1537" s="5" t="n"/>
      <c r="N1537" s="5" t="n"/>
      <c r="O1537" s="8">
        <f>IF($B1537="","",IF(AND($A1537&lt;&gt;"",COUNTIF(INV_ID,$A1537)&gt;1),"⚠ this Unit ID already exists",IF(AND($H1537&lt;&gt;"",COUNTIF(INV_Serial,$H1537)&gt;1),"⚠ this serial already exists",IF(COUNTIFS(INV_Product,$B1537,INV_No,$C1537)&gt;1,"⚠ piece number reused",""))))</f>
        <v/>
      </c>
      <c r="P1537" s="5" t="n"/>
    </row>
    <row r="1538">
      <c r="A1538" s="8">
        <f>IF(OR($B1538="",$C1538=""),"",IFERROR(INDEX(PM_Short,MATCH($B1538,PM_ID,0))&amp;"-"&amp;TEXT($C1538,"00"),"?? no such product"))</f>
        <v/>
      </c>
      <c r="B1538" s="5" t="n"/>
      <c r="C1538" s="5" t="n"/>
      <c r="D1538" s="8">
        <f>IF($B1538="","",IFERROR(INDEX(PM_Category,MATCH($B1538,PM_ID,0)),""))</f>
        <v/>
      </c>
      <c r="E1538" s="8">
        <f>IF($B1538="","",IFERROR(INDEX(PM_Subcategory,MATCH($B1538,PM_ID,0)),""))</f>
        <v/>
      </c>
      <c r="F1538" s="8">
        <f>IF($B1538="","",IFERROR(INDEX(PM_Brand,MATCH($B1538,PM_ID,0)),""))</f>
        <v/>
      </c>
      <c r="G1538" s="8">
        <f>IF($B1538="","",IFERROR(INDEX(PM_Model,MATCH($B1538,PM_ID,0)),""))</f>
        <v/>
      </c>
      <c r="H1538" s="5" t="n"/>
      <c r="I1538" s="10" t="n"/>
      <c r="J1538" s="9" t="n"/>
      <c r="K1538" s="5" t="n"/>
      <c r="L1538" s="5" t="n"/>
      <c r="M1538" s="5" t="n"/>
      <c r="N1538" s="5" t="n"/>
      <c r="O1538" s="8">
        <f>IF($B1538="","",IF(AND($A1538&lt;&gt;"",COUNTIF(INV_ID,$A1538)&gt;1),"⚠ this Unit ID already exists",IF(AND($H1538&lt;&gt;"",COUNTIF(INV_Serial,$H1538)&gt;1),"⚠ this serial already exists",IF(COUNTIFS(INV_Product,$B1538,INV_No,$C1538)&gt;1,"⚠ piece number reused",""))))</f>
        <v/>
      </c>
      <c r="P1538" s="5" t="n"/>
    </row>
    <row r="1539">
      <c r="A1539" s="8">
        <f>IF(OR($B1539="",$C1539=""),"",IFERROR(INDEX(PM_Short,MATCH($B1539,PM_ID,0))&amp;"-"&amp;TEXT($C1539,"00"),"?? no such product"))</f>
        <v/>
      </c>
      <c r="B1539" s="5" t="n"/>
      <c r="C1539" s="5" t="n"/>
      <c r="D1539" s="8">
        <f>IF($B1539="","",IFERROR(INDEX(PM_Category,MATCH($B1539,PM_ID,0)),""))</f>
        <v/>
      </c>
      <c r="E1539" s="8">
        <f>IF($B1539="","",IFERROR(INDEX(PM_Subcategory,MATCH($B1539,PM_ID,0)),""))</f>
        <v/>
      </c>
      <c r="F1539" s="8">
        <f>IF($B1539="","",IFERROR(INDEX(PM_Brand,MATCH($B1539,PM_ID,0)),""))</f>
        <v/>
      </c>
      <c r="G1539" s="8">
        <f>IF($B1539="","",IFERROR(INDEX(PM_Model,MATCH($B1539,PM_ID,0)),""))</f>
        <v/>
      </c>
      <c r="H1539" s="5" t="n"/>
      <c r="I1539" s="10" t="n"/>
      <c r="J1539" s="9" t="n"/>
      <c r="K1539" s="5" t="n"/>
      <c r="L1539" s="5" t="n"/>
      <c r="M1539" s="5" t="n"/>
      <c r="N1539" s="5" t="n"/>
      <c r="O1539" s="8">
        <f>IF($B1539="","",IF(AND($A1539&lt;&gt;"",COUNTIF(INV_ID,$A1539)&gt;1),"⚠ this Unit ID already exists",IF(AND($H1539&lt;&gt;"",COUNTIF(INV_Serial,$H1539)&gt;1),"⚠ this serial already exists",IF(COUNTIFS(INV_Product,$B1539,INV_No,$C1539)&gt;1,"⚠ piece number reused",""))))</f>
        <v/>
      </c>
      <c r="P1539" s="5" t="n"/>
    </row>
    <row r="1540">
      <c r="A1540" s="8">
        <f>IF(OR($B1540="",$C1540=""),"",IFERROR(INDEX(PM_Short,MATCH($B1540,PM_ID,0))&amp;"-"&amp;TEXT($C1540,"00"),"?? no such product"))</f>
        <v/>
      </c>
      <c r="B1540" s="5" t="n"/>
      <c r="C1540" s="5" t="n"/>
      <c r="D1540" s="8">
        <f>IF($B1540="","",IFERROR(INDEX(PM_Category,MATCH($B1540,PM_ID,0)),""))</f>
        <v/>
      </c>
      <c r="E1540" s="8">
        <f>IF($B1540="","",IFERROR(INDEX(PM_Subcategory,MATCH($B1540,PM_ID,0)),""))</f>
        <v/>
      </c>
      <c r="F1540" s="8">
        <f>IF($B1540="","",IFERROR(INDEX(PM_Brand,MATCH($B1540,PM_ID,0)),""))</f>
        <v/>
      </c>
      <c r="G1540" s="8">
        <f>IF($B1540="","",IFERROR(INDEX(PM_Model,MATCH($B1540,PM_ID,0)),""))</f>
        <v/>
      </c>
      <c r="H1540" s="5" t="n"/>
      <c r="I1540" s="10" t="n"/>
      <c r="J1540" s="9" t="n"/>
      <c r="K1540" s="5" t="n"/>
      <c r="L1540" s="5" t="n"/>
      <c r="M1540" s="5" t="n"/>
      <c r="N1540" s="5" t="n"/>
      <c r="O1540" s="8">
        <f>IF($B1540="","",IF(AND($A1540&lt;&gt;"",COUNTIF(INV_ID,$A1540)&gt;1),"⚠ this Unit ID already exists",IF(AND($H1540&lt;&gt;"",COUNTIF(INV_Serial,$H1540)&gt;1),"⚠ this serial already exists",IF(COUNTIFS(INV_Product,$B1540,INV_No,$C1540)&gt;1,"⚠ piece number reused",""))))</f>
        <v/>
      </c>
      <c r="P1540" s="5" t="n"/>
    </row>
    <row r="1541">
      <c r="A1541" s="8">
        <f>IF(OR($B1541="",$C1541=""),"",IFERROR(INDEX(PM_Short,MATCH($B1541,PM_ID,0))&amp;"-"&amp;TEXT($C1541,"00"),"?? no such product"))</f>
        <v/>
      </c>
      <c r="B1541" s="5" t="n"/>
      <c r="C1541" s="5" t="n"/>
      <c r="D1541" s="8">
        <f>IF($B1541="","",IFERROR(INDEX(PM_Category,MATCH($B1541,PM_ID,0)),""))</f>
        <v/>
      </c>
      <c r="E1541" s="8">
        <f>IF($B1541="","",IFERROR(INDEX(PM_Subcategory,MATCH($B1541,PM_ID,0)),""))</f>
        <v/>
      </c>
      <c r="F1541" s="8">
        <f>IF($B1541="","",IFERROR(INDEX(PM_Brand,MATCH($B1541,PM_ID,0)),""))</f>
        <v/>
      </c>
      <c r="G1541" s="8">
        <f>IF($B1541="","",IFERROR(INDEX(PM_Model,MATCH($B1541,PM_ID,0)),""))</f>
        <v/>
      </c>
      <c r="H1541" s="5" t="n"/>
      <c r="I1541" s="10" t="n"/>
      <c r="J1541" s="9" t="n"/>
      <c r="K1541" s="5" t="n"/>
      <c r="L1541" s="5" t="n"/>
      <c r="M1541" s="5" t="n"/>
      <c r="N1541" s="5" t="n"/>
      <c r="O1541" s="8">
        <f>IF($B1541="","",IF(AND($A1541&lt;&gt;"",COUNTIF(INV_ID,$A1541)&gt;1),"⚠ this Unit ID already exists",IF(AND($H1541&lt;&gt;"",COUNTIF(INV_Serial,$H1541)&gt;1),"⚠ this serial already exists",IF(COUNTIFS(INV_Product,$B1541,INV_No,$C1541)&gt;1,"⚠ piece number reused",""))))</f>
        <v/>
      </c>
      <c r="P1541" s="5" t="n"/>
    </row>
    <row r="1542">
      <c r="A1542" s="8">
        <f>IF(OR($B1542="",$C1542=""),"",IFERROR(INDEX(PM_Short,MATCH($B1542,PM_ID,0))&amp;"-"&amp;TEXT($C1542,"00"),"?? no such product"))</f>
        <v/>
      </c>
      <c r="B1542" s="5" t="n"/>
      <c r="C1542" s="5" t="n"/>
      <c r="D1542" s="8">
        <f>IF($B1542="","",IFERROR(INDEX(PM_Category,MATCH($B1542,PM_ID,0)),""))</f>
        <v/>
      </c>
      <c r="E1542" s="8">
        <f>IF($B1542="","",IFERROR(INDEX(PM_Subcategory,MATCH($B1542,PM_ID,0)),""))</f>
        <v/>
      </c>
      <c r="F1542" s="8">
        <f>IF($B1542="","",IFERROR(INDEX(PM_Brand,MATCH($B1542,PM_ID,0)),""))</f>
        <v/>
      </c>
      <c r="G1542" s="8">
        <f>IF($B1542="","",IFERROR(INDEX(PM_Model,MATCH($B1542,PM_ID,0)),""))</f>
        <v/>
      </c>
      <c r="H1542" s="5" t="n"/>
      <c r="I1542" s="10" t="n"/>
      <c r="J1542" s="9" t="n"/>
      <c r="K1542" s="5" t="n"/>
      <c r="L1542" s="5" t="n"/>
      <c r="M1542" s="5" t="n"/>
      <c r="N1542" s="5" t="n"/>
      <c r="O1542" s="8">
        <f>IF($B1542="","",IF(AND($A1542&lt;&gt;"",COUNTIF(INV_ID,$A1542)&gt;1),"⚠ this Unit ID already exists",IF(AND($H1542&lt;&gt;"",COUNTIF(INV_Serial,$H1542)&gt;1),"⚠ this serial already exists",IF(COUNTIFS(INV_Product,$B1542,INV_No,$C1542)&gt;1,"⚠ piece number reused",""))))</f>
        <v/>
      </c>
      <c r="P1542" s="5" t="n"/>
    </row>
    <row r="1543">
      <c r="A1543" s="8">
        <f>IF(OR($B1543="",$C1543=""),"",IFERROR(INDEX(PM_Short,MATCH($B1543,PM_ID,0))&amp;"-"&amp;TEXT($C1543,"00"),"?? no such product"))</f>
        <v/>
      </c>
      <c r="B1543" s="5" t="n"/>
      <c r="C1543" s="5" t="n"/>
      <c r="D1543" s="8">
        <f>IF($B1543="","",IFERROR(INDEX(PM_Category,MATCH($B1543,PM_ID,0)),""))</f>
        <v/>
      </c>
      <c r="E1543" s="8">
        <f>IF($B1543="","",IFERROR(INDEX(PM_Subcategory,MATCH($B1543,PM_ID,0)),""))</f>
        <v/>
      </c>
      <c r="F1543" s="8">
        <f>IF($B1543="","",IFERROR(INDEX(PM_Brand,MATCH($B1543,PM_ID,0)),""))</f>
        <v/>
      </c>
      <c r="G1543" s="8">
        <f>IF($B1543="","",IFERROR(INDEX(PM_Model,MATCH($B1543,PM_ID,0)),""))</f>
        <v/>
      </c>
      <c r="H1543" s="5" t="n"/>
      <c r="I1543" s="10" t="n"/>
      <c r="J1543" s="9" t="n"/>
      <c r="K1543" s="5" t="n"/>
      <c r="L1543" s="5" t="n"/>
      <c r="M1543" s="5" t="n"/>
      <c r="N1543" s="5" t="n"/>
      <c r="O1543" s="8">
        <f>IF($B1543="","",IF(AND($A1543&lt;&gt;"",COUNTIF(INV_ID,$A1543)&gt;1),"⚠ this Unit ID already exists",IF(AND($H1543&lt;&gt;"",COUNTIF(INV_Serial,$H1543)&gt;1),"⚠ this serial already exists",IF(COUNTIFS(INV_Product,$B1543,INV_No,$C1543)&gt;1,"⚠ piece number reused",""))))</f>
        <v/>
      </c>
      <c r="P1543" s="5" t="n"/>
    </row>
    <row r="1544">
      <c r="A1544" s="8">
        <f>IF(OR($B1544="",$C1544=""),"",IFERROR(INDEX(PM_Short,MATCH($B1544,PM_ID,0))&amp;"-"&amp;TEXT($C1544,"00"),"?? no such product"))</f>
        <v/>
      </c>
      <c r="B1544" s="5" t="n"/>
      <c r="C1544" s="5" t="n"/>
      <c r="D1544" s="8">
        <f>IF($B1544="","",IFERROR(INDEX(PM_Category,MATCH($B1544,PM_ID,0)),""))</f>
        <v/>
      </c>
      <c r="E1544" s="8">
        <f>IF($B1544="","",IFERROR(INDEX(PM_Subcategory,MATCH($B1544,PM_ID,0)),""))</f>
        <v/>
      </c>
      <c r="F1544" s="8">
        <f>IF($B1544="","",IFERROR(INDEX(PM_Brand,MATCH($B1544,PM_ID,0)),""))</f>
        <v/>
      </c>
      <c r="G1544" s="8">
        <f>IF($B1544="","",IFERROR(INDEX(PM_Model,MATCH($B1544,PM_ID,0)),""))</f>
        <v/>
      </c>
      <c r="H1544" s="5" t="n"/>
      <c r="I1544" s="10" t="n"/>
      <c r="J1544" s="9" t="n"/>
      <c r="K1544" s="5" t="n"/>
      <c r="L1544" s="5" t="n"/>
      <c r="M1544" s="5" t="n"/>
      <c r="N1544" s="5" t="n"/>
      <c r="O1544" s="8">
        <f>IF($B1544="","",IF(AND($A1544&lt;&gt;"",COUNTIF(INV_ID,$A1544)&gt;1),"⚠ this Unit ID already exists",IF(AND($H1544&lt;&gt;"",COUNTIF(INV_Serial,$H1544)&gt;1),"⚠ this serial already exists",IF(COUNTIFS(INV_Product,$B1544,INV_No,$C1544)&gt;1,"⚠ piece number reused",""))))</f>
        <v/>
      </c>
      <c r="P1544" s="5" t="n"/>
    </row>
    <row r="1545">
      <c r="A1545" s="8">
        <f>IF(OR($B1545="",$C1545=""),"",IFERROR(INDEX(PM_Short,MATCH($B1545,PM_ID,0))&amp;"-"&amp;TEXT($C1545,"00"),"?? no such product"))</f>
        <v/>
      </c>
      <c r="B1545" s="5" t="n"/>
      <c r="C1545" s="5" t="n"/>
      <c r="D1545" s="8">
        <f>IF($B1545="","",IFERROR(INDEX(PM_Category,MATCH($B1545,PM_ID,0)),""))</f>
        <v/>
      </c>
      <c r="E1545" s="8">
        <f>IF($B1545="","",IFERROR(INDEX(PM_Subcategory,MATCH($B1545,PM_ID,0)),""))</f>
        <v/>
      </c>
      <c r="F1545" s="8">
        <f>IF($B1545="","",IFERROR(INDEX(PM_Brand,MATCH($B1545,PM_ID,0)),""))</f>
        <v/>
      </c>
      <c r="G1545" s="8">
        <f>IF($B1545="","",IFERROR(INDEX(PM_Model,MATCH($B1545,PM_ID,0)),""))</f>
        <v/>
      </c>
      <c r="H1545" s="5" t="n"/>
      <c r="I1545" s="10" t="n"/>
      <c r="J1545" s="9" t="n"/>
      <c r="K1545" s="5" t="n"/>
      <c r="L1545" s="5" t="n"/>
      <c r="M1545" s="5" t="n"/>
      <c r="N1545" s="5" t="n"/>
      <c r="O1545" s="8">
        <f>IF($B1545="","",IF(AND($A1545&lt;&gt;"",COUNTIF(INV_ID,$A1545)&gt;1),"⚠ this Unit ID already exists",IF(AND($H1545&lt;&gt;"",COUNTIF(INV_Serial,$H1545)&gt;1),"⚠ this serial already exists",IF(COUNTIFS(INV_Product,$B1545,INV_No,$C1545)&gt;1,"⚠ piece number reused",""))))</f>
        <v/>
      </c>
      <c r="P1545" s="5" t="n"/>
    </row>
    <row r="1546">
      <c r="A1546" s="8">
        <f>IF(OR($B1546="",$C1546=""),"",IFERROR(INDEX(PM_Short,MATCH($B1546,PM_ID,0))&amp;"-"&amp;TEXT($C1546,"00"),"?? no such product"))</f>
        <v/>
      </c>
      <c r="B1546" s="5" t="n"/>
      <c r="C1546" s="5" t="n"/>
      <c r="D1546" s="8">
        <f>IF($B1546="","",IFERROR(INDEX(PM_Category,MATCH($B1546,PM_ID,0)),""))</f>
        <v/>
      </c>
      <c r="E1546" s="8">
        <f>IF($B1546="","",IFERROR(INDEX(PM_Subcategory,MATCH($B1546,PM_ID,0)),""))</f>
        <v/>
      </c>
      <c r="F1546" s="8">
        <f>IF($B1546="","",IFERROR(INDEX(PM_Brand,MATCH($B1546,PM_ID,0)),""))</f>
        <v/>
      </c>
      <c r="G1546" s="8">
        <f>IF($B1546="","",IFERROR(INDEX(PM_Model,MATCH($B1546,PM_ID,0)),""))</f>
        <v/>
      </c>
      <c r="H1546" s="5" t="n"/>
      <c r="I1546" s="10" t="n"/>
      <c r="J1546" s="9" t="n"/>
      <c r="K1546" s="5" t="n"/>
      <c r="L1546" s="5" t="n"/>
      <c r="M1546" s="5" t="n"/>
      <c r="N1546" s="5" t="n"/>
      <c r="O1546" s="8">
        <f>IF($B1546="","",IF(AND($A1546&lt;&gt;"",COUNTIF(INV_ID,$A1546)&gt;1),"⚠ this Unit ID already exists",IF(AND($H1546&lt;&gt;"",COUNTIF(INV_Serial,$H1546)&gt;1),"⚠ this serial already exists",IF(COUNTIFS(INV_Product,$B1546,INV_No,$C1546)&gt;1,"⚠ piece number reused",""))))</f>
        <v/>
      </c>
      <c r="P1546" s="5" t="n"/>
    </row>
    <row r="1547">
      <c r="A1547" s="8">
        <f>IF(OR($B1547="",$C1547=""),"",IFERROR(INDEX(PM_Short,MATCH($B1547,PM_ID,0))&amp;"-"&amp;TEXT($C1547,"00"),"?? no such product"))</f>
        <v/>
      </c>
      <c r="B1547" s="5" t="n"/>
      <c r="C1547" s="5" t="n"/>
      <c r="D1547" s="8">
        <f>IF($B1547="","",IFERROR(INDEX(PM_Category,MATCH($B1547,PM_ID,0)),""))</f>
        <v/>
      </c>
      <c r="E1547" s="8">
        <f>IF($B1547="","",IFERROR(INDEX(PM_Subcategory,MATCH($B1547,PM_ID,0)),""))</f>
        <v/>
      </c>
      <c r="F1547" s="8">
        <f>IF($B1547="","",IFERROR(INDEX(PM_Brand,MATCH($B1547,PM_ID,0)),""))</f>
        <v/>
      </c>
      <c r="G1547" s="8">
        <f>IF($B1547="","",IFERROR(INDEX(PM_Model,MATCH($B1547,PM_ID,0)),""))</f>
        <v/>
      </c>
      <c r="H1547" s="5" t="n"/>
      <c r="I1547" s="10" t="n"/>
      <c r="J1547" s="9" t="n"/>
      <c r="K1547" s="5" t="n"/>
      <c r="L1547" s="5" t="n"/>
      <c r="M1547" s="5" t="n"/>
      <c r="N1547" s="5" t="n"/>
      <c r="O1547" s="8">
        <f>IF($B1547="","",IF(AND($A1547&lt;&gt;"",COUNTIF(INV_ID,$A1547)&gt;1),"⚠ this Unit ID already exists",IF(AND($H1547&lt;&gt;"",COUNTIF(INV_Serial,$H1547)&gt;1),"⚠ this serial already exists",IF(COUNTIFS(INV_Product,$B1547,INV_No,$C1547)&gt;1,"⚠ piece number reused",""))))</f>
        <v/>
      </c>
      <c r="P1547" s="5" t="n"/>
    </row>
    <row r="1548">
      <c r="A1548" s="8">
        <f>IF(OR($B1548="",$C1548=""),"",IFERROR(INDEX(PM_Short,MATCH($B1548,PM_ID,0))&amp;"-"&amp;TEXT($C1548,"00"),"?? no such product"))</f>
        <v/>
      </c>
      <c r="B1548" s="5" t="n"/>
      <c r="C1548" s="5" t="n"/>
      <c r="D1548" s="8">
        <f>IF($B1548="","",IFERROR(INDEX(PM_Category,MATCH($B1548,PM_ID,0)),""))</f>
        <v/>
      </c>
      <c r="E1548" s="8">
        <f>IF($B1548="","",IFERROR(INDEX(PM_Subcategory,MATCH($B1548,PM_ID,0)),""))</f>
        <v/>
      </c>
      <c r="F1548" s="8">
        <f>IF($B1548="","",IFERROR(INDEX(PM_Brand,MATCH($B1548,PM_ID,0)),""))</f>
        <v/>
      </c>
      <c r="G1548" s="8">
        <f>IF($B1548="","",IFERROR(INDEX(PM_Model,MATCH($B1548,PM_ID,0)),""))</f>
        <v/>
      </c>
      <c r="H1548" s="5" t="n"/>
      <c r="I1548" s="10" t="n"/>
      <c r="J1548" s="9" t="n"/>
      <c r="K1548" s="5" t="n"/>
      <c r="L1548" s="5" t="n"/>
      <c r="M1548" s="5" t="n"/>
      <c r="N1548" s="5" t="n"/>
      <c r="O1548" s="8">
        <f>IF($B1548="","",IF(AND($A1548&lt;&gt;"",COUNTIF(INV_ID,$A1548)&gt;1),"⚠ this Unit ID already exists",IF(AND($H1548&lt;&gt;"",COUNTIF(INV_Serial,$H1548)&gt;1),"⚠ this serial already exists",IF(COUNTIFS(INV_Product,$B1548,INV_No,$C1548)&gt;1,"⚠ piece number reused",""))))</f>
        <v/>
      </c>
      <c r="P1548" s="5" t="n"/>
    </row>
    <row r="1549">
      <c r="A1549" s="8">
        <f>IF(OR($B1549="",$C1549=""),"",IFERROR(INDEX(PM_Short,MATCH($B1549,PM_ID,0))&amp;"-"&amp;TEXT($C1549,"00"),"?? no such product"))</f>
        <v/>
      </c>
      <c r="B1549" s="5" t="n"/>
      <c r="C1549" s="5" t="n"/>
      <c r="D1549" s="8">
        <f>IF($B1549="","",IFERROR(INDEX(PM_Category,MATCH($B1549,PM_ID,0)),""))</f>
        <v/>
      </c>
      <c r="E1549" s="8">
        <f>IF($B1549="","",IFERROR(INDEX(PM_Subcategory,MATCH($B1549,PM_ID,0)),""))</f>
        <v/>
      </c>
      <c r="F1549" s="8">
        <f>IF($B1549="","",IFERROR(INDEX(PM_Brand,MATCH($B1549,PM_ID,0)),""))</f>
        <v/>
      </c>
      <c r="G1549" s="8">
        <f>IF($B1549="","",IFERROR(INDEX(PM_Model,MATCH($B1549,PM_ID,0)),""))</f>
        <v/>
      </c>
      <c r="H1549" s="5" t="n"/>
      <c r="I1549" s="10" t="n"/>
      <c r="J1549" s="9" t="n"/>
      <c r="K1549" s="5" t="n"/>
      <c r="L1549" s="5" t="n"/>
      <c r="M1549" s="5" t="n"/>
      <c r="N1549" s="5" t="n"/>
      <c r="O1549" s="8">
        <f>IF($B1549="","",IF(AND($A1549&lt;&gt;"",COUNTIF(INV_ID,$A1549)&gt;1),"⚠ this Unit ID already exists",IF(AND($H1549&lt;&gt;"",COUNTIF(INV_Serial,$H1549)&gt;1),"⚠ this serial already exists",IF(COUNTIFS(INV_Product,$B1549,INV_No,$C1549)&gt;1,"⚠ piece number reused",""))))</f>
        <v/>
      </c>
      <c r="P1549" s="5" t="n"/>
    </row>
    <row r="1550">
      <c r="A1550" s="8">
        <f>IF(OR($B1550="",$C1550=""),"",IFERROR(INDEX(PM_Short,MATCH($B1550,PM_ID,0))&amp;"-"&amp;TEXT($C1550,"00"),"?? no such product"))</f>
        <v/>
      </c>
      <c r="B1550" s="5" t="n"/>
      <c r="C1550" s="5" t="n"/>
      <c r="D1550" s="8">
        <f>IF($B1550="","",IFERROR(INDEX(PM_Category,MATCH($B1550,PM_ID,0)),""))</f>
        <v/>
      </c>
      <c r="E1550" s="8">
        <f>IF($B1550="","",IFERROR(INDEX(PM_Subcategory,MATCH($B1550,PM_ID,0)),""))</f>
        <v/>
      </c>
      <c r="F1550" s="8">
        <f>IF($B1550="","",IFERROR(INDEX(PM_Brand,MATCH($B1550,PM_ID,0)),""))</f>
        <v/>
      </c>
      <c r="G1550" s="8">
        <f>IF($B1550="","",IFERROR(INDEX(PM_Model,MATCH($B1550,PM_ID,0)),""))</f>
        <v/>
      </c>
      <c r="H1550" s="5" t="n"/>
      <c r="I1550" s="10" t="n"/>
      <c r="J1550" s="9" t="n"/>
      <c r="K1550" s="5" t="n"/>
      <c r="L1550" s="5" t="n"/>
      <c r="M1550" s="5" t="n"/>
      <c r="N1550" s="5" t="n"/>
      <c r="O1550" s="8">
        <f>IF($B1550="","",IF(AND($A1550&lt;&gt;"",COUNTIF(INV_ID,$A1550)&gt;1),"⚠ this Unit ID already exists",IF(AND($H1550&lt;&gt;"",COUNTIF(INV_Serial,$H1550)&gt;1),"⚠ this serial already exists",IF(COUNTIFS(INV_Product,$B1550,INV_No,$C1550)&gt;1,"⚠ piece number reused",""))))</f>
        <v/>
      </c>
      <c r="P1550" s="5" t="n"/>
    </row>
    <row r="1551">
      <c r="A1551" s="8">
        <f>IF(OR($B1551="",$C1551=""),"",IFERROR(INDEX(PM_Short,MATCH($B1551,PM_ID,0))&amp;"-"&amp;TEXT($C1551,"00"),"?? no such product"))</f>
        <v/>
      </c>
      <c r="B1551" s="5" t="n"/>
      <c r="C1551" s="5" t="n"/>
      <c r="D1551" s="8">
        <f>IF($B1551="","",IFERROR(INDEX(PM_Category,MATCH($B1551,PM_ID,0)),""))</f>
        <v/>
      </c>
      <c r="E1551" s="8">
        <f>IF($B1551="","",IFERROR(INDEX(PM_Subcategory,MATCH($B1551,PM_ID,0)),""))</f>
        <v/>
      </c>
      <c r="F1551" s="8">
        <f>IF($B1551="","",IFERROR(INDEX(PM_Brand,MATCH($B1551,PM_ID,0)),""))</f>
        <v/>
      </c>
      <c r="G1551" s="8">
        <f>IF($B1551="","",IFERROR(INDEX(PM_Model,MATCH($B1551,PM_ID,0)),""))</f>
        <v/>
      </c>
      <c r="H1551" s="5" t="n"/>
      <c r="I1551" s="10" t="n"/>
      <c r="J1551" s="9" t="n"/>
      <c r="K1551" s="5" t="n"/>
      <c r="L1551" s="5" t="n"/>
      <c r="M1551" s="5" t="n"/>
      <c r="N1551" s="5" t="n"/>
      <c r="O1551" s="8">
        <f>IF($B1551="","",IF(AND($A1551&lt;&gt;"",COUNTIF(INV_ID,$A1551)&gt;1),"⚠ this Unit ID already exists",IF(AND($H1551&lt;&gt;"",COUNTIF(INV_Serial,$H1551)&gt;1),"⚠ this serial already exists",IF(COUNTIFS(INV_Product,$B1551,INV_No,$C1551)&gt;1,"⚠ piece number reused",""))))</f>
        <v/>
      </c>
      <c r="P1551" s="5" t="n"/>
    </row>
    <row r="1552">
      <c r="A1552" s="8">
        <f>IF(OR($B1552="",$C1552=""),"",IFERROR(INDEX(PM_Short,MATCH($B1552,PM_ID,0))&amp;"-"&amp;TEXT($C1552,"00"),"?? no such product"))</f>
        <v/>
      </c>
      <c r="B1552" s="5" t="n"/>
      <c r="C1552" s="5" t="n"/>
      <c r="D1552" s="8">
        <f>IF($B1552="","",IFERROR(INDEX(PM_Category,MATCH($B1552,PM_ID,0)),""))</f>
        <v/>
      </c>
      <c r="E1552" s="8">
        <f>IF($B1552="","",IFERROR(INDEX(PM_Subcategory,MATCH($B1552,PM_ID,0)),""))</f>
        <v/>
      </c>
      <c r="F1552" s="8">
        <f>IF($B1552="","",IFERROR(INDEX(PM_Brand,MATCH($B1552,PM_ID,0)),""))</f>
        <v/>
      </c>
      <c r="G1552" s="8">
        <f>IF($B1552="","",IFERROR(INDEX(PM_Model,MATCH($B1552,PM_ID,0)),""))</f>
        <v/>
      </c>
      <c r="H1552" s="5" t="n"/>
      <c r="I1552" s="10" t="n"/>
      <c r="J1552" s="9" t="n"/>
      <c r="K1552" s="5" t="n"/>
      <c r="L1552" s="5" t="n"/>
      <c r="M1552" s="5" t="n"/>
      <c r="N1552" s="5" t="n"/>
      <c r="O1552" s="8">
        <f>IF($B1552="","",IF(AND($A1552&lt;&gt;"",COUNTIF(INV_ID,$A1552)&gt;1),"⚠ this Unit ID already exists",IF(AND($H1552&lt;&gt;"",COUNTIF(INV_Serial,$H1552)&gt;1),"⚠ this serial already exists",IF(COUNTIFS(INV_Product,$B1552,INV_No,$C1552)&gt;1,"⚠ piece number reused",""))))</f>
        <v/>
      </c>
      <c r="P1552" s="5" t="n"/>
    </row>
    <row r="1553">
      <c r="A1553" s="8">
        <f>IF(OR($B1553="",$C1553=""),"",IFERROR(INDEX(PM_Short,MATCH($B1553,PM_ID,0))&amp;"-"&amp;TEXT($C1553,"00"),"?? no such product"))</f>
        <v/>
      </c>
      <c r="B1553" s="5" t="n"/>
      <c r="C1553" s="5" t="n"/>
      <c r="D1553" s="8">
        <f>IF($B1553="","",IFERROR(INDEX(PM_Category,MATCH($B1553,PM_ID,0)),""))</f>
        <v/>
      </c>
      <c r="E1553" s="8">
        <f>IF($B1553="","",IFERROR(INDEX(PM_Subcategory,MATCH($B1553,PM_ID,0)),""))</f>
        <v/>
      </c>
      <c r="F1553" s="8">
        <f>IF($B1553="","",IFERROR(INDEX(PM_Brand,MATCH($B1553,PM_ID,0)),""))</f>
        <v/>
      </c>
      <c r="G1553" s="8">
        <f>IF($B1553="","",IFERROR(INDEX(PM_Model,MATCH($B1553,PM_ID,0)),""))</f>
        <v/>
      </c>
      <c r="H1553" s="5" t="n"/>
      <c r="I1553" s="10" t="n"/>
      <c r="J1553" s="9" t="n"/>
      <c r="K1553" s="5" t="n"/>
      <c r="L1553" s="5" t="n"/>
      <c r="M1553" s="5" t="n"/>
      <c r="N1553" s="5" t="n"/>
      <c r="O1553" s="8">
        <f>IF($B1553="","",IF(AND($A1553&lt;&gt;"",COUNTIF(INV_ID,$A1553)&gt;1),"⚠ this Unit ID already exists",IF(AND($H1553&lt;&gt;"",COUNTIF(INV_Serial,$H1553)&gt;1),"⚠ this serial already exists",IF(COUNTIFS(INV_Product,$B1553,INV_No,$C1553)&gt;1,"⚠ piece number reused",""))))</f>
        <v/>
      </c>
      <c r="P1553" s="5" t="n"/>
    </row>
    <row r="1554">
      <c r="A1554" s="8">
        <f>IF(OR($B1554="",$C1554=""),"",IFERROR(INDEX(PM_Short,MATCH($B1554,PM_ID,0))&amp;"-"&amp;TEXT($C1554,"00"),"?? no such product"))</f>
        <v/>
      </c>
      <c r="B1554" s="5" t="n"/>
      <c r="C1554" s="5" t="n"/>
      <c r="D1554" s="8">
        <f>IF($B1554="","",IFERROR(INDEX(PM_Category,MATCH($B1554,PM_ID,0)),""))</f>
        <v/>
      </c>
      <c r="E1554" s="8">
        <f>IF($B1554="","",IFERROR(INDEX(PM_Subcategory,MATCH($B1554,PM_ID,0)),""))</f>
        <v/>
      </c>
      <c r="F1554" s="8">
        <f>IF($B1554="","",IFERROR(INDEX(PM_Brand,MATCH($B1554,PM_ID,0)),""))</f>
        <v/>
      </c>
      <c r="G1554" s="8">
        <f>IF($B1554="","",IFERROR(INDEX(PM_Model,MATCH($B1554,PM_ID,0)),""))</f>
        <v/>
      </c>
      <c r="H1554" s="5" t="n"/>
      <c r="I1554" s="10" t="n"/>
      <c r="J1554" s="9" t="n"/>
      <c r="K1554" s="5" t="n"/>
      <c r="L1554" s="5" t="n"/>
      <c r="M1554" s="5" t="n"/>
      <c r="N1554" s="5" t="n"/>
      <c r="O1554" s="8">
        <f>IF($B1554="","",IF(AND($A1554&lt;&gt;"",COUNTIF(INV_ID,$A1554)&gt;1),"⚠ this Unit ID already exists",IF(AND($H1554&lt;&gt;"",COUNTIF(INV_Serial,$H1554)&gt;1),"⚠ this serial already exists",IF(COUNTIFS(INV_Product,$B1554,INV_No,$C1554)&gt;1,"⚠ piece number reused",""))))</f>
        <v/>
      </c>
      <c r="P1554" s="5" t="n"/>
    </row>
    <row r="1555">
      <c r="A1555" s="8">
        <f>IF(OR($B1555="",$C1555=""),"",IFERROR(INDEX(PM_Short,MATCH($B1555,PM_ID,0))&amp;"-"&amp;TEXT($C1555,"00"),"?? no such product"))</f>
        <v/>
      </c>
      <c r="B1555" s="5" t="n"/>
      <c r="C1555" s="5" t="n"/>
      <c r="D1555" s="8">
        <f>IF($B1555="","",IFERROR(INDEX(PM_Category,MATCH($B1555,PM_ID,0)),""))</f>
        <v/>
      </c>
      <c r="E1555" s="8">
        <f>IF($B1555="","",IFERROR(INDEX(PM_Subcategory,MATCH($B1555,PM_ID,0)),""))</f>
        <v/>
      </c>
      <c r="F1555" s="8">
        <f>IF($B1555="","",IFERROR(INDEX(PM_Brand,MATCH($B1555,PM_ID,0)),""))</f>
        <v/>
      </c>
      <c r="G1555" s="8">
        <f>IF($B1555="","",IFERROR(INDEX(PM_Model,MATCH($B1555,PM_ID,0)),""))</f>
        <v/>
      </c>
      <c r="H1555" s="5" t="n"/>
      <c r="I1555" s="10" t="n"/>
      <c r="J1555" s="9" t="n"/>
      <c r="K1555" s="5" t="n"/>
      <c r="L1555" s="5" t="n"/>
      <c r="M1555" s="5" t="n"/>
      <c r="N1555" s="5" t="n"/>
      <c r="O1555" s="8">
        <f>IF($B1555="","",IF(AND($A1555&lt;&gt;"",COUNTIF(INV_ID,$A1555)&gt;1),"⚠ this Unit ID already exists",IF(AND($H1555&lt;&gt;"",COUNTIF(INV_Serial,$H1555)&gt;1),"⚠ this serial already exists",IF(COUNTIFS(INV_Product,$B1555,INV_No,$C1555)&gt;1,"⚠ piece number reused",""))))</f>
        <v/>
      </c>
      <c r="P1555" s="5" t="n"/>
    </row>
    <row r="1556">
      <c r="A1556" s="8">
        <f>IF(OR($B1556="",$C1556=""),"",IFERROR(INDEX(PM_Short,MATCH($B1556,PM_ID,0))&amp;"-"&amp;TEXT($C1556,"00"),"?? no such product"))</f>
        <v/>
      </c>
      <c r="B1556" s="5" t="n"/>
      <c r="C1556" s="5" t="n"/>
      <c r="D1556" s="8">
        <f>IF($B1556="","",IFERROR(INDEX(PM_Category,MATCH($B1556,PM_ID,0)),""))</f>
        <v/>
      </c>
      <c r="E1556" s="8">
        <f>IF($B1556="","",IFERROR(INDEX(PM_Subcategory,MATCH($B1556,PM_ID,0)),""))</f>
        <v/>
      </c>
      <c r="F1556" s="8">
        <f>IF($B1556="","",IFERROR(INDEX(PM_Brand,MATCH($B1556,PM_ID,0)),""))</f>
        <v/>
      </c>
      <c r="G1556" s="8">
        <f>IF($B1556="","",IFERROR(INDEX(PM_Model,MATCH($B1556,PM_ID,0)),""))</f>
        <v/>
      </c>
      <c r="H1556" s="5" t="n"/>
      <c r="I1556" s="10" t="n"/>
      <c r="J1556" s="9" t="n"/>
      <c r="K1556" s="5" t="n"/>
      <c r="L1556" s="5" t="n"/>
      <c r="M1556" s="5" t="n"/>
      <c r="N1556" s="5" t="n"/>
      <c r="O1556" s="8">
        <f>IF($B1556="","",IF(AND($A1556&lt;&gt;"",COUNTIF(INV_ID,$A1556)&gt;1),"⚠ this Unit ID already exists",IF(AND($H1556&lt;&gt;"",COUNTIF(INV_Serial,$H1556)&gt;1),"⚠ this serial already exists",IF(COUNTIFS(INV_Product,$B1556,INV_No,$C1556)&gt;1,"⚠ piece number reused",""))))</f>
        <v/>
      </c>
      <c r="P1556" s="5" t="n"/>
    </row>
    <row r="1557">
      <c r="A1557" s="8">
        <f>IF(OR($B1557="",$C1557=""),"",IFERROR(INDEX(PM_Short,MATCH($B1557,PM_ID,0))&amp;"-"&amp;TEXT($C1557,"00"),"?? no such product"))</f>
        <v/>
      </c>
      <c r="B1557" s="5" t="n"/>
      <c r="C1557" s="5" t="n"/>
      <c r="D1557" s="8">
        <f>IF($B1557="","",IFERROR(INDEX(PM_Category,MATCH($B1557,PM_ID,0)),""))</f>
        <v/>
      </c>
      <c r="E1557" s="8">
        <f>IF($B1557="","",IFERROR(INDEX(PM_Subcategory,MATCH($B1557,PM_ID,0)),""))</f>
        <v/>
      </c>
      <c r="F1557" s="8">
        <f>IF($B1557="","",IFERROR(INDEX(PM_Brand,MATCH($B1557,PM_ID,0)),""))</f>
        <v/>
      </c>
      <c r="G1557" s="8">
        <f>IF($B1557="","",IFERROR(INDEX(PM_Model,MATCH($B1557,PM_ID,0)),""))</f>
        <v/>
      </c>
      <c r="H1557" s="5" t="n"/>
      <c r="I1557" s="10" t="n"/>
      <c r="J1557" s="9" t="n"/>
      <c r="K1557" s="5" t="n"/>
      <c r="L1557" s="5" t="n"/>
      <c r="M1557" s="5" t="n"/>
      <c r="N1557" s="5" t="n"/>
      <c r="O1557" s="8">
        <f>IF($B1557="","",IF(AND($A1557&lt;&gt;"",COUNTIF(INV_ID,$A1557)&gt;1),"⚠ this Unit ID already exists",IF(AND($H1557&lt;&gt;"",COUNTIF(INV_Serial,$H1557)&gt;1),"⚠ this serial already exists",IF(COUNTIFS(INV_Product,$B1557,INV_No,$C1557)&gt;1,"⚠ piece number reused",""))))</f>
        <v/>
      </c>
      <c r="P1557" s="5" t="n"/>
    </row>
    <row r="1558">
      <c r="A1558" s="8">
        <f>IF(OR($B1558="",$C1558=""),"",IFERROR(INDEX(PM_Short,MATCH($B1558,PM_ID,0))&amp;"-"&amp;TEXT($C1558,"00"),"?? no such product"))</f>
        <v/>
      </c>
      <c r="B1558" s="5" t="n"/>
      <c r="C1558" s="5" t="n"/>
      <c r="D1558" s="8">
        <f>IF($B1558="","",IFERROR(INDEX(PM_Category,MATCH($B1558,PM_ID,0)),""))</f>
        <v/>
      </c>
      <c r="E1558" s="8">
        <f>IF($B1558="","",IFERROR(INDEX(PM_Subcategory,MATCH($B1558,PM_ID,0)),""))</f>
        <v/>
      </c>
      <c r="F1558" s="8">
        <f>IF($B1558="","",IFERROR(INDEX(PM_Brand,MATCH($B1558,PM_ID,0)),""))</f>
        <v/>
      </c>
      <c r="G1558" s="8">
        <f>IF($B1558="","",IFERROR(INDEX(PM_Model,MATCH($B1558,PM_ID,0)),""))</f>
        <v/>
      </c>
      <c r="H1558" s="5" t="n"/>
      <c r="I1558" s="10" t="n"/>
      <c r="J1558" s="9" t="n"/>
      <c r="K1558" s="5" t="n"/>
      <c r="L1558" s="5" t="n"/>
      <c r="M1558" s="5" t="n"/>
      <c r="N1558" s="5" t="n"/>
      <c r="O1558" s="8">
        <f>IF($B1558="","",IF(AND($A1558&lt;&gt;"",COUNTIF(INV_ID,$A1558)&gt;1),"⚠ this Unit ID already exists",IF(AND($H1558&lt;&gt;"",COUNTIF(INV_Serial,$H1558)&gt;1),"⚠ this serial already exists",IF(COUNTIFS(INV_Product,$B1558,INV_No,$C1558)&gt;1,"⚠ piece number reused",""))))</f>
        <v/>
      </c>
      <c r="P1558" s="5" t="n"/>
    </row>
    <row r="1559">
      <c r="A1559" s="8">
        <f>IF(OR($B1559="",$C1559=""),"",IFERROR(INDEX(PM_Short,MATCH($B1559,PM_ID,0))&amp;"-"&amp;TEXT($C1559,"00"),"?? no such product"))</f>
        <v/>
      </c>
      <c r="B1559" s="5" t="n"/>
      <c r="C1559" s="5" t="n"/>
      <c r="D1559" s="8">
        <f>IF($B1559="","",IFERROR(INDEX(PM_Category,MATCH($B1559,PM_ID,0)),""))</f>
        <v/>
      </c>
      <c r="E1559" s="8">
        <f>IF($B1559="","",IFERROR(INDEX(PM_Subcategory,MATCH($B1559,PM_ID,0)),""))</f>
        <v/>
      </c>
      <c r="F1559" s="8">
        <f>IF($B1559="","",IFERROR(INDEX(PM_Brand,MATCH($B1559,PM_ID,0)),""))</f>
        <v/>
      </c>
      <c r="G1559" s="8">
        <f>IF($B1559="","",IFERROR(INDEX(PM_Model,MATCH($B1559,PM_ID,0)),""))</f>
        <v/>
      </c>
      <c r="H1559" s="5" t="n"/>
      <c r="I1559" s="10" t="n"/>
      <c r="J1559" s="9" t="n"/>
      <c r="K1559" s="5" t="n"/>
      <c r="L1559" s="5" t="n"/>
      <c r="M1559" s="5" t="n"/>
      <c r="N1559" s="5" t="n"/>
      <c r="O1559" s="8">
        <f>IF($B1559="","",IF(AND($A1559&lt;&gt;"",COUNTIF(INV_ID,$A1559)&gt;1),"⚠ this Unit ID already exists",IF(AND($H1559&lt;&gt;"",COUNTIF(INV_Serial,$H1559)&gt;1),"⚠ this serial already exists",IF(COUNTIFS(INV_Product,$B1559,INV_No,$C1559)&gt;1,"⚠ piece number reused",""))))</f>
        <v/>
      </c>
      <c r="P1559" s="5" t="n"/>
    </row>
    <row r="1560">
      <c r="A1560" s="8">
        <f>IF(OR($B1560="",$C1560=""),"",IFERROR(INDEX(PM_Short,MATCH($B1560,PM_ID,0))&amp;"-"&amp;TEXT($C1560,"00"),"?? no such product"))</f>
        <v/>
      </c>
      <c r="B1560" s="5" t="n"/>
      <c r="C1560" s="5" t="n"/>
      <c r="D1560" s="8">
        <f>IF($B1560="","",IFERROR(INDEX(PM_Category,MATCH($B1560,PM_ID,0)),""))</f>
        <v/>
      </c>
      <c r="E1560" s="8">
        <f>IF($B1560="","",IFERROR(INDEX(PM_Subcategory,MATCH($B1560,PM_ID,0)),""))</f>
        <v/>
      </c>
      <c r="F1560" s="8">
        <f>IF($B1560="","",IFERROR(INDEX(PM_Brand,MATCH($B1560,PM_ID,0)),""))</f>
        <v/>
      </c>
      <c r="G1560" s="8">
        <f>IF($B1560="","",IFERROR(INDEX(PM_Model,MATCH($B1560,PM_ID,0)),""))</f>
        <v/>
      </c>
      <c r="H1560" s="5" t="n"/>
      <c r="I1560" s="10" t="n"/>
      <c r="J1560" s="9" t="n"/>
      <c r="K1560" s="5" t="n"/>
      <c r="L1560" s="5" t="n"/>
      <c r="M1560" s="5" t="n"/>
      <c r="N1560" s="5" t="n"/>
      <c r="O1560" s="8">
        <f>IF($B1560="","",IF(AND($A1560&lt;&gt;"",COUNTIF(INV_ID,$A1560)&gt;1),"⚠ this Unit ID already exists",IF(AND($H1560&lt;&gt;"",COUNTIF(INV_Serial,$H1560)&gt;1),"⚠ this serial already exists",IF(COUNTIFS(INV_Product,$B1560,INV_No,$C1560)&gt;1,"⚠ piece number reused",""))))</f>
        <v/>
      </c>
      <c r="P1560" s="5" t="n"/>
    </row>
    <row r="1561">
      <c r="A1561" s="8">
        <f>IF(OR($B1561="",$C1561=""),"",IFERROR(INDEX(PM_Short,MATCH($B1561,PM_ID,0))&amp;"-"&amp;TEXT($C1561,"00"),"?? no such product"))</f>
        <v/>
      </c>
      <c r="B1561" s="5" t="n"/>
      <c r="C1561" s="5" t="n"/>
      <c r="D1561" s="8">
        <f>IF($B1561="","",IFERROR(INDEX(PM_Category,MATCH($B1561,PM_ID,0)),""))</f>
        <v/>
      </c>
      <c r="E1561" s="8">
        <f>IF($B1561="","",IFERROR(INDEX(PM_Subcategory,MATCH($B1561,PM_ID,0)),""))</f>
        <v/>
      </c>
      <c r="F1561" s="8">
        <f>IF($B1561="","",IFERROR(INDEX(PM_Brand,MATCH($B1561,PM_ID,0)),""))</f>
        <v/>
      </c>
      <c r="G1561" s="8">
        <f>IF($B1561="","",IFERROR(INDEX(PM_Model,MATCH($B1561,PM_ID,0)),""))</f>
        <v/>
      </c>
      <c r="H1561" s="5" t="n"/>
      <c r="I1561" s="10" t="n"/>
      <c r="J1561" s="9" t="n"/>
      <c r="K1561" s="5" t="n"/>
      <c r="L1561" s="5" t="n"/>
      <c r="M1561" s="5" t="n"/>
      <c r="N1561" s="5" t="n"/>
      <c r="O1561" s="8">
        <f>IF($B1561="","",IF(AND($A1561&lt;&gt;"",COUNTIF(INV_ID,$A1561)&gt;1),"⚠ this Unit ID already exists",IF(AND($H1561&lt;&gt;"",COUNTIF(INV_Serial,$H1561)&gt;1),"⚠ this serial already exists",IF(COUNTIFS(INV_Product,$B1561,INV_No,$C1561)&gt;1,"⚠ piece number reused",""))))</f>
        <v/>
      </c>
      <c r="P1561" s="5" t="n"/>
    </row>
    <row r="1562">
      <c r="A1562" s="8">
        <f>IF(OR($B1562="",$C1562=""),"",IFERROR(INDEX(PM_Short,MATCH($B1562,PM_ID,0))&amp;"-"&amp;TEXT($C1562,"00"),"?? no such product"))</f>
        <v/>
      </c>
      <c r="B1562" s="5" t="n"/>
      <c r="C1562" s="5" t="n"/>
      <c r="D1562" s="8">
        <f>IF($B1562="","",IFERROR(INDEX(PM_Category,MATCH($B1562,PM_ID,0)),""))</f>
        <v/>
      </c>
      <c r="E1562" s="8">
        <f>IF($B1562="","",IFERROR(INDEX(PM_Subcategory,MATCH($B1562,PM_ID,0)),""))</f>
        <v/>
      </c>
      <c r="F1562" s="8">
        <f>IF($B1562="","",IFERROR(INDEX(PM_Brand,MATCH($B1562,PM_ID,0)),""))</f>
        <v/>
      </c>
      <c r="G1562" s="8">
        <f>IF($B1562="","",IFERROR(INDEX(PM_Model,MATCH($B1562,PM_ID,0)),""))</f>
        <v/>
      </c>
      <c r="H1562" s="5" t="n"/>
      <c r="I1562" s="10" t="n"/>
      <c r="J1562" s="9" t="n"/>
      <c r="K1562" s="5" t="n"/>
      <c r="L1562" s="5" t="n"/>
      <c r="M1562" s="5" t="n"/>
      <c r="N1562" s="5" t="n"/>
      <c r="O1562" s="8">
        <f>IF($B1562="","",IF(AND($A1562&lt;&gt;"",COUNTIF(INV_ID,$A1562)&gt;1),"⚠ this Unit ID already exists",IF(AND($H1562&lt;&gt;"",COUNTIF(INV_Serial,$H1562)&gt;1),"⚠ this serial already exists",IF(COUNTIFS(INV_Product,$B1562,INV_No,$C1562)&gt;1,"⚠ piece number reused",""))))</f>
        <v/>
      </c>
      <c r="P1562" s="5" t="n"/>
    </row>
    <row r="1563">
      <c r="A1563" s="8">
        <f>IF(OR($B1563="",$C1563=""),"",IFERROR(INDEX(PM_Short,MATCH($B1563,PM_ID,0))&amp;"-"&amp;TEXT($C1563,"00"),"?? no such product"))</f>
        <v/>
      </c>
      <c r="B1563" s="5" t="n"/>
      <c r="C1563" s="5" t="n"/>
      <c r="D1563" s="8">
        <f>IF($B1563="","",IFERROR(INDEX(PM_Category,MATCH($B1563,PM_ID,0)),""))</f>
        <v/>
      </c>
      <c r="E1563" s="8">
        <f>IF($B1563="","",IFERROR(INDEX(PM_Subcategory,MATCH($B1563,PM_ID,0)),""))</f>
        <v/>
      </c>
      <c r="F1563" s="8">
        <f>IF($B1563="","",IFERROR(INDEX(PM_Brand,MATCH($B1563,PM_ID,0)),""))</f>
        <v/>
      </c>
      <c r="G1563" s="8">
        <f>IF($B1563="","",IFERROR(INDEX(PM_Model,MATCH($B1563,PM_ID,0)),""))</f>
        <v/>
      </c>
      <c r="H1563" s="5" t="n"/>
      <c r="I1563" s="10" t="n"/>
      <c r="J1563" s="9" t="n"/>
      <c r="K1563" s="5" t="n"/>
      <c r="L1563" s="5" t="n"/>
      <c r="M1563" s="5" t="n"/>
      <c r="N1563" s="5" t="n"/>
      <c r="O1563" s="8">
        <f>IF($B1563="","",IF(AND($A1563&lt;&gt;"",COUNTIF(INV_ID,$A1563)&gt;1),"⚠ this Unit ID already exists",IF(AND($H1563&lt;&gt;"",COUNTIF(INV_Serial,$H1563)&gt;1),"⚠ this serial already exists",IF(COUNTIFS(INV_Product,$B1563,INV_No,$C1563)&gt;1,"⚠ piece number reused",""))))</f>
        <v/>
      </c>
      <c r="P1563" s="5" t="n"/>
    </row>
    <row r="1564">
      <c r="A1564" s="8">
        <f>IF(OR($B1564="",$C1564=""),"",IFERROR(INDEX(PM_Short,MATCH($B1564,PM_ID,0))&amp;"-"&amp;TEXT($C1564,"00"),"?? no such product"))</f>
        <v/>
      </c>
      <c r="B1564" s="5" t="n"/>
      <c r="C1564" s="5" t="n"/>
      <c r="D1564" s="8">
        <f>IF($B1564="","",IFERROR(INDEX(PM_Category,MATCH($B1564,PM_ID,0)),""))</f>
        <v/>
      </c>
      <c r="E1564" s="8">
        <f>IF($B1564="","",IFERROR(INDEX(PM_Subcategory,MATCH($B1564,PM_ID,0)),""))</f>
        <v/>
      </c>
      <c r="F1564" s="8">
        <f>IF($B1564="","",IFERROR(INDEX(PM_Brand,MATCH($B1564,PM_ID,0)),""))</f>
        <v/>
      </c>
      <c r="G1564" s="8">
        <f>IF($B1564="","",IFERROR(INDEX(PM_Model,MATCH($B1564,PM_ID,0)),""))</f>
        <v/>
      </c>
      <c r="H1564" s="5" t="n"/>
      <c r="I1564" s="10" t="n"/>
      <c r="J1564" s="9" t="n"/>
      <c r="K1564" s="5" t="n"/>
      <c r="L1564" s="5" t="n"/>
      <c r="M1564" s="5" t="n"/>
      <c r="N1564" s="5" t="n"/>
      <c r="O1564" s="8">
        <f>IF($B1564="","",IF(AND($A1564&lt;&gt;"",COUNTIF(INV_ID,$A1564)&gt;1),"⚠ this Unit ID already exists",IF(AND($H1564&lt;&gt;"",COUNTIF(INV_Serial,$H1564)&gt;1),"⚠ this serial already exists",IF(COUNTIFS(INV_Product,$B1564,INV_No,$C1564)&gt;1,"⚠ piece number reused",""))))</f>
        <v/>
      </c>
      <c r="P1564" s="5" t="n"/>
    </row>
    <row r="1565">
      <c r="A1565" s="8">
        <f>IF(OR($B1565="",$C1565=""),"",IFERROR(INDEX(PM_Short,MATCH($B1565,PM_ID,0))&amp;"-"&amp;TEXT($C1565,"00"),"?? no such product"))</f>
        <v/>
      </c>
      <c r="B1565" s="5" t="n"/>
      <c r="C1565" s="5" t="n"/>
      <c r="D1565" s="8">
        <f>IF($B1565="","",IFERROR(INDEX(PM_Category,MATCH($B1565,PM_ID,0)),""))</f>
        <v/>
      </c>
      <c r="E1565" s="8">
        <f>IF($B1565="","",IFERROR(INDEX(PM_Subcategory,MATCH($B1565,PM_ID,0)),""))</f>
        <v/>
      </c>
      <c r="F1565" s="8">
        <f>IF($B1565="","",IFERROR(INDEX(PM_Brand,MATCH($B1565,PM_ID,0)),""))</f>
        <v/>
      </c>
      <c r="G1565" s="8">
        <f>IF($B1565="","",IFERROR(INDEX(PM_Model,MATCH($B1565,PM_ID,0)),""))</f>
        <v/>
      </c>
      <c r="H1565" s="5" t="n"/>
      <c r="I1565" s="10" t="n"/>
      <c r="J1565" s="9" t="n"/>
      <c r="K1565" s="5" t="n"/>
      <c r="L1565" s="5" t="n"/>
      <c r="M1565" s="5" t="n"/>
      <c r="N1565" s="5" t="n"/>
      <c r="O1565" s="8">
        <f>IF($B1565="","",IF(AND($A1565&lt;&gt;"",COUNTIF(INV_ID,$A1565)&gt;1),"⚠ this Unit ID already exists",IF(AND($H1565&lt;&gt;"",COUNTIF(INV_Serial,$H1565)&gt;1),"⚠ this serial already exists",IF(COUNTIFS(INV_Product,$B1565,INV_No,$C1565)&gt;1,"⚠ piece number reused",""))))</f>
        <v/>
      </c>
      <c r="P1565" s="5" t="n"/>
    </row>
    <row r="1566">
      <c r="A1566" s="8">
        <f>IF(OR($B1566="",$C1566=""),"",IFERROR(INDEX(PM_Short,MATCH($B1566,PM_ID,0))&amp;"-"&amp;TEXT($C1566,"00"),"?? no such product"))</f>
        <v/>
      </c>
      <c r="B1566" s="5" t="n"/>
      <c r="C1566" s="5" t="n"/>
      <c r="D1566" s="8">
        <f>IF($B1566="","",IFERROR(INDEX(PM_Category,MATCH($B1566,PM_ID,0)),""))</f>
        <v/>
      </c>
      <c r="E1566" s="8">
        <f>IF($B1566="","",IFERROR(INDEX(PM_Subcategory,MATCH($B1566,PM_ID,0)),""))</f>
        <v/>
      </c>
      <c r="F1566" s="8">
        <f>IF($B1566="","",IFERROR(INDEX(PM_Brand,MATCH($B1566,PM_ID,0)),""))</f>
        <v/>
      </c>
      <c r="G1566" s="8">
        <f>IF($B1566="","",IFERROR(INDEX(PM_Model,MATCH($B1566,PM_ID,0)),""))</f>
        <v/>
      </c>
      <c r="H1566" s="5" t="n"/>
      <c r="I1566" s="10" t="n"/>
      <c r="J1566" s="9" t="n"/>
      <c r="K1566" s="5" t="n"/>
      <c r="L1566" s="5" t="n"/>
      <c r="M1566" s="5" t="n"/>
      <c r="N1566" s="5" t="n"/>
      <c r="O1566" s="8">
        <f>IF($B1566="","",IF(AND($A1566&lt;&gt;"",COUNTIF(INV_ID,$A1566)&gt;1),"⚠ this Unit ID already exists",IF(AND($H1566&lt;&gt;"",COUNTIF(INV_Serial,$H1566)&gt;1),"⚠ this serial already exists",IF(COUNTIFS(INV_Product,$B1566,INV_No,$C1566)&gt;1,"⚠ piece number reused",""))))</f>
        <v/>
      </c>
      <c r="P1566" s="5" t="n"/>
    </row>
    <row r="1567">
      <c r="A1567" s="8">
        <f>IF(OR($B1567="",$C1567=""),"",IFERROR(INDEX(PM_Short,MATCH($B1567,PM_ID,0))&amp;"-"&amp;TEXT($C1567,"00"),"?? no such product"))</f>
        <v/>
      </c>
      <c r="B1567" s="5" t="n"/>
      <c r="C1567" s="5" t="n"/>
      <c r="D1567" s="8">
        <f>IF($B1567="","",IFERROR(INDEX(PM_Category,MATCH($B1567,PM_ID,0)),""))</f>
        <v/>
      </c>
      <c r="E1567" s="8">
        <f>IF($B1567="","",IFERROR(INDEX(PM_Subcategory,MATCH($B1567,PM_ID,0)),""))</f>
        <v/>
      </c>
      <c r="F1567" s="8">
        <f>IF($B1567="","",IFERROR(INDEX(PM_Brand,MATCH($B1567,PM_ID,0)),""))</f>
        <v/>
      </c>
      <c r="G1567" s="8">
        <f>IF($B1567="","",IFERROR(INDEX(PM_Model,MATCH($B1567,PM_ID,0)),""))</f>
        <v/>
      </c>
      <c r="H1567" s="5" t="n"/>
      <c r="I1567" s="10" t="n"/>
      <c r="J1567" s="9" t="n"/>
      <c r="K1567" s="5" t="n"/>
      <c r="L1567" s="5" t="n"/>
      <c r="M1567" s="5" t="n"/>
      <c r="N1567" s="5" t="n"/>
      <c r="O1567" s="8">
        <f>IF($B1567="","",IF(AND($A1567&lt;&gt;"",COUNTIF(INV_ID,$A1567)&gt;1),"⚠ this Unit ID already exists",IF(AND($H1567&lt;&gt;"",COUNTIF(INV_Serial,$H1567)&gt;1),"⚠ this serial already exists",IF(COUNTIFS(INV_Product,$B1567,INV_No,$C1567)&gt;1,"⚠ piece number reused",""))))</f>
        <v/>
      </c>
      <c r="P1567" s="5" t="n"/>
    </row>
    <row r="1568">
      <c r="A1568" s="8">
        <f>IF(OR($B1568="",$C1568=""),"",IFERROR(INDEX(PM_Short,MATCH($B1568,PM_ID,0))&amp;"-"&amp;TEXT($C1568,"00"),"?? no such product"))</f>
        <v/>
      </c>
      <c r="B1568" s="5" t="n"/>
      <c r="C1568" s="5" t="n"/>
      <c r="D1568" s="8">
        <f>IF($B1568="","",IFERROR(INDEX(PM_Category,MATCH($B1568,PM_ID,0)),""))</f>
        <v/>
      </c>
      <c r="E1568" s="8">
        <f>IF($B1568="","",IFERROR(INDEX(PM_Subcategory,MATCH($B1568,PM_ID,0)),""))</f>
        <v/>
      </c>
      <c r="F1568" s="8">
        <f>IF($B1568="","",IFERROR(INDEX(PM_Brand,MATCH($B1568,PM_ID,0)),""))</f>
        <v/>
      </c>
      <c r="G1568" s="8">
        <f>IF($B1568="","",IFERROR(INDEX(PM_Model,MATCH($B1568,PM_ID,0)),""))</f>
        <v/>
      </c>
      <c r="H1568" s="5" t="n"/>
      <c r="I1568" s="10" t="n"/>
      <c r="J1568" s="9" t="n"/>
      <c r="K1568" s="5" t="n"/>
      <c r="L1568" s="5" t="n"/>
      <c r="M1568" s="5" t="n"/>
      <c r="N1568" s="5" t="n"/>
      <c r="O1568" s="8">
        <f>IF($B1568="","",IF(AND($A1568&lt;&gt;"",COUNTIF(INV_ID,$A1568)&gt;1),"⚠ this Unit ID already exists",IF(AND($H1568&lt;&gt;"",COUNTIF(INV_Serial,$H1568)&gt;1),"⚠ this serial already exists",IF(COUNTIFS(INV_Product,$B1568,INV_No,$C1568)&gt;1,"⚠ piece number reused",""))))</f>
        <v/>
      </c>
      <c r="P1568" s="5" t="n"/>
    </row>
    <row r="1569">
      <c r="A1569" s="8">
        <f>IF(OR($B1569="",$C1569=""),"",IFERROR(INDEX(PM_Short,MATCH($B1569,PM_ID,0))&amp;"-"&amp;TEXT($C1569,"00"),"?? no such product"))</f>
        <v/>
      </c>
      <c r="B1569" s="5" t="n"/>
      <c r="C1569" s="5" t="n"/>
      <c r="D1569" s="8">
        <f>IF($B1569="","",IFERROR(INDEX(PM_Category,MATCH($B1569,PM_ID,0)),""))</f>
        <v/>
      </c>
      <c r="E1569" s="8">
        <f>IF($B1569="","",IFERROR(INDEX(PM_Subcategory,MATCH($B1569,PM_ID,0)),""))</f>
        <v/>
      </c>
      <c r="F1569" s="8">
        <f>IF($B1569="","",IFERROR(INDEX(PM_Brand,MATCH($B1569,PM_ID,0)),""))</f>
        <v/>
      </c>
      <c r="G1569" s="8">
        <f>IF($B1569="","",IFERROR(INDEX(PM_Model,MATCH($B1569,PM_ID,0)),""))</f>
        <v/>
      </c>
      <c r="H1569" s="5" t="n"/>
      <c r="I1569" s="10" t="n"/>
      <c r="J1569" s="9" t="n"/>
      <c r="K1569" s="5" t="n"/>
      <c r="L1569" s="5" t="n"/>
      <c r="M1569" s="5" t="n"/>
      <c r="N1569" s="5" t="n"/>
      <c r="O1569" s="8">
        <f>IF($B1569="","",IF(AND($A1569&lt;&gt;"",COUNTIF(INV_ID,$A1569)&gt;1),"⚠ this Unit ID already exists",IF(AND($H1569&lt;&gt;"",COUNTIF(INV_Serial,$H1569)&gt;1),"⚠ this serial already exists",IF(COUNTIFS(INV_Product,$B1569,INV_No,$C1569)&gt;1,"⚠ piece number reused",""))))</f>
        <v/>
      </c>
      <c r="P1569" s="5" t="n"/>
    </row>
    <row r="1570">
      <c r="A1570" s="8">
        <f>IF(OR($B1570="",$C1570=""),"",IFERROR(INDEX(PM_Short,MATCH($B1570,PM_ID,0))&amp;"-"&amp;TEXT($C1570,"00"),"?? no such product"))</f>
        <v/>
      </c>
      <c r="B1570" s="5" t="n"/>
      <c r="C1570" s="5" t="n"/>
      <c r="D1570" s="8">
        <f>IF($B1570="","",IFERROR(INDEX(PM_Category,MATCH($B1570,PM_ID,0)),""))</f>
        <v/>
      </c>
      <c r="E1570" s="8">
        <f>IF($B1570="","",IFERROR(INDEX(PM_Subcategory,MATCH($B1570,PM_ID,0)),""))</f>
        <v/>
      </c>
      <c r="F1570" s="8">
        <f>IF($B1570="","",IFERROR(INDEX(PM_Brand,MATCH($B1570,PM_ID,0)),""))</f>
        <v/>
      </c>
      <c r="G1570" s="8">
        <f>IF($B1570="","",IFERROR(INDEX(PM_Model,MATCH($B1570,PM_ID,0)),""))</f>
        <v/>
      </c>
      <c r="H1570" s="5" t="n"/>
      <c r="I1570" s="10" t="n"/>
      <c r="J1570" s="9" t="n"/>
      <c r="K1570" s="5" t="n"/>
      <c r="L1570" s="5" t="n"/>
      <c r="M1570" s="5" t="n"/>
      <c r="N1570" s="5" t="n"/>
      <c r="O1570" s="8">
        <f>IF($B1570="","",IF(AND($A1570&lt;&gt;"",COUNTIF(INV_ID,$A1570)&gt;1),"⚠ this Unit ID already exists",IF(AND($H1570&lt;&gt;"",COUNTIF(INV_Serial,$H1570)&gt;1),"⚠ this serial already exists",IF(COUNTIFS(INV_Product,$B1570,INV_No,$C1570)&gt;1,"⚠ piece number reused",""))))</f>
        <v/>
      </c>
      <c r="P1570" s="5" t="n"/>
    </row>
    <row r="1571">
      <c r="A1571" s="8">
        <f>IF(OR($B1571="",$C1571=""),"",IFERROR(INDEX(PM_Short,MATCH($B1571,PM_ID,0))&amp;"-"&amp;TEXT($C1571,"00"),"?? no such product"))</f>
        <v/>
      </c>
      <c r="B1571" s="5" t="n"/>
      <c r="C1571" s="5" t="n"/>
      <c r="D1571" s="8">
        <f>IF($B1571="","",IFERROR(INDEX(PM_Category,MATCH($B1571,PM_ID,0)),""))</f>
        <v/>
      </c>
      <c r="E1571" s="8">
        <f>IF($B1571="","",IFERROR(INDEX(PM_Subcategory,MATCH($B1571,PM_ID,0)),""))</f>
        <v/>
      </c>
      <c r="F1571" s="8">
        <f>IF($B1571="","",IFERROR(INDEX(PM_Brand,MATCH($B1571,PM_ID,0)),""))</f>
        <v/>
      </c>
      <c r="G1571" s="8">
        <f>IF($B1571="","",IFERROR(INDEX(PM_Model,MATCH($B1571,PM_ID,0)),""))</f>
        <v/>
      </c>
      <c r="H1571" s="5" t="n"/>
      <c r="I1571" s="10" t="n"/>
      <c r="J1571" s="9" t="n"/>
      <c r="K1571" s="5" t="n"/>
      <c r="L1571" s="5" t="n"/>
      <c r="M1571" s="5" t="n"/>
      <c r="N1571" s="5" t="n"/>
      <c r="O1571" s="8">
        <f>IF($B1571="","",IF(AND($A1571&lt;&gt;"",COUNTIF(INV_ID,$A1571)&gt;1),"⚠ this Unit ID already exists",IF(AND($H1571&lt;&gt;"",COUNTIF(INV_Serial,$H1571)&gt;1),"⚠ this serial already exists",IF(COUNTIFS(INV_Product,$B1571,INV_No,$C1571)&gt;1,"⚠ piece number reused",""))))</f>
        <v/>
      </c>
      <c r="P1571" s="5" t="n"/>
    </row>
    <row r="1572">
      <c r="A1572" s="8">
        <f>IF(OR($B1572="",$C1572=""),"",IFERROR(INDEX(PM_Short,MATCH($B1572,PM_ID,0))&amp;"-"&amp;TEXT($C1572,"00"),"?? no such product"))</f>
        <v/>
      </c>
      <c r="B1572" s="5" t="n"/>
      <c r="C1572" s="5" t="n"/>
      <c r="D1572" s="8">
        <f>IF($B1572="","",IFERROR(INDEX(PM_Category,MATCH($B1572,PM_ID,0)),""))</f>
        <v/>
      </c>
      <c r="E1572" s="8">
        <f>IF($B1572="","",IFERROR(INDEX(PM_Subcategory,MATCH($B1572,PM_ID,0)),""))</f>
        <v/>
      </c>
      <c r="F1572" s="8">
        <f>IF($B1572="","",IFERROR(INDEX(PM_Brand,MATCH($B1572,PM_ID,0)),""))</f>
        <v/>
      </c>
      <c r="G1572" s="8">
        <f>IF($B1572="","",IFERROR(INDEX(PM_Model,MATCH($B1572,PM_ID,0)),""))</f>
        <v/>
      </c>
      <c r="H1572" s="5" t="n"/>
      <c r="I1572" s="10" t="n"/>
      <c r="J1572" s="9" t="n"/>
      <c r="K1572" s="5" t="n"/>
      <c r="L1572" s="5" t="n"/>
      <c r="M1572" s="5" t="n"/>
      <c r="N1572" s="5" t="n"/>
      <c r="O1572" s="8">
        <f>IF($B1572="","",IF(AND($A1572&lt;&gt;"",COUNTIF(INV_ID,$A1572)&gt;1),"⚠ this Unit ID already exists",IF(AND($H1572&lt;&gt;"",COUNTIF(INV_Serial,$H1572)&gt;1),"⚠ this serial already exists",IF(COUNTIFS(INV_Product,$B1572,INV_No,$C1572)&gt;1,"⚠ piece number reused",""))))</f>
        <v/>
      </c>
      <c r="P1572" s="5" t="n"/>
    </row>
    <row r="1573">
      <c r="A1573" s="8">
        <f>IF(OR($B1573="",$C1573=""),"",IFERROR(INDEX(PM_Short,MATCH($B1573,PM_ID,0))&amp;"-"&amp;TEXT($C1573,"00"),"?? no such product"))</f>
        <v/>
      </c>
      <c r="B1573" s="5" t="n"/>
      <c r="C1573" s="5" t="n"/>
      <c r="D1573" s="8">
        <f>IF($B1573="","",IFERROR(INDEX(PM_Category,MATCH($B1573,PM_ID,0)),""))</f>
        <v/>
      </c>
      <c r="E1573" s="8">
        <f>IF($B1573="","",IFERROR(INDEX(PM_Subcategory,MATCH($B1573,PM_ID,0)),""))</f>
        <v/>
      </c>
      <c r="F1573" s="8">
        <f>IF($B1573="","",IFERROR(INDEX(PM_Brand,MATCH($B1573,PM_ID,0)),""))</f>
        <v/>
      </c>
      <c r="G1573" s="8">
        <f>IF($B1573="","",IFERROR(INDEX(PM_Model,MATCH($B1573,PM_ID,0)),""))</f>
        <v/>
      </c>
      <c r="H1573" s="5" t="n"/>
      <c r="I1573" s="10" t="n"/>
      <c r="J1573" s="9" t="n"/>
      <c r="K1573" s="5" t="n"/>
      <c r="L1573" s="5" t="n"/>
      <c r="M1573" s="5" t="n"/>
      <c r="N1573" s="5" t="n"/>
      <c r="O1573" s="8">
        <f>IF($B1573="","",IF(AND($A1573&lt;&gt;"",COUNTIF(INV_ID,$A1573)&gt;1),"⚠ this Unit ID already exists",IF(AND($H1573&lt;&gt;"",COUNTIF(INV_Serial,$H1573)&gt;1),"⚠ this serial already exists",IF(COUNTIFS(INV_Product,$B1573,INV_No,$C1573)&gt;1,"⚠ piece number reused",""))))</f>
        <v/>
      </c>
      <c r="P1573" s="5" t="n"/>
    </row>
    <row r="1574">
      <c r="A1574" s="8">
        <f>IF(OR($B1574="",$C1574=""),"",IFERROR(INDEX(PM_Short,MATCH($B1574,PM_ID,0))&amp;"-"&amp;TEXT($C1574,"00"),"?? no such product"))</f>
        <v/>
      </c>
      <c r="B1574" s="5" t="n"/>
      <c r="C1574" s="5" t="n"/>
      <c r="D1574" s="8">
        <f>IF($B1574="","",IFERROR(INDEX(PM_Category,MATCH($B1574,PM_ID,0)),""))</f>
        <v/>
      </c>
      <c r="E1574" s="8">
        <f>IF($B1574="","",IFERROR(INDEX(PM_Subcategory,MATCH($B1574,PM_ID,0)),""))</f>
        <v/>
      </c>
      <c r="F1574" s="8">
        <f>IF($B1574="","",IFERROR(INDEX(PM_Brand,MATCH($B1574,PM_ID,0)),""))</f>
        <v/>
      </c>
      <c r="G1574" s="8">
        <f>IF($B1574="","",IFERROR(INDEX(PM_Model,MATCH($B1574,PM_ID,0)),""))</f>
        <v/>
      </c>
      <c r="H1574" s="5" t="n"/>
      <c r="I1574" s="10" t="n"/>
      <c r="J1574" s="9" t="n"/>
      <c r="K1574" s="5" t="n"/>
      <c r="L1574" s="5" t="n"/>
      <c r="M1574" s="5" t="n"/>
      <c r="N1574" s="5" t="n"/>
      <c r="O1574" s="8">
        <f>IF($B1574="","",IF(AND($A1574&lt;&gt;"",COUNTIF(INV_ID,$A1574)&gt;1),"⚠ this Unit ID already exists",IF(AND($H1574&lt;&gt;"",COUNTIF(INV_Serial,$H1574)&gt;1),"⚠ this serial already exists",IF(COUNTIFS(INV_Product,$B1574,INV_No,$C1574)&gt;1,"⚠ piece number reused",""))))</f>
        <v/>
      </c>
      <c r="P1574" s="5" t="n"/>
    </row>
    <row r="1575">
      <c r="A1575" s="8">
        <f>IF(OR($B1575="",$C1575=""),"",IFERROR(INDEX(PM_Short,MATCH($B1575,PM_ID,0))&amp;"-"&amp;TEXT($C1575,"00"),"?? no such product"))</f>
        <v/>
      </c>
      <c r="B1575" s="5" t="n"/>
      <c r="C1575" s="5" t="n"/>
      <c r="D1575" s="8">
        <f>IF($B1575="","",IFERROR(INDEX(PM_Category,MATCH($B1575,PM_ID,0)),""))</f>
        <v/>
      </c>
      <c r="E1575" s="8">
        <f>IF($B1575="","",IFERROR(INDEX(PM_Subcategory,MATCH($B1575,PM_ID,0)),""))</f>
        <v/>
      </c>
      <c r="F1575" s="8">
        <f>IF($B1575="","",IFERROR(INDEX(PM_Brand,MATCH($B1575,PM_ID,0)),""))</f>
        <v/>
      </c>
      <c r="G1575" s="8">
        <f>IF($B1575="","",IFERROR(INDEX(PM_Model,MATCH($B1575,PM_ID,0)),""))</f>
        <v/>
      </c>
      <c r="H1575" s="5" t="n"/>
      <c r="I1575" s="10" t="n"/>
      <c r="J1575" s="9" t="n"/>
      <c r="K1575" s="5" t="n"/>
      <c r="L1575" s="5" t="n"/>
      <c r="M1575" s="5" t="n"/>
      <c r="N1575" s="5" t="n"/>
      <c r="O1575" s="8">
        <f>IF($B1575="","",IF(AND($A1575&lt;&gt;"",COUNTIF(INV_ID,$A1575)&gt;1),"⚠ this Unit ID already exists",IF(AND($H1575&lt;&gt;"",COUNTIF(INV_Serial,$H1575)&gt;1),"⚠ this serial already exists",IF(COUNTIFS(INV_Product,$B1575,INV_No,$C1575)&gt;1,"⚠ piece number reused",""))))</f>
        <v/>
      </c>
      <c r="P1575" s="5" t="n"/>
    </row>
    <row r="1576">
      <c r="A1576" s="8">
        <f>IF(OR($B1576="",$C1576=""),"",IFERROR(INDEX(PM_Short,MATCH($B1576,PM_ID,0))&amp;"-"&amp;TEXT($C1576,"00"),"?? no such product"))</f>
        <v/>
      </c>
      <c r="B1576" s="5" t="n"/>
      <c r="C1576" s="5" t="n"/>
      <c r="D1576" s="8">
        <f>IF($B1576="","",IFERROR(INDEX(PM_Category,MATCH($B1576,PM_ID,0)),""))</f>
        <v/>
      </c>
      <c r="E1576" s="8">
        <f>IF($B1576="","",IFERROR(INDEX(PM_Subcategory,MATCH($B1576,PM_ID,0)),""))</f>
        <v/>
      </c>
      <c r="F1576" s="8">
        <f>IF($B1576="","",IFERROR(INDEX(PM_Brand,MATCH($B1576,PM_ID,0)),""))</f>
        <v/>
      </c>
      <c r="G1576" s="8">
        <f>IF($B1576="","",IFERROR(INDEX(PM_Model,MATCH($B1576,PM_ID,0)),""))</f>
        <v/>
      </c>
      <c r="H1576" s="5" t="n"/>
      <c r="I1576" s="10" t="n"/>
      <c r="J1576" s="9" t="n"/>
      <c r="K1576" s="5" t="n"/>
      <c r="L1576" s="5" t="n"/>
      <c r="M1576" s="5" t="n"/>
      <c r="N1576" s="5" t="n"/>
      <c r="O1576" s="8">
        <f>IF($B1576="","",IF(AND($A1576&lt;&gt;"",COUNTIF(INV_ID,$A1576)&gt;1),"⚠ this Unit ID already exists",IF(AND($H1576&lt;&gt;"",COUNTIF(INV_Serial,$H1576)&gt;1),"⚠ this serial already exists",IF(COUNTIFS(INV_Product,$B1576,INV_No,$C1576)&gt;1,"⚠ piece number reused",""))))</f>
        <v/>
      </c>
      <c r="P1576" s="5" t="n"/>
    </row>
    <row r="1577">
      <c r="A1577" s="8">
        <f>IF(OR($B1577="",$C1577=""),"",IFERROR(INDEX(PM_Short,MATCH($B1577,PM_ID,0))&amp;"-"&amp;TEXT($C1577,"00"),"?? no such product"))</f>
        <v/>
      </c>
      <c r="B1577" s="5" t="n"/>
      <c r="C1577" s="5" t="n"/>
      <c r="D1577" s="8">
        <f>IF($B1577="","",IFERROR(INDEX(PM_Category,MATCH($B1577,PM_ID,0)),""))</f>
        <v/>
      </c>
      <c r="E1577" s="8">
        <f>IF($B1577="","",IFERROR(INDEX(PM_Subcategory,MATCH($B1577,PM_ID,0)),""))</f>
        <v/>
      </c>
      <c r="F1577" s="8">
        <f>IF($B1577="","",IFERROR(INDEX(PM_Brand,MATCH($B1577,PM_ID,0)),""))</f>
        <v/>
      </c>
      <c r="G1577" s="8">
        <f>IF($B1577="","",IFERROR(INDEX(PM_Model,MATCH($B1577,PM_ID,0)),""))</f>
        <v/>
      </c>
      <c r="H1577" s="5" t="n"/>
      <c r="I1577" s="10" t="n"/>
      <c r="J1577" s="9" t="n"/>
      <c r="K1577" s="5" t="n"/>
      <c r="L1577" s="5" t="n"/>
      <c r="M1577" s="5" t="n"/>
      <c r="N1577" s="5" t="n"/>
      <c r="O1577" s="8">
        <f>IF($B1577="","",IF(AND($A1577&lt;&gt;"",COUNTIF(INV_ID,$A1577)&gt;1),"⚠ this Unit ID already exists",IF(AND($H1577&lt;&gt;"",COUNTIF(INV_Serial,$H1577)&gt;1),"⚠ this serial already exists",IF(COUNTIFS(INV_Product,$B1577,INV_No,$C1577)&gt;1,"⚠ piece number reused",""))))</f>
        <v/>
      </c>
      <c r="P1577" s="5" t="n"/>
    </row>
    <row r="1578">
      <c r="A1578" s="8">
        <f>IF(OR($B1578="",$C1578=""),"",IFERROR(INDEX(PM_Short,MATCH($B1578,PM_ID,0))&amp;"-"&amp;TEXT($C1578,"00"),"?? no such product"))</f>
        <v/>
      </c>
      <c r="B1578" s="5" t="n"/>
      <c r="C1578" s="5" t="n"/>
      <c r="D1578" s="8">
        <f>IF($B1578="","",IFERROR(INDEX(PM_Category,MATCH($B1578,PM_ID,0)),""))</f>
        <v/>
      </c>
      <c r="E1578" s="8">
        <f>IF($B1578="","",IFERROR(INDEX(PM_Subcategory,MATCH($B1578,PM_ID,0)),""))</f>
        <v/>
      </c>
      <c r="F1578" s="8">
        <f>IF($B1578="","",IFERROR(INDEX(PM_Brand,MATCH($B1578,PM_ID,0)),""))</f>
        <v/>
      </c>
      <c r="G1578" s="8">
        <f>IF($B1578="","",IFERROR(INDEX(PM_Model,MATCH($B1578,PM_ID,0)),""))</f>
        <v/>
      </c>
      <c r="H1578" s="5" t="n"/>
      <c r="I1578" s="10" t="n"/>
      <c r="J1578" s="9" t="n"/>
      <c r="K1578" s="5" t="n"/>
      <c r="L1578" s="5" t="n"/>
      <c r="M1578" s="5" t="n"/>
      <c r="N1578" s="5" t="n"/>
      <c r="O1578" s="8">
        <f>IF($B1578="","",IF(AND($A1578&lt;&gt;"",COUNTIF(INV_ID,$A1578)&gt;1),"⚠ this Unit ID already exists",IF(AND($H1578&lt;&gt;"",COUNTIF(INV_Serial,$H1578)&gt;1),"⚠ this serial already exists",IF(COUNTIFS(INV_Product,$B1578,INV_No,$C1578)&gt;1,"⚠ piece number reused",""))))</f>
        <v/>
      </c>
      <c r="P1578" s="5" t="n"/>
    </row>
    <row r="1579">
      <c r="A1579" s="8">
        <f>IF(OR($B1579="",$C1579=""),"",IFERROR(INDEX(PM_Short,MATCH($B1579,PM_ID,0))&amp;"-"&amp;TEXT($C1579,"00"),"?? no such product"))</f>
        <v/>
      </c>
      <c r="B1579" s="5" t="n"/>
      <c r="C1579" s="5" t="n"/>
      <c r="D1579" s="8">
        <f>IF($B1579="","",IFERROR(INDEX(PM_Category,MATCH($B1579,PM_ID,0)),""))</f>
        <v/>
      </c>
      <c r="E1579" s="8">
        <f>IF($B1579="","",IFERROR(INDEX(PM_Subcategory,MATCH($B1579,PM_ID,0)),""))</f>
        <v/>
      </c>
      <c r="F1579" s="8">
        <f>IF($B1579="","",IFERROR(INDEX(PM_Brand,MATCH($B1579,PM_ID,0)),""))</f>
        <v/>
      </c>
      <c r="G1579" s="8">
        <f>IF($B1579="","",IFERROR(INDEX(PM_Model,MATCH($B1579,PM_ID,0)),""))</f>
        <v/>
      </c>
      <c r="H1579" s="5" t="n"/>
      <c r="I1579" s="10" t="n"/>
      <c r="J1579" s="9" t="n"/>
      <c r="K1579" s="5" t="n"/>
      <c r="L1579" s="5" t="n"/>
      <c r="M1579" s="5" t="n"/>
      <c r="N1579" s="5" t="n"/>
      <c r="O1579" s="8">
        <f>IF($B1579="","",IF(AND($A1579&lt;&gt;"",COUNTIF(INV_ID,$A1579)&gt;1),"⚠ this Unit ID already exists",IF(AND($H1579&lt;&gt;"",COUNTIF(INV_Serial,$H1579)&gt;1),"⚠ this serial already exists",IF(COUNTIFS(INV_Product,$B1579,INV_No,$C1579)&gt;1,"⚠ piece number reused",""))))</f>
        <v/>
      </c>
      <c r="P1579" s="5" t="n"/>
    </row>
    <row r="1580">
      <c r="A1580" s="8">
        <f>IF(OR($B1580="",$C1580=""),"",IFERROR(INDEX(PM_Short,MATCH($B1580,PM_ID,0))&amp;"-"&amp;TEXT($C1580,"00"),"?? no such product"))</f>
        <v/>
      </c>
      <c r="B1580" s="5" t="n"/>
      <c r="C1580" s="5" t="n"/>
      <c r="D1580" s="8">
        <f>IF($B1580="","",IFERROR(INDEX(PM_Category,MATCH($B1580,PM_ID,0)),""))</f>
        <v/>
      </c>
      <c r="E1580" s="8">
        <f>IF($B1580="","",IFERROR(INDEX(PM_Subcategory,MATCH($B1580,PM_ID,0)),""))</f>
        <v/>
      </c>
      <c r="F1580" s="8">
        <f>IF($B1580="","",IFERROR(INDEX(PM_Brand,MATCH($B1580,PM_ID,0)),""))</f>
        <v/>
      </c>
      <c r="G1580" s="8">
        <f>IF($B1580="","",IFERROR(INDEX(PM_Model,MATCH($B1580,PM_ID,0)),""))</f>
        <v/>
      </c>
      <c r="H1580" s="5" t="n"/>
      <c r="I1580" s="10" t="n"/>
      <c r="J1580" s="9" t="n"/>
      <c r="K1580" s="5" t="n"/>
      <c r="L1580" s="5" t="n"/>
      <c r="M1580" s="5" t="n"/>
      <c r="N1580" s="5" t="n"/>
      <c r="O1580" s="8">
        <f>IF($B1580="","",IF(AND($A1580&lt;&gt;"",COUNTIF(INV_ID,$A1580)&gt;1),"⚠ this Unit ID already exists",IF(AND($H1580&lt;&gt;"",COUNTIF(INV_Serial,$H1580)&gt;1),"⚠ this serial already exists",IF(COUNTIFS(INV_Product,$B1580,INV_No,$C1580)&gt;1,"⚠ piece number reused",""))))</f>
        <v/>
      </c>
      <c r="P1580" s="5" t="n"/>
    </row>
    <row r="1581">
      <c r="A1581" s="8">
        <f>IF(OR($B1581="",$C1581=""),"",IFERROR(INDEX(PM_Short,MATCH($B1581,PM_ID,0))&amp;"-"&amp;TEXT($C1581,"00"),"?? no such product"))</f>
        <v/>
      </c>
      <c r="B1581" s="5" t="n"/>
      <c r="C1581" s="5" t="n"/>
      <c r="D1581" s="8">
        <f>IF($B1581="","",IFERROR(INDEX(PM_Category,MATCH($B1581,PM_ID,0)),""))</f>
        <v/>
      </c>
      <c r="E1581" s="8">
        <f>IF($B1581="","",IFERROR(INDEX(PM_Subcategory,MATCH($B1581,PM_ID,0)),""))</f>
        <v/>
      </c>
      <c r="F1581" s="8">
        <f>IF($B1581="","",IFERROR(INDEX(PM_Brand,MATCH($B1581,PM_ID,0)),""))</f>
        <v/>
      </c>
      <c r="G1581" s="8">
        <f>IF($B1581="","",IFERROR(INDEX(PM_Model,MATCH($B1581,PM_ID,0)),""))</f>
        <v/>
      </c>
      <c r="H1581" s="5" t="n"/>
      <c r="I1581" s="10" t="n"/>
      <c r="J1581" s="9" t="n"/>
      <c r="K1581" s="5" t="n"/>
      <c r="L1581" s="5" t="n"/>
      <c r="M1581" s="5" t="n"/>
      <c r="N1581" s="5" t="n"/>
      <c r="O1581" s="8">
        <f>IF($B1581="","",IF(AND($A1581&lt;&gt;"",COUNTIF(INV_ID,$A1581)&gt;1),"⚠ this Unit ID already exists",IF(AND($H1581&lt;&gt;"",COUNTIF(INV_Serial,$H1581)&gt;1),"⚠ this serial already exists",IF(COUNTIFS(INV_Product,$B1581,INV_No,$C1581)&gt;1,"⚠ piece number reused",""))))</f>
        <v/>
      </c>
      <c r="P1581" s="5" t="n"/>
    </row>
    <row r="1582">
      <c r="A1582" s="8">
        <f>IF(OR($B1582="",$C1582=""),"",IFERROR(INDEX(PM_Short,MATCH($B1582,PM_ID,0))&amp;"-"&amp;TEXT($C1582,"00"),"?? no such product"))</f>
        <v/>
      </c>
      <c r="B1582" s="5" t="n"/>
      <c r="C1582" s="5" t="n"/>
      <c r="D1582" s="8">
        <f>IF($B1582="","",IFERROR(INDEX(PM_Category,MATCH($B1582,PM_ID,0)),""))</f>
        <v/>
      </c>
      <c r="E1582" s="8">
        <f>IF($B1582="","",IFERROR(INDEX(PM_Subcategory,MATCH($B1582,PM_ID,0)),""))</f>
        <v/>
      </c>
      <c r="F1582" s="8">
        <f>IF($B1582="","",IFERROR(INDEX(PM_Brand,MATCH($B1582,PM_ID,0)),""))</f>
        <v/>
      </c>
      <c r="G1582" s="8">
        <f>IF($B1582="","",IFERROR(INDEX(PM_Model,MATCH($B1582,PM_ID,0)),""))</f>
        <v/>
      </c>
      <c r="H1582" s="5" t="n"/>
      <c r="I1582" s="10" t="n"/>
      <c r="J1582" s="9" t="n"/>
      <c r="K1582" s="5" t="n"/>
      <c r="L1582" s="5" t="n"/>
      <c r="M1582" s="5" t="n"/>
      <c r="N1582" s="5" t="n"/>
      <c r="O1582" s="8">
        <f>IF($B1582="","",IF(AND($A1582&lt;&gt;"",COUNTIF(INV_ID,$A1582)&gt;1),"⚠ this Unit ID already exists",IF(AND($H1582&lt;&gt;"",COUNTIF(INV_Serial,$H1582)&gt;1),"⚠ this serial already exists",IF(COUNTIFS(INV_Product,$B1582,INV_No,$C1582)&gt;1,"⚠ piece number reused",""))))</f>
        <v/>
      </c>
      <c r="P1582" s="5" t="n"/>
    </row>
    <row r="1583">
      <c r="A1583" s="8">
        <f>IF(OR($B1583="",$C1583=""),"",IFERROR(INDEX(PM_Short,MATCH($B1583,PM_ID,0))&amp;"-"&amp;TEXT($C1583,"00"),"?? no such product"))</f>
        <v/>
      </c>
      <c r="B1583" s="5" t="n"/>
      <c r="C1583" s="5" t="n"/>
      <c r="D1583" s="8">
        <f>IF($B1583="","",IFERROR(INDEX(PM_Category,MATCH($B1583,PM_ID,0)),""))</f>
        <v/>
      </c>
      <c r="E1583" s="8">
        <f>IF($B1583="","",IFERROR(INDEX(PM_Subcategory,MATCH($B1583,PM_ID,0)),""))</f>
        <v/>
      </c>
      <c r="F1583" s="8">
        <f>IF($B1583="","",IFERROR(INDEX(PM_Brand,MATCH($B1583,PM_ID,0)),""))</f>
        <v/>
      </c>
      <c r="G1583" s="8">
        <f>IF($B1583="","",IFERROR(INDEX(PM_Model,MATCH($B1583,PM_ID,0)),""))</f>
        <v/>
      </c>
      <c r="H1583" s="5" t="n"/>
      <c r="I1583" s="10" t="n"/>
      <c r="J1583" s="9" t="n"/>
      <c r="K1583" s="5" t="n"/>
      <c r="L1583" s="5" t="n"/>
      <c r="M1583" s="5" t="n"/>
      <c r="N1583" s="5" t="n"/>
      <c r="O1583" s="8">
        <f>IF($B1583="","",IF(AND($A1583&lt;&gt;"",COUNTIF(INV_ID,$A1583)&gt;1),"⚠ this Unit ID already exists",IF(AND($H1583&lt;&gt;"",COUNTIF(INV_Serial,$H1583)&gt;1),"⚠ this serial already exists",IF(COUNTIFS(INV_Product,$B1583,INV_No,$C1583)&gt;1,"⚠ piece number reused",""))))</f>
        <v/>
      </c>
      <c r="P1583" s="5" t="n"/>
    </row>
    <row r="1584">
      <c r="A1584" s="8">
        <f>IF(OR($B1584="",$C1584=""),"",IFERROR(INDEX(PM_Short,MATCH($B1584,PM_ID,0))&amp;"-"&amp;TEXT($C1584,"00"),"?? no such product"))</f>
        <v/>
      </c>
      <c r="B1584" s="5" t="n"/>
      <c r="C1584" s="5" t="n"/>
      <c r="D1584" s="8">
        <f>IF($B1584="","",IFERROR(INDEX(PM_Category,MATCH($B1584,PM_ID,0)),""))</f>
        <v/>
      </c>
      <c r="E1584" s="8">
        <f>IF($B1584="","",IFERROR(INDEX(PM_Subcategory,MATCH($B1584,PM_ID,0)),""))</f>
        <v/>
      </c>
      <c r="F1584" s="8">
        <f>IF($B1584="","",IFERROR(INDEX(PM_Brand,MATCH($B1584,PM_ID,0)),""))</f>
        <v/>
      </c>
      <c r="G1584" s="8">
        <f>IF($B1584="","",IFERROR(INDEX(PM_Model,MATCH($B1584,PM_ID,0)),""))</f>
        <v/>
      </c>
      <c r="H1584" s="5" t="n"/>
      <c r="I1584" s="10" t="n"/>
      <c r="J1584" s="9" t="n"/>
      <c r="K1584" s="5" t="n"/>
      <c r="L1584" s="5" t="n"/>
      <c r="M1584" s="5" t="n"/>
      <c r="N1584" s="5" t="n"/>
      <c r="O1584" s="8">
        <f>IF($B1584="","",IF(AND($A1584&lt;&gt;"",COUNTIF(INV_ID,$A1584)&gt;1),"⚠ this Unit ID already exists",IF(AND($H1584&lt;&gt;"",COUNTIF(INV_Serial,$H1584)&gt;1),"⚠ this serial already exists",IF(COUNTIFS(INV_Product,$B1584,INV_No,$C1584)&gt;1,"⚠ piece number reused",""))))</f>
        <v/>
      </c>
      <c r="P1584" s="5" t="n"/>
    </row>
    <row r="1585">
      <c r="A1585" s="8">
        <f>IF(OR($B1585="",$C1585=""),"",IFERROR(INDEX(PM_Short,MATCH($B1585,PM_ID,0))&amp;"-"&amp;TEXT($C1585,"00"),"?? no such product"))</f>
        <v/>
      </c>
      <c r="B1585" s="5" t="n"/>
      <c r="C1585" s="5" t="n"/>
      <c r="D1585" s="8">
        <f>IF($B1585="","",IFERROR(INDEX(PM_Category,MATCH($B1585,PM_ID,0)),""))</f>
        <v/>
      </c>
      <c r="E1585" s="8">
        <f>IF($B1585="","",IFERROR(INDEX(PM_Subcategory,MATCH($B1585,PM_ID,0)),""))</f>
        <v/>
      </c>
      <c r="F1585" s="8">
        <f>IF($B1585="","",IFERROR(INDEX(PM_Brand,MATCH($B1585,PM_ID,0)),""))</f>
        <v/>
      </c>
      <c r="G1585" s="8">
        <f>IF($B1585="","",IFERROR(INDEX(PM_Model,MATCH($B1585,PM_ID,0)),""))</f>
        <v/>
      </c>
      <c r="H1585" s="5" t="n"/>
      <c r="I1585" s="10" t="n"/>
      <c r="J1585" s="9" t="n"/>
      <c r="K1585" s="5" t="n"/>
      <c r="L1585" s="5" t="n"/>
      <c r="M1585" s="5" t="n"/>
      <c r="N1585" s="5" t="n"/>
      <c r="O1585" s="8">
        <f>IF($B1585="","",IF(AND($A1585&lt;&gt;"",COUNTIF(INV_ID,$A1585)&gt;1),"⚠ this Unit ID already exists",IF(AND($H1585&lt;&gt;"",COUNTIF(INV_Serial,$H1585)&gt;1),"⚠ this serial already exists",IF(COUNTIFS(INV_Product,$B1585,INV_No,$C1585)&gt;1,"⚠ piece number reused",""))))</f>
        <v/>
      </c>
      <c r="P1585" s="5" t="n"/>
    </row>
    <row r="1586">
      <c r="A1586" s="8">
        <f>IF(OR($B1586="",$C1586=""),"",IFERROR(INDEX(PM_Short,MATCH($B1586,PM_ID,0))&amp;"-"&amp;TEXT($C1586,"00"),"?? no such product"))</f>
        <v/>
      </c>
      <c r="B1586" s="5" t="n"/>
      <c r="C1586" s="5" t="n"/>
      <c r="D1586" s="8">
        <f>IF($B1586="","",IFERROR(INDEX(PM_Category,MATCH($B1586,PM_ID,0)),""))</f>
        <v/>
      </c>
      <c r="E1586" s="8">
        <f>IF($B1586="","",IFERROR(INDEX(PM_Subcategory,MATCH($B1586,PM_ID,0)),""))</f>
        <v/>
      </c>
      <c r="F1586" s="8">
        <f>IF($B1586="","",IFERROR(INDEX(PM_Brand,MATCH($B1586,PM_ID,0)),""))</f>
        <v/>
      </c>
      <c r="G1586" s="8">
        <f>IF($B1586="","",IFERROR(INDEX(PM_Model,MATCH($B1586,PM_ID,0)),""))</f>
        <v/>
      </c>
      <c r="H1586" s="5" t="n"/>
      <c r="I1586" s="10" t="n"/>
      <c r="J1586" s="9" t="n"/>
      <c r="K1586" s="5" t="n"/>
      <c r="L1586" s="5" t="n"/>
      <c r="M1586" s="5" t="n"/>
      <c r="N1586" s="5" t="n"/>
      <c r="O1586" s="8">
        <f>IF($B1586="","",IF(AND($A1586&lt;&gt;"",COUNTIF(INV_ID,$A1586)&gt;1),"⚠ this Unit ID already exists",IF(AND($H1586&lt;&gt;"",COUNTIF(INV_Serial,$H1586)&gt;1),"⚠ this serial already exists",IF(COUNTIFS(INV_Product,$B1586,INV_No,$C1586)&gt;1,"⚠ piece number reused",""))))</f>
        <v/>
      </c>
      <c r="P1586" s="5" t="n"/>
    </row>
    <row r="1587">
      <c r="A1587" s="8">
        <f>IF(OR($B1587="",$C1587=""),"",IFERROR(INDEX(PM_Short,MATCH($B1587,PM_ID,0))&amp;"-"&amp;TEXT($C1587,"00"),"?? no such product"))</f>
        <v/>
      </c>
      <c r="B1587" s="5" t="n"/>
      <c r="C1587" s="5" t="n"/>
      <c r="D1587" s="8">
        <f>IF($B1587="","",IFERROR(INDEX(PM_Category,MATCH($B1587,PM_ID,0)),""))</f>
        <v/>
      </c>
      <c r="E1587" s="8">
        <f>IF($B1587="","",IFERROR(INDEX(PM_Subcategory,MATCH($B1587,PM_ID,0)),""))</f>
        <v/>
      </c>
      <c r="F1587" s="8">
        <f>IF($B1587="","",IFERROR(INDEX(PM_Brand,MATCH($B1587,PM_ID,0)),""))</f>
        <v/>
      </c>
      <c r="G1587" s="8">
        <f>IF($B1587="","",IFERROR(INDEX(PM_Model,MATCH($B1587,PM_ID,0)),""))</f>
        <v/>
      </c>
      <c r="H1587" s="5" t="n"/>
      <c r="I1587" s="10" t="n"/>
      <c r="J1587" s="9" t="n"/>
      <c r="K1587" s="5" t="n"/>
      <c r="L1587" s="5" t="n"/>
      <c r="M1587" s="5" t="n"/>
      <c r="N1587" s="5" t="n"/>
      <c r="O1587" s="8">
        <f>IF($B1587="","",IF(AND($A1587&lt;&gt;"",COUNTIF(INV_ID,$A1587)&gt;1),"⚠ this Unit ID already exists",IF(AND($H1587&lt;&gt;"",COUNTIF(INV_Serial,$H1587)&gt;1),"⚠ this serial already exists",IF(COUNTIFS(INV_Product,$B1587,INV_No,$C1587)&gt;1,"⚠ piece number reused",""))))</f>
        <v/>
      </c>
      <c r="P1587" s="5" t="n"/>
    </row>
    <row r="1588">
      <c r="A1588" s="8">
        <f>IF(OR($B1588="",$C1588=""),"",IFERROR(INDEX(PM_Short,MATCH($B1588,PM_ID,0))&amp;"-"&amp;TEXT($C1588,"00"),"?? no such product"))</f>
        <v/>
      </c>
      <c r="B1588" s="5" t="n"/>
      <c r="C1588" s="5" t="n"/>
      <c r="D1588" s="8">
        <f>IF($B1588="","",IFERROR(INDEX(PM_Category,MATCH($B1588,PM_ID,0)),""))</f>
        <v/>
      </c>
      <c r="E1588" s="8">
        <f>IF($B1588="","",IFERROR(INDEX(PM_Subcategory,MATCH($B1588,PM_ID,0)),""))</f>
        <v/>
      </c>
      <c r="F1588" s="8">
        <f>IF($B1588="","",IFERROR(INDEX(PM_Brand,MATCH($B1588,PM_ID,0)),""))</f>
        <v/>
      </c>
      <c r="G1588" s="8">
        <f>IF($B1588="","",IFERROR(INDEX(PM_Model,MATCH($B1588,PM_ID,0)),""))</f>
        <v/>
      </c>
      <c r="H1588" s="5" t="n"/>
      <c r="I1588" s="10" t="n"/>
      <c r="J1588" s="9" t="n"/>
      <c r="K1588" s="5" t="n"/>
      <c r="L1588" s="5" t="n"/>
      <c r="M1588" s="5" t="n"/>
      <c r="N1588" s="5" t="n"/>
      <c r="O1588" s="8">
        <f>IF($B1588="","",IF(AND($A1588&lt;&gt;"",COUNTIF(INV_ID,$A1588)&gt;1),"⚠ this Unit ID already exists",IF(AND($H1588&lt;&gt;"",COUNTIF(INV_Serial,$H1588)&gt;1),"⚠ this serial already exists",IF(COUNTIFS(INV_Product,$B1588,INV_No,$C1588)&gt;1,"⚠ piece number reused",""))))</f>
        <v/>
      </c>
      <c r="P1588" s="5" t="n"/>
    </row>
    <row r="1589">
      <c r="A1589" s="8">
        <f>IF(OR($B1589="",$C1589=""),"",IFERROR(INDEX(PM_Short,MATCH($B1589,PM_ID,0))&amp;"-"&amp;TEXT($C1589,"00"),"?? no such product"))</f>
        <v/>
      </c>
      <c r="B1589" s="5" t="n"/>
      <c r="C1589" s="5" t="n"/>
      <c r="D1589" s="8">
        <f>IF($B1589="","",IFERROR(INDEX(PM_Category,MATCH($B1589,PM_ID,0)),""))</f>
        <v/>
      </c>
      <c r="E1589" s="8">
        <f>IF($B1589="","",IFERROR(INDEX(PM_Subcategory,MATCH($B1589,PM_ID,0)),""))</f>
        <v/>
      </c>
      <c r="F1589" s="8">
        <f>IF($B1589="","",IFERROR(INDEX(PM_Brand,MATCH($B1589,PM_ID,0)),""))</f>
        <v/>
      </c>
      <c r="G1589" s="8">
        <f>IF($B1589="","",IFERROR(INDEX(PM_Model,MATCH($B1589,PM_ID,0)),""))</f>
        <v/>
      </c>
      <c r="H1589" s="5" t="n"/>
      <c r="I1589" s="10" t="n"/>
      <c r="J1589" s="9" t="n"/>
      <c r="K1589" s="5" t="n"/>
      <c r="L1589" s="5" t="n"/>
      <c r="M1589" s="5" t="n"/>
      <c r="N1589" s="5" t="n"/>
      <c r="O1589" s="8">
        <f>IF($B1589="","",IF(AND($A1589&lt;&gt;"",COUNTIF(INV_ID,$A1589)&gt;1),"⚠ this Unit ID already exists",IF(AND($H1589&lt;&gt;"",COUNTIF(INV_Serial,$H1589)&gt;1),"⚠ this serial already exists",IF(COUNTIFS(INV_Product,$B1589,INV_No,$C1589)&gt;1,"⚠ piece number reused",""))))</f>
        <v/>
      </c>
      <c r="P1589" s="5" t="n"/>
    </row>
    <row r="1590">
      <c r="A1590" s="8">
        <f>IF(OR($B1590="",$C1590=""),"",IFERROR(INDEX(PM_Short,MATCH($B1590,PM_ID,0))&amp;"-"&amp;TEXT($C1590,"00"),"?? no such product"))</f>
        <v/>
      </c>
      <c r="B1590" s="5" t="n"/>
      <c r="C1590" s="5" t="n"/>
      <c r="D1590" s="8">
        <f>IF($B1590="","",IFERROR(INDEX(PM_Category,MATCH($B1590,PM_ID,0)),""))</f>
        <v/>
      </c>
      <c r="E1590" s="8">
        <f>IF($B1590="","",IFERROR(INDEX(PM_Subcategory,MATCH($B1590,PM_ID,0)),""))</f>
        <v/>
      </c>
      <c r="F1590" s="8">
        <f>IF($B1590="","",IFERROR(INDEX(PM_Brand,MATCH($B1590,PM_ID,0)),""))</f>
        <v/>
      </c>
      <c r="G1590" s="8">
        <f>IF($B1590="","",IFERROR(INDEX(PM_Model,MATCH($B1590,PM_ID,0)),""))</f>
        <v/>
      </c>
      <c r="H1590" s="5" t="n"/>
      <c r="I1590" s="10" t="n"/>
      <c r="J1590" s="9" t="n"/>
      <c r="K1590" s="5" t="n"/>
      <c r="L1590" s="5" t="n"/>
      <c r="M1590" s="5" t="n"/>
      <c r="N1590" s="5" t="n"/>
      <c r="O1590" s="8">
        <f>IF($B1590="","",IF(AND($A1590&lt;&gt;"",COUNTIF(INV_ID,$A1590)&gt;1),"⚠ this Unit ID already exists",IF(AND($H1590&lt;&gt;"",COUNTIF(INV_Serial,$H1590)&gt;1),"⚠ this serial already exists",IF(COUNTIFS(INV_Product,$B1590,INV_No,$C1590)&gt;1,"⚠ piece number reused",""))))</f>
        <v/>
      </c>
      <c r="P1590" s="5" t="n"/>
    </row>
    <row r="1591">
      <c r="A1591" s="8">
        <f>IF(OR($B1591="",$C1591=""),"",IFERROR(INDEX(PM_Short,MATCH($B1591,PM_ID,0))&amp;"-"&amp;TEXT($C1591,"00"),"?? no such product"))</f>
        <v/>
      </c>
      <c r="B1591" s="5" t="n"/>
      <c r="C1591" s="5" t="n"/>
      <c r="D1591" s="8">
        <f>IF($B1591="","",IFERROR(INDEX(PM_Category,MATCH($B1591,PM_ID,0)),""))</f>
        <v/>
      </c>
      <c r="E1591" s="8">
        <f>IF($B1591="","",IFERROR(INDEX(PM_Subcategory,MATCH($B1591,PM_ID,0)),""))</f>
        <v/>
      </c>
      <c r="F1591" s="8">
        <f>IF($B1591="","",IFERROR(INDEX(PM_Brand,MATCH($B1591,PM_ID,0)),""))</f>
        <v/>
      </c>
      <c r="G1591" s="8">
        <f>IF($B1591="","",IFERROR(INDEX(PM_Model,MATCH($B1591,PM_ID,0)),""))</f>
        <v/>
      </c>
      <c r="H1591" s="5" t="n"/>
      <c r="I1591" s="10" t="n"/>
      <c r="J1591" s="9" t="n"/>
      <c r="K1591" s="5" t="n"/>
      <c r="L1591" s="5" t="n"/>
      <c r="M1591" s="5" t="n"/>
      <c r="N1591" s="5" t="n"/>
      <c r="O1591" s="8">
        <f>IF($B1591="","",IF(AND($A1591&lt;&gt;"",COUNTIF(INV_ID,$A1591)&gt;1),"⚠ this Unit ID already exists",IF(AND($H1591&lt;&gt;"",COUNTIF(INV_Serial,$H1591)&gt;1),"⚠ this serial already exists",IF(COUNTIFS(INV_Product,$B1591,INV_No,$C1591)&gt;1,"⚠ piece number reused",""))))</f>
        <v/>
      </c>
      <c r="P1591" s="5" t="n"/>
    </row>
    <row r="1592">
      <c r="A1592" s="8">
        <f>IF(OR($B1592="",$C1592=""),"",IFERROR(INDEX(PM_Short,MATCH($B1592,PM_ID,0))&amp;"-"&amp;TEXT($C1592,"00"),"?? no such product"))</f>
        <v/>
      </c>
      <c r="B1592" s="5" t="n"/>
      <c r="C1592" s="5" t="n"/>
      <c r="D1592" s="8">
        <f>IF($B1592="","",IFERROR(INDEX(PM_Category,MATCH($B1592,PM_ID,0)),""))</f>
        <v/>
      </c>
      <c r="E1592" s="8">
        <f>IF($B1592="","",IFERROR(INDEX(PM_Subcategory,MATCH($B1592,PM_ID,0)),""))</f>
        <v/>
      </c>
      <c r="F1592" s="8">
        <f>IF($B1592="","",IFERROR(INDEX(PM_Brand,MATCH($B1592,PM_ID,0)),""))</f>
        <v/>
      </c>
      <c r="G1592" s="8">
        <f>IF($B1592="","",IFERROR(INDEX(PM_Model,MATCH($B1592,PM_ID,0)),""))</f>
        <v/>
      </c>
      <c r="H1592" s="5" t="n"/>
      <c r="I1592" s="10" t="n"/>
      <c r="J1592" s="9" t="n"/>
      <c r="K1592" s="5" t="n"/>
      <c r="L1592" s="5" t="n"/>
      <c r="M1592" s="5" t="n"/>
      <c r="N1592" s="5" t="n"/>
      <c r="O1592" s="8">
        <f>IF($B1592="","",IF(AND($A1592&lt;&gt;"",COUNTIF(INV_ID,$A1592)&gt;1),"⚠ this Unit ID already exists",IF(AND($H1592&lt;&gt;"",COUNTIF(INV_Serial,$H1592)&gt;1),"⚠ this serial already exists",IF(COUNTIFS(INV_Product,$B1592,INV_No,$C1592)&gt;1,"⚠ piece number reused",""))))</f>
        <v/>
      </c>
      <c r="P1592" s="5" t="n"/>
    </row>
    <row r="1593">
      <c r="A1593" s="8">
        <f>IF(OR($B1593="",$C1593=""),"",IFERROR(INDEX(PM_Short,MATCH($B1593,PM_ID,0))&amp;"-"&amp;TEXT($C1593,"00"),"?? no such product"))</f>
        <v/>
      </c>
      <c r="B1593" s="5" t="n"/>
      <c r="C1593" s="5" t="n"/>
      <c r="D1593" s="8">
        <f>IF($B1593="","",IFERROR(INDEX(PM_Category,MATCH($B1593,PM_ID,0)),""))</f>
        <v/>
      </c>
      <c r="E1593" s="8">
        <f>IF($B1593="","",IFERROR(INDEX(PM_Subcategory,MATCH($B1593,PM_ID,0)),""))</f>
        <v/>
      </c>
      <c r="F1593" s="8">
        <f>IF($B1593="","",IFERROR(INDEX(PM_Brand,MATCH($B1593,PM_ID,0)),""))</f>
        <v/>
      </c>
      <c r="G1593" s="8">
        <f>IF($B1593="","",IFERROR(INDEX(PM_Model,MATCH($B1593,PM_ID,0)),""))</f>
        <v/>
      </c>
      <c r="H1593" s="5" t="n"/>
      <c r="I1593" s="10" t="n"/>
      <c r="J1593" s="9" t="n"/>
      <c r="K1593" s="5" t="n"/>
      <c r="L1593" s="5" t="n"/>
      <c r="M1593" s="5" t="n"/>
      <c r="N1593" s="5" t="n"/>
      <c r="O1593" s="8">
        <f>IF($B1593="","",IF(AND($A1593&lt;&gt;"",COUNTIF(INV_ID,$A1593)&gt;1),"⚠ this Unit ID already exists",IF(AND($H1593&lt;&gt;"",COUNTIF(INV_Serial,$H1593)&gt;1),"⚠ this serial already exists",IF(COUNTIFS(INV_Product,$B1593,INV_No,$C1593)&gt;1,"⚠ piece number reused",""))))</f>
        <v/>
      </c>
      <c r="P1593" s="5" t="n"/>
    </row>
    <row r="1594">
      <c r="A1594" s="8">
        <f>IF(OR($B1594="",$C1594=""),"",IFERROR(INDEX(PM_Short,MATCH($B1594,PM_ID,0))&amp;"-"&amp;TEXT($C1594,"00"),"?? no such product"))</f>
        <v/>
      </c>
      <c r="B1594" s="5" t="n"/>
      <c r="C1594" s="5" t="n"/>
      <c r="D1594" s="8">
        <f>IF($B1594="","",IFERROR(INDEX(PM_Category,MATCH($B1594,PM_ID,0)),""))</f>
        <v/>
      </c>
      <c r="E1594" s="8">
        <f>IF($B1594="","",IFERROR(INDEX(PM_Subcategory,MATCH($B1594,PM_ID,0)),""))</f>
        <v/>
      </c>
      <c r="F1594" s="8">
        <f>IF($B1594="","",IFERROR(INDEX(PM_Brand,MATCH($B1594,PM_ID,0)),""))</f>
        <v/>
      </c>
      <c r="G1594" s="8">
        <f>IF($B1594="","",IFERROR(INDEX(PM_Model,MATCH($B1594,PM_ID,0)),""))</f>
        <v/>
      </c>
      <c r="H1594" s="5" t="n"/>
      <c r="I1594" s="10" t="n"/>
      <c r="J1594" s="9" t="n"/>
      <c r="K1594" s="5" t="n"/>
      <c r="L1594" s="5" t="n"/>
      <c r="M1594" s="5" t="n"/>
      <c r="N1594" s="5" t="n"/>
      <c r="O1594" s="8">
        <f>IF($B1594="","",IF(AND($A1594&lt;&gt;"",COUNTIF(INV_ID,$A1594)&gt;1),"⚠ this Unit ID already exists",IF(AND($H1594&lt;&gt;"",COUNTIF(INV_Serial,$H1594)&gt;1),"⚠ this serial already exists",IF(COUNTIFS(INV_Product,$B1594,INV_No,$C1594)&gt;1,"⚠ piece number reused",""))))</f>
        <v/>
      </c>
      <c r="P1594" s="5" t="n"/>
    </row>
    <row r="1595">
      <c r="A1595" s="8">
        <f>IF(OR($B1595="",$C1595=""),"",IFERROR(INDEX(PM_Short,MATCH($B1595,PM_ID,0))&amp;"-"&amp;TEXT($C1595,"00"),"?? no such product"))</f>
        <v/>
      </c>
      <c r="B1595" s="5" t="n"/>
      <c r="C1595" s="5" t="n"/>
      <c r="D1595" s="8">
        <f>IF($B1595="","",IFERROR(INDEX(PM_Category,MATCH($B1595,PM_ID,0)),""))</f>
        <v/>
      </c>
      <c r="E1595" s="8">
        <f>IF($B1595="","",IFERROR(INDEX(PM_Subcategory,MATCH($B1595,PM_ID,0)),""))</f>
        <v/>
      </c>
      <c r="F1595" s="8">
        <f>IF($B1595="","",IFERROR(INDEX(PM_Brand,MATCH($B1595,PM_ID,0)),""))</f>
        <v/>
      </c>
      <c r="G1595" s="8">
        <f>IF($B1595="","",IFERROR(INDEX(PM_Model,MATCH($B1595,PM_ID,0)),""))</f>
        <v/>
      </c>
      <c r="H1595" s="5" t="n"/>
      <c r="I1595" s="10" t="n"/>
      <c r="J1595" s="9" t="n"/>
      <c r="K1595" s="5" t="n"/>
      <c r="L1595" s="5" t="n"/>
      <c r="M1595" s="5" t="n"/>
      <c r="N1595" s="5" t="n"/>
      <c r="O1595" s="8">
        <f>IF($B1595="","",IF(AND($A1595&lt;&gt;"",COUNTIF(INV_ID,$A1595)&gt;1),"⚠ this Unit ID already exists",IF(AND($H1595&lt;&gt;"",COUNTIF(INV_Serial,$H1595)&gt;1),"⚠ this serial already exists",IF(COUNTIFS(INV_Product,$B1595,INV_No,$C1595)&gt;1,"⚠ piece number reused",""))))</f>
        <v/>
      </c>
      <c r="P1595" s="5" t="n"/>
    </row>
    <row r="1596">
      <c r="A1596" s="8">
        <f>IF(OR($B1596="",$C1596=""),"",IFERROR(INDEX(PM_Short,MATCH($B1596,PM_ID,0))&amp;"-"&amp;TEXT($C1596,"00"),"?? no such product"))</f>
        <v/>
      </c>
      <c r="B1596" s="5" t="n"/>
      <c r="C1596" s="5" t="n"/>
      <c r="D1596" s="8">
        <f>IF($B1596="","",IFERROR(INDEX(PM_Category,MATCH($B1596,PM_ID,0)),""))</f>
        <v/>
      </c>
      <c r="E1596" s="8">
        <f>IF($B1596="","",IFERROR(INDEX(PM_Subcategory,MATCH($B1596,PM_ID,0)),""))</f>
        <v/>
      </c>
      <c r="F1596" s="8">
        <f>IF($B1596="","",IFERROR(INDEX(PM_Brand,MATCH($B1596,PM_ID,0)),""))</f>
        <v/>
      </c>
      <c r="G1596" s="8">
        <f>IF($B1596="","",IFERROR(INDEX(PM_Model,MATCH($B1596,PM_ID,0)),""))</f>
        <v/>
      </c>
      <c r="H1596" s="5" t="n"/>
      <c r="I1596" s="10" t="n"/>
      <c r="J1596" s="9" t="n"/>
      <c r="K1596" s="5" t="n"/>
      <c r="L1596" s="5" t="n"/>
      <c r="M1596" s="5" t="n"/>
      <c r="N1596" s="5" t="n"/>
      <c r="O1596" s="8">
        <f>IF($B1596="","",IF(AND($A1596&lt;&gt;"",COUNTIF(INV_ID,$A1596)&gt;1),"⚠ this Unit ID already exists",IF(AND($H1596&lt;&gt;"",COUNTIF(INV_Serial,$H1596)&gt;1),"⚠ this serial already exists",IF(COUNTIFS(INV_Product,$B1596,INV_No,$C1596)&gt;1,"⚠ piece number reused",""))))</f>
        <v/>
      </c>
      <c r="P1596" s="5" t="n"/>
    </row>
    <row r="1597">
      <c r="A1597" s="8">
        <f>IF(OR($B1597="",$C1597=""),"",IFERROR(INDEX(PM_Short,MATCH($B1597,PM_ID,0))&amp;"-"&amp;TEXT($C1597,"00"),"?? no such product"))</f>
        <v/>
      </c>
      <c r="B1597" s="5" t="n"/>
      <c r="C1597" s="5" t="n"/>
      <c r="D1597" s="8">
        <f>IF($B1597="","",IFERROR(INDEX(PM_Category,MATCH($B1597,PM_ID,0)),""))</f>
        <v/>
      </c>
      <c r="E1597" s="8">
        <f>IF($B1597="","",IFERROR(INDEX(PM_Subcategory,MATCH($B1597,PM_ID,0)),""))</f>
        <v/>
      </c>
      <c r="F1597" s="8">
        <f>IF($B1597="","",IFERROR(INDEX(PM_Brand,MATCH($B1597,PM_ID,0)),""))</f>
        <v/>
      </c>
      <c r="G1597" s="8">
        <f>IF($B1597="","",IFERROR(INDEX(PM_Model,MATCH($B1597,PM_ID,0)),""))</f>
        <v/>
      </c>
      <c r="H1597" s="5" t="n"/>
      <c r="I1597" s="10" t="n"/>
      <c r="J1597" s="9" t="n"/>
      <c r="K1597" s="5" t="n"/>
      <c r="L1597" s="5" t="n"/>
      <c r="M1597" s="5" t="n"/>
      <c r="N1597" s="5" t="n"/>
      <c r="O1597" s="8">
        <f>IF($B1597="","",IF(AND($A1597&lt;&gt;"",COUNTIF(INV_ID,$A1597)&gt;1),"⚠ this Unit ID already exists",IF(AND($H1597&lt;&gt;"",COUNTIF(INV_Serial,$H1597)&gt;1),"⚠ this serial already exists",IF(COUNTIFS(INV_Product,$B1597,INV_No,$C1597)&gt;1,"⚠ piece number reused",""))))</f>
        <v/>
      </c>
      <c r="P1597" s="5" t="n"/>
    </row>
    <row r="1598">
      <c r="A1598" s="8">
        <f>IF(OR($B1598="",$C1598=""),"",IFERROR(INDEX(PM_Short,MATCH($B1598,PM_ID,0))&amp;"-"&amp;TEXT($C1598,"00"),"?? no such product"))</f>
        <v/>
      </c>
      <c r="B1598" s="5" t="n"/>
      <c r="C1598" s="5" t="n"/>
      <c r="D1598" s="8">
        <f>IF($B1598="","",IFERROR(INDEX(PM_Category,MATCH($B1598,PM_ID,0)),""))</f>
        <v/>
      </c>
      <c r="E1598" s="8">
        <f>IF($B1598="","",IFERROR(INDEX(PM_Subcategory,MATCH($B1598,PM_ID,0)),""))</f>
        <v/>
      </c>
      <c r="F1598" s="8">
        <f>IF($B1598="","",IFERROR(INDEX(PM_Brand,MATCH($B1598,PM_ID,0)),""))</f>
        <v/>
      </c>
      <c r="G1598" s="8">
        <f>IF($B1598="","",IFERROR(INDEX(PM_Model,MATCH($B1598,PM_ID,0)),""))</f>
        <v/>
      </c>
      <c r="H1598" s="5" t="n"/>
      <c r="I1598" s="10" t="n"/>
      <c r="J1598" s="9" t="n"/>
      <c r="K1598" s="5" t="n"/>
      <c r="L1598" s="5" t="n"/>
      <c r="M1598" s="5" t="n"/>
      <c r="N1598" s="5" t="n"/>
      <c r="O1598" s="8">
        <f>IF($B1598="","",IF(AND($A1598&lt;&gt;"",COUNTIF(INV_ID,$A1598)&gt;1),"⚠ this Unit ID already exists",IF(AND($H1598&lt;&gt;"",COUNTIF(INV_Serial,$H1598)&gt;1),"⚠ this serial already exists",IF(COUNTIFS(INV_Product,$B1598,INV_No,$C1598)&gt;1,"⚠ piece number reused",""))))</f>
        <v/>
      </c>
      <c r="P1598" s="5" t="n"/>
    </row>
    <row r="1599">
      <c r="A1599" s="8">
        <f>IF(OR($B1599="",$C1599=""),"",IFERROR(INDEX(PM_Short,MATCH($B1599,PM_ID,0))&amp;"-"&amp;TEXT($C1599,"00"),"?? no such product"))</f>
        <v/>
      </c>
      <c r="B1599" s="5" t="n"/>
      <c r="C1599" s="5" t="n"/>
      <c r="D1599" s="8">
        <f>IF($B1599="","",IFERROR(INDEX(PM_Category,MATCH($B1599,PM_ID,0)),""))</f>
        <v/>
      </c>
      <c r="E1599" s="8">
        <f>IF($B1599="","",IFERROR(INDEX(PM_Subcategory,MATCH($B1599,PM_ID,0)),""))</f>
        <v/>
      </c>
      <c r="F1599" s="8">
        <f>IF($B1599="","",IFERROR(INDEX(PM_Brand,MATCH($B1599,PM_ID,0)),""))</f>
        <v/>
      </c>
      <c r="G1599" s="8">
        <f>IF($B1599="","",IFERROR(INDEX(PM_Model,MATCH($B1599,PM_ID,0)),""))</f>
        <v/>
      </c>
      <c r="H1599" s="5" t="n"/>
      <c r="I1599" s="10" t="n"/>
      <c r="J1599" s="9" t="n"/>
      <c r="K1599" s="5" t="n"/>
      <c r="L1599" s="5" t="n"/>
      <c r="M1599" s="5" t="n"/>
      <c r="N1599" s="5" t="n"/>
      <c r="O1599" s="8">
        <f>IF($B1599="","",IF(AND($A1599&lt;&gt;"",COUNTIF(INV_ID,$A1599)&gt;1),"⚠ this Unit ID already exists",IF(AND($H1599&lt;&gt;"",COUNTIF(INV_Serial,$H1599)&gt;1),"⚠ this serial already exists",IF(COUNTIFS(INV_Product,$B1599,INV_No,$C1599)&gt;1,"⚠ piece number reused",""))))</f>
        <v/>
      </c>
      <c r="P1599" s="5" t="n"/>
    </row>
    <row r="1600">
      <c r="A1600" s="8">
        <f>IF(OR($B1600="",$C1600=""),"",IFERROR(INDEX(PM_Short,MATCH($B1600,PM_ID,0))&amp;"-"&amp;TEXT($C1600,"00"),"?? no such product"))</f>
        <v/>
      </c>
      <c r="B1600" s="5" t="n"/>
      <c r="C1600" s="5" t="n"/>
      <c r="D1600" s="8">
        <f>IF($B1600="","",IFERROR(INDEX(PM_Category,MATCH($B1600,PM_ID,0)),""))</f>
        <v/>
      </c>
      <c r="E1600" s="8">
        <f>IF($B1600="","",IFERROR(INDEX(PM_Subcategory,MATCH($B1600,PM_ID,0)),""))</f>
        <v/>
      </c>
      <c r="F1600" s="8">
        <f>IF($B1600="","",IFERROR(INDEX(PM_Brand,MATCH($B1600,PM_ID,0)),""))</f>
        <v/>
      </c>
      <c r="G1600" s="8">
        <f>IF($B1600="","",IFERROR(INDEX(PM_Model,MATCH($B1600,PM_ID,0)),""))</f>
        <v/>
      </c>
      <c r="H1600" s="5" t="n"/>
      <c r="I1600" s="10" t="n"/>
      <c r="J1600" s="9" t="n"/>
      <c r="K1600" s="5" t="n"/>
      <c r="L1600" s="5" t="n"/>
      <c r="M1600" s="5" t="n"/>
      <c r="N1600" s="5" t="n"/>
      <c r="O1600" s="8">
        <f>IF($B1600="","",IF(AND($A1600&lt;&gt;"",COUNTIF(INV_ID,$A1600)&gt;1),"⚠ this Unit ID already exists",IF(AND($H1600&lt;&gt;"",COUNTIF(INV_Serial,$H1600)&gt;1),"⚠ this serial already exists",IF(COUNTIFS(INV_Product,$B1600,INV_No,$C1600)&gt;1,"⚠ piece number reused",""))))</f>
        <v/>
      </c>
      <c r="P1600" s="5" t="n"/>
    </row>
    <row r="1601">
      <c r="A1601" s="8">
        <f>IF(OR($B1601="",$C1601=""),"",IFERROR(INDEX(PM_Short,MATCH($B1601,PM_ID,0))&amp;"-"&amp;TEXT($C1601,"00"),"?? no such product"))</f>
        <v/>
      </c>
      <c r="B1601" s="5" t="n"/>
      <c r="C1601" s="5" t="n"/>
      <c r="D1601" s="8">
        <f>IF($B1601="","",IFERROR(INDEX(PM_Category,MATCH($B1601,PM_ID,0)),""))</f>
        <v/>
      </c>
      <c r="E1601" s="8">
        <f>IF($B1601="","",IFERROR(INDEX(PM_Subcategory,MATCH($B1601,PM_ID,0)),""))</f>
        <v/>
      </c>
      <c r="F1601" s="8">
        <f>IF($B1601="","",IFERROR(INDEX(PM_Brand,MATCH($B1601,PM_ID,0)),""))</f>
        <v/>
      </c>
      <c r="G1601" s="8">
        <f>IF($B1601="","",IFERROR(INDEX(PM_Model,MATCH($B1601,PM_ID,0)),""))</f>
        <v/>
      </c>
      <c r="H1601" s="5" t="n"/>
      <c r="I1601" s="10" t="n"/>
      <c r="J1601" s="9" t="n"/>
      <c r="K1601" s="5" t="n"/>
      <c r="L1601" s="5" t="n"/>
      <c r="M1601" s="5" t="n"/>
      <c r="N1601" s="5" t="n"/>
      <c r="O1601" s="8">
        <f>IF($B1601="","",IF(AND($A1601&lt;&gt;"",COUNTIF(INV_ID,$A1601)&gt;1),"⚠ this Unit ID already exists",IF(AND($H1601&lt;&gt;"",COUNTIF(INV_Serial,$H1601)&gt;1),"⚠ this serial already exists",IF(COUNTIFS(INV_Product,$B1601,INV_No,$C1601)&gt;1,"⚠ piece number reused",""))))</f>
        <v/>
      </c>
      <c r="P1601" s="5" t="n"/>
    </row>
    <row r="1602">
      <c r="A1602" s="8">
        <f>IF(OR($B1602="",$C1602=""),"",IFERROR(INDEX(PM_Short,MATCH($B1602,PM_ID,0))&amp;"-"&amp;TEXT($C1602,"00"),"?? no such product"))</f>
        <v/>
      </c>
      <c r="B1602" s="5" t="n"/>
      <c r="C1602" s="5" t="n"/>
      <c r="D1602" s="8">
        <f>IF($B1602="","",IFERROR(INDEX(PM_Category,MATCH($B1602,PM_ID,0)),""))</f>
        <v/>
      </c>
      <c r="E1602" s="8">
        <f>IF($B1602="","",IFERROR(INDEX(PM_Subcategory,MATCH($B1602,PM_ID,0)),""))</f>
        <v/>
      </c>
      <c r="F1602" s="8">
        <f>IF($B1602="","",IFERROR(INDEX(PM_Brand,MATCH($B1602,PM_ID,0)),""))</f>
        <v/>
      </c>
      <c r="G1602" s="8">
        <f>IF($B1602="","",IFERROR(INDEX(PM_Model,MATCH($B1602,PM_ID,0)),""))</f>
        <v/>
      </c>
      <c r="H1602" s="5" t="n"/>
      <c r="I1602" s="10" t="n"/>
      <c r="J1602" s="9" t="n"/>
      <c r="K1602" s="5" t="n"/>
      <c r="L1602" s="5" t="n"/>
      <c r="M1602" s="5" t="n"/>
      <c r="N1602" s="5" t="n"/>
      <c r="O1602" s="8">
        <f>IF($B1602="","",IF(AND($A1602&lt;&gt;"",COUNTIF(INV_ID,$A1602)&gt;1),"⚠ this Unit ID already exists",IF(AND($H1602&lt;&gt;"",COUNTIF(INV_Serial,$H1602)&gt;1),"⚠ this serial already exists",IF(COUNTIFS(INV_Product,$B1602,INV_No,$C1602)&gt;1,"⚠ piece number reused",""))))</f>
        <v/>
      </c>
      <c r="P1602" s="5" t="n"/>
    </row>
    <row r="1603">
      <c r="A1603" s="8">
        <f>IF(OR($B1603="",$C1603=""),"",IFERROR(INDEX(PM_Short,MATCH($B1603,PM_ID,0))&amp;"-"&amp;TEXT($C1603,"00"),"?? no such product"))</f>
        <v/>
      </c>
      <c r="B1603" s="5" t="n"/>
      <c r="C1603" s="5" t="n"/>
      <c r="D1603" s="8">
        <f>IF($B1603="","",IFERROR(INDEX(PM_Category,MATCH($B1603,PM_ID,0)),""))</f>
        <v/>
      </c>
      <c r="E1603" s="8">
        <f>IF($B1603="","",IFERROR(INDEX(PM_Subcategory,MATCH($B1603,PM_ID,0)),""))</f>
        <v/>
      </c>
      <c r="F1603" s="8">
        <f>IF($B1603="","",IFERROR(INDEX(PM_Brand,MATCH($B1603,PM_ID,0)),""))</f>
        <v/>
      </c>
      <c r="G1603" s="8">
        <f>IF($B1603="","",IFERROR(INDEX(PM_Model,MATCH($B1603,PM_ID,0)),""))</f>
        <v/>
      </c>
      <c r="H1603" s="5" t="n"/>
      <c r="I1603" s="10" t="n"/>
      <c r="J1603" s="9" t="n"/>
      <c r="K1603" s="5" t="n"/>
      <c r="L1603" s="5" t="n"/>
      <c r="M1603" s="5" t="n"/>
      <c r="N1603" s="5" t="n"/>
      <c r="O1603" s="8">
        <f>IF($B1603="","",IF(AND($A1603&lt;&gt;"",COUNTIF(INV_ID,$A1603)&gt;1),"⚠ this Unit ID already exists",IF(AND($H1603&lt;&gt;"",COUNTIF(INV_Serial,$H1603)&gt;1),"⚠ this serial already exists",IF(COUNTIFS(INV_Product,$B1603,INV_No,$C1603)&gt;1,"⚠ piece number reused",""))))</f>
        <v/>
      </c>
      <c r="P1603" s="5" t="n"/>
    </row>
    <row r="1604">
      <c r="A1604" s="8">
        <f>IF(OR($B1604="",$C1604=""),"",IFERROR(INDEX(PM_Short,MATCH($B1604,PM_ID,0))&amp;"-"&amp;TEXT($C1604,"00"),"?? no such product"))</f>
        <v/>
      </c>
      <c r="B1604" s="5" t="n"/>
      <c r="C1604" s="5" t="n"/>
      <c r="D1604" s="8">
        <f>IF($B1604="","",IFERROR(INDEX(PM_Category,MATCH($B1604,PM_ID,0)),""))</f>
        <v/>
      </c>
      <c r="E1604" s="8">
        <f>IF($B1604="","",IFERROR(INDEX(PM_Subcategory,MATCH($B1604,PM_ID,0)),""))</f>
        <v/>
      </c>
      <c r="F1604" s="8">
        <f>IF($B1604="","",IFERROR(INDEX(PM_Brand,MATCH($B1604,PM_ID,0)),""))</f>
        <v/>
      </c>
      <c r="G1604" s="8">
        <f>IF($B1604="","",IFERROR(INDEX(PM_Model,MATCH($B1604,PM_ID,0)),""))</f>
        <v/>
      </c>
      <c r="H1604" s="5" t="n"/>
      <c r="I1604" s="10" t="n"/>
      <c r="J1604" s="9" t="n"/>
      <c r="K1604" s="5" t="n"/>
      <c r="L1604" s="5" t="n"/>
      <c r="M1604" s="5" t="n"/>
      <c r="N1604" s="5" t="n"/>
      <c r="O1604" s="8">
        <f>IF($B1604="","",IF(AND($A1604&lt;&gt;"",COUNTIF(INV_ID,$A1604)&gt;1),"⚠ this Unit ID already exists",IF(AND($H1604&lt;&gt;"",COUNTIF(INV_Serial,$H1604)&gt;1),"⚠ this serial already exists",IF(COUNTIFS(INV_Product,$B1604,INV_No,$C1604)&gt;1,"⚠ piece number reused",""))))</f>
        <v/>
      </c>
      <c r="P1604" s="5" t="n"/>
    </row>
    <row r="1605">
      <c r="A1605" s="8">
        <f>IF(OR($B1605="",$C1605=""),"",IFERROR(INDEX(PM_Short,MATCH($B1605,PM_ID,0))&amp;"-"&amp;TEXT($C1605,"00"),"?? no such product"))</f>
        <v/>
      </c>
      <c r="B1605" s="5" t="n"/>
      <c r="C1605" s="5" t="n"/>
      <c r="D1605" s="8">
        <f>IF($B1605="","",IFERROR(INDEX(PM_Category,MATCH($B1605,PM_ID,0)),""))</f>
        <v/>
      </c>
      <c r="E1605" s="8">
        <f>IF($B1605="","",IFERROR(INDEX(PM_Subcategory,MATCH($B1605,PM_ID,0)),""))</f>
        <v/>
      </c>
      <c r="F1605" s="8">
        <f>IF($B1605="","",IFERROR(INDEX(PM_Brand,MATCH($B1605,PM_ID,0)),""))</f>
        <v/>
      </c>
      <c r="G1605" s="8">
        <f>IF($B1605="","",IFERROR(INDEX(PM_Model,MATCH($B1605,PM_ID,0)),""))</f>
        <v/>
      </c>
      <c r="H1605" s="5" t="n"/>
      <c r="I1605" s="10" t="n"/>
      <c r="J1605" s="9" t="n"/>
      <c r="K1605" s="5" t="n"/>
      <c r="L1605" s="5" t="n"/>
      <c r="M1605" s="5" t="n"/>
      <c r="N1605" s="5" t="n"/>
      <c r="O1605" s="8">
        <f>IF($B1605="","",IF(AND($A1605&lt;&gt;"",COUNTIF(INV_ID,$A1605)&gt;1),"⚠ this Unit ID already exists",IF(AND($H1605&lt;&gt;"",COUNTIF(INV_Serial,$H1605)&gt;1),"⚠ this serial already exists",IF(COUNTIFS(INV_Product,$B1605,INV_No,$C1605)&gt;1,"⚠ piece number reused",""))))</f>
        <v/>
      </c>
      <c r="P1605" s="5" t="n"/>
    </row>
    <row r="1606">
      <c r="A1606" s="8">
        <f>IF(OR($B1606="",$C1606=""),"",IFERROR(INDEX(PM_Short,MATCH($B1606,PM_ID,0))&amp;"-"&amp;TEXT($C1606,"00"),"?? no such product"))</f>
        <v/>
      </c>
      <c r="B1606" s="5" t="n"/>
      <c r="C1606" s="5" t="n"/>
      <c r="D1606" s="8">
        <f>IF($B1606="","",IFERROR(INDEX(PM_Category,MATCH($B1606,PM_ID,0)),""))</f>
        <v/>
      </c>
      <c r="E1606" s="8">
        <f>IF($B1606="","",IFERROR(INDEX(PM_Subcategory,MATCH($B1606,PM_ID,0)),""))</f>
        <v/>
      </c>
      <c r="F1606" s="8">
        <f>IF($B1606="","",IFERROR(INDEX(PM_Brand,MATCH($B1606,PM_ID,0)),""))</f>
        <v/>
      </c>
      <c r="G1606" s="8">
        <f>IF($B1606="","",IFERROR(INDEX(PM_Model,MATCH($B1606,PM_ID,0)),""))</f>
        <v/>
      </c>
      <c r="H1606" s="5" t="n"/>
      <c r="I1606" s="10" t="n"/>
      <c r="J1606" s="9" t="n"/>
      <c r="K1606" s="5" t="n"/>
      <c r="L1606" s="5" t="n"/>
      <c r="M1606" s="5" t="n"/>
      <c r="N1606" s="5" t="n"/>
      <c r="O1606" s="8">
        <f>IF($B1606="","",IF(AND($A1606&lt;&gt;"",COUNTIF(INV_ID,$A1606)&gt;1),"⚠ this Unit ID already exists",IF(AND($H1606&lt;&gt;"",COUNTIF(INV_Serial,$H1606)&gt;1),"⚠ this serial already exists",IF(COUNTIFS(INV_Product,$B1606,INV_No,$C1606)&gt;1,"⚠ piece number reused",""))))</f>
        <v/>
      </c>
      <c r="P1606" s="5" t="n"/>
    </row>
    <row r="1607">
      <c r="A1607" s="8">
        <f>IF(OR($B1607="",$C1607=""),"",IFERROR(INDEX(PM_Short,MATCH($B1607,PM_ID,0))&amp;"-"&amp;TEXT($C1607,"00"),"?? no such product"))</f>
        <v/>
      </c>
      <c r="B1607" s="5" t="n"/>
      <c r="C1607" s="5" t="n"/>
      <c r="D1607" s="8">
        <f>IF($B1607="","",IFERROR(INDEX(PM_Category,MATCH($B1607,PM_ID,0)),""))</f>
        <v/>
      </c>
      <c r="E1607" s="8">
        <f>IF($B1607="","",IFERROR(INDEX(PM_Subcategory,MATCH($B1607,PM_ID,0)),""))</f>
        <v/>
      </c>
      <c r="F1607" s="8">
        <f>IF($B1607="","",IFERROR(INDEX(PM_Brand,MATCH($B1607,PM_ID,0)),""))</f>
        <v/>
      </c>
      <c r="G1607" s="8">
        <f>IF($B1607="","",IFERROR(INDEX(PM_Model,MATCH($B1607,PM_ID,0)),""))</f>
        <v/>
      </c>
      <c r="H1607" s="5" t="n"/>
      <c r="I1607" s="10" t="n"/>
      <c r="J1607" s="9" t="n"/>
      <c r="K1607" s="5" t="n"/>
      <c r="L1607" s="5" t="n"/>
      <c r="M1607" s="5" t="n"/>
      <c r="N1607" s="5" t="n"/>
      <c r="O1607" s="8">
        <f>IF($B1607="","",IF(AND($A1607&lt;&gt;"",COUNTIF(INV_ID,$A1607)&gt;1),"⚠ this Unit ID already exists",IF(AND($H1607&lt;&gt;"",COUNTIF(INV_Serial,$H1607)&gt;1),"⚠ this serial already exists",IF(COUNTIFS(INV_Product,$B1607,INV_No,$C1607)&gt;1,"⚠ piece number reused",""))))</f>
        <v/>
      </c>
      <c r="P1607" s="5" t="n"/>
    </row>
    <row r="1608">
      <c r="A1608" s="8">
        <f>IF(OR($B1608="",$C1608=""),"",IFERROR(INDEX(PM_Short,MATCH($B1608,PM_ID,0))&amp;"-"&amp;TEXT($C1608,"00"),"?? no such product"))</f>
        <v/>
      </c>
      <c r="B1608" s="5" t="n"/>
      <c r="C1608" s="5" t="n"/>
      <c r="D1608" s="8">
        <f>IF($B1608="","",IFERROR(INDEX(PM_Category,MATCH($B1608,PM_ID,0)),""))</f>
        <v/>
      </c>
      <c r="E1608" s="8">
        <f>IF($B1608="","",IFERROR(INDEX(PM_Subcategory,MATCH($B1608,PM_ID,0)),""))</f>
        <v/>
      </c>
      <c r="F1608" s="8">
        <f>IF($B1608="","",IFERROR(INDEX(PM_Brand,MATCH($B1608,PM_ID,0)),""))</f>
        <v/>
      </c>
      <c r="G1608" s="8">
        <f>IF($B1608="","",IFERROR(INDEX(PM_Model,MATCH($B1608,PM_ID,0)),""))</f>
        <v/>
      </c>
      <c r="H1608" s="5" t="n"/>
      <c r="I1608" s="10" t="n"/>
      <c r="J1608" s="9" t="n"/>
      <c r="K1608" s="5" t="n"/>
      <c r="L1608" s="5" t="n"/>
      <c r="M1608" s="5" t="n"/>
      <c r="N1608" s="5" t="n"/>
      <c r="O1608" s="8">
        <f>IF($B1608="","",IF(AND($A1608&lt;&gt;"",COUNTIF(INV_ID,$A1608)&gt;1),"⚠ this Unit ID already exists",IF(AND($H1608&lt;&gt;"",COUNTIF(INV_Serial,$H1608)&gt;1),"⚠ this serial already exists",IF(COUNTIFS(INV_Product,$B1608,INV_No,$C1608)&gt;1,"⚠ piece number reused",""))))</f>
        <v/>
      </c>
      <c r="P1608" s="5" t="n"/>
    </row>
    <row r="1609">
      <c r="A1609" s="8">
        <f>IF(OR($B1609="",$C1609=""),"",IFERROR(INDEX(PM_Short,MATCH($B1609,PM_ID,0))&amp;"-"&amp;TEXT($C1609,"00"),"?? no such product"))</f>
        <v/>
      </c>
      <c r="B1609" s="5" t="n"/>
      <c r="C1609" s="5" t="n"/>
      <c r="D1609" s="8">
        <f>IF($B1609="","",IFERROR(INDEX(PM_Category,MATCH($B1609,PM_ID,0)),""))</f>
        <v/>
      </c>
      <c r="E1609" s="8">
        <f>IF($B1609="","",IFERROR(INDEX(PM_Subcategory,MATCH($B1609,PM_ID,0)),""))</f>
        <v/>
      </c>
      <c r="F1609" s="8">
        <f>IF($B1609="","",IFERROR(INDEX(PM_Brand,MATCH($B1609,PM_ID,0)),""))</f>
        <v/>
      </c>
      <c r="G1609" s="8">
        <f>IF($B1609="","",IFERROR(INDEX(PM_Model,MATCH($B1609,PM_ID,0)),""))</f>
        <v/>
      </c>
      <c r="H1609" s="5" t="n"/>
      <c r="I1609" s="10" t="n"/>
      <c r="J1609" s="9" t="n"/>
      <c r="K1609" s="5" t="n"/>
      <c r="L1609" s="5" t="n"/>
      <c r="M1609" s="5" t="n"/>
      <c r="N1609" s="5" t="n"/>
      <c r="O1609" s="8">
        <f>IF($B1609="","",IF(AND($A1609&lt;&gt;"",COUNTIF(INV_ID,$A1609)&gt;1),"⚠ this Unit ID already exists",IF(AND($H1609&lt;&gt;"",COUNTIF(INV_Serial,$H1609)&gt;1),"⚠ this serial already exists",IF(COUNTIFS(INV_Product,$B1609,INV_No,$C1609)&gt;1,"⚠ piece number reused",""))))</f>
        <v/>
      </c>
      <c r="P1609" s="5" t="n"/>
    </row>
    <row r="1610">
      <c r="A1610" s="8">
        <f>IF(OR($B1610="",$C1610=""),"",IFERROR(INDEX(PM_Short,MATCH($B1610,PM_ID,0))&amp;"-"&amp;TEXT($C1610,"00"),"?? no such product"))</f>
        <v/>
      </c>
      <c r="B1610" s="5" t="n"/>
      <c r="C1610" s="5" t="n"/>
      <c r="D1610" s="8">
        <f>IF($B1610="","",IFERROR(INDEX(PM_Category,MATCH($B1610,PM_ID,0)),""))</f>
        <v/>
      </c>
      <c r="E1610" s="8">
        <f>IF($B1610="","",IFERROR(INDEX(PM_Subcategory,MATCH($B1610,PM_ID,0)),""))</f>
        <v/>
      </c>
      <c r="F1610" s="8">
        <f>IF($B1610="","",IFERROR(INDEX(PM_Brand,MATCH($B1610,PM_ID,0)),""))</f>
        <v/>
      </c>
      <c r="G1610" s="8">
        <f>IF($B1610="","",IFERROR(INDEX(PM_Model,MATCH($B1610,PM_ID,0)),""))</f>
        <v/>
      </c>
      <c r="H1610" s="5" t="n"/>
      <c r="I1610" s="10" t="n"/>
      <c r="J1610" s="9" t="n"/>
      <c r="K1610" s="5" t="n"/>
      <c r="L1610" s="5" t="n"/>
      <c r="M1610" s="5" t="n"/>
      <c r="N1610" s="5" t="n"/>
      <c r="O1610" s="8">
        <f>IF($B1610="","",IF(AND($A1610&lt;&gt;"",COUNTIF(INV_ID,$A1610)&gt;1),"⚠ this Unit ID already exists",IF(AND($H1610&lt;&gt;"",COUNTIF(INV_Serial,$H1610)&gt;1),"⚠ this serial already exists",IF(COUNTIFS(INV_Product,$B1610,INV_No,$C1610)&gt;1,"⚠ piece number reused",""))))</f>
        <v/>
      </c>
      <c r="P1610" s="5" t="n"/>
    </row>
    <row r="1611">
      <c r="A1611" s="8">
        <f>IF(OR($B1611="",$C1611=""),"",IFERROR(INDEX(PM_Short,MATCH($B1611,PM_ID,0))&amp;"-"&amp;TEXT($C1611,"00"),"?? no such product"))</f>
        <v/>
      </c>
      <c r="B1611" s="5" t="n"/>
      <c r="C1611" s="5" t="n"/>
      <c r="D1611" s="8">
        <f>IF($B1611="","",IFERROR(INDEX(PM_Category,MATCH($B1611,PM_ID,0)),""))</f>
        <v/>
      </c>
      <c r="E1611" s="8">
        <f>IF($B1611="","",IFERROR(INDEX(PM_Subcategory,MATCH($B1611,PM_ID,0)),""))</f>
        <v/>
      </c>
      <c r="F1611" s="8">
        <f>IF($B1611="","",IFERROR(INDEX(PM_Brand,MATCH($B1611,PM_ID,0)),""))</f>
        <v/>
      </c>
      <c r="G1611" s="8">
        <f>IF($B1611="","",IFERROR(INDEX(PM_Model,MATCH($B1611,PM_ID,0)),""))</f>
        <v/>
      </c>
      <c r="H1611" s="5" t="n"/>
      <c r="I1611" s="10" t="n"/>
      <c r="J1611" s="9" t="n"/>
      <c r="K1611" s="5" t="n"/>
      <c r="L1611" s="5" t="n"/>
      <c r="M1611" s="5" t="n"/>
      <c r="N1611" s="5" t="n"/>
      <c r="O1611" s="8">
        <f>IF($B1611="","",IF(AND($A1611&lt;&gt;"",COUNTIF(INV_ID,$A1611)&gt;1),"⚠ this Unit ID already exists",IF(AND($H1611&lt;&gt;"",COUNTIF(INV_Serial,$H1611)&gt;1),"⚠ this serial already exists",IF(COUNTIFS(INV_Product,$B1611,INV_No,$C1611)&gt;1,"⚠ piece number reused",""))))</f>
        <v/>
      </c>
      <c r="P1611" s="5" t="n"/>
    </row>
    <row r="1612">
      <c r="A1612" s="8">
        <f>IF(OR($B1612="",$C1612=""),"",IFERROR(INDEX(PM_Short,MATCH($B1612,PM_ID,0))&amp;"-"&amp;TEXT($C1612,"00"),"?? no such product"))</f>
        <v/>
      </c>
      <c r="B1612" s="5" t="n"/>
      <c r="C1612" s="5" t="n"/>
      <c r="D1612" s="8">
        <f>IF($B1612="","",IFERROR(INDEX(PM_Category,MATCH($B1612,PM_ID,0)),""))</f>
        <v/>
      </c>
      <c r="E1612" s="8">
        <f>IF($B1612="","",IFERROR(INDEX(PM_Subcategory,MATCH($B1612,PM_ID,0)),""))</f>
        <v/>
      </c>
      <c r="F1612" s="8">
        <f>IF($B1612="","",IFERROR(INDEX(PM_Brand,MATCH($B1612,PM_ID,0)),""))</f>
        <v/>
      </c>
      <c r="G1612" s="8">
        <f>IF($B1612="","",IFERROR(INDEX(PM_Model,MATCH($B1612,PM_ID,0)),""))</f>
        <v/>
      </c>
      <c r="H1612" s="5" t="n"/>
      <c r="I1612" s="10" t="n"/>
      <c r="J1612" s="9" t="n"/>
      <c r="K1612" s="5" t="n"/>
      <c r="L1612" s="5" t="n"/>
      <c r="M1612" s="5" t="n"/>
      <c r="N1612" s="5" t="n"/>
      <c r="O1612" s="8">
        <f>IF($B1612="","",IF(AND($A1612&lt;&gt;"",COUNTIF(INV_ID,$A1612)&gt;1),"⚠ this Unit ID already exists",IF(AND($H1612&lt;&gt;"",COUNTIF(INV_Serial,$H1612)&gt;1),"⚠ this serial already exists",IF(COUNTIFS(INV_Product,$B1612,INV_No,$C1612)&gt;1,"⚠ piece number reused",""))))</f>
        <v/>
      </c>
      <c r="P1612" s="5" t="n"/>
    </row>
    <row r="1613">
      <c r="A1613" s="8">
        <f>IF(OR($B1613="",$C1613=""),"",IFERROR(INDEX(PM_Short,MATCH($B1613,PM_ID,0))&amp;"-"&amp;TEXT($C1613,"00"),"?? no such product"))</f>
        <v/>
      </c>
      <c r="B1613" s="5" t="n"/>
      <c r="C1613" s="5" t="n"/>
      <c r="D1613" s="8">
        <f>IF($B1613="","",IFERROR(INDEX(PM_Category,MATCH($B1613,PM_ID,0)),""))</f>
        <v/>
      </c>
      <c r="E1613" s="8">
        <f>IF($B1613="","",IFERROR(INDEX(PM_Subcategory,MATCH($B1613,PM_ID,0)),""))</f>
        <v/>
      </c>
      <c r="F1613" s="8">
        <f>IF($B1613="","",IFERROR(INDEX(PM_Brand,MATCH($B1613,PM_ID,0)),""))</f>
        <v/>
      </c>
      <c r="G1613" s="8">
        <f>IF($B1613="","",IFERROR(INDEX(PM_Model,MATCH($B1613,PM_ID,0)),""))</f>
        <v/>
      </c>
      <c r="H1613" s="5" t="n"/>
      <c r="I1613" s="10" t="n"/>
      <c r="J1613" s="9" t="n"/>
      <c r="K1613" s="5" t="n"/>
      <c r="L1613" s="5" t="n"/>
      <c r="M1613" s="5" t="n"/>
      <c r="N1613" s="5" t="n"/>
      <c r="O1613" s="8">
        <f>IF($B1613="","",IF(AND($A1613&lt;&gt;"",COUNTIF(INV_ID,$A1613)&gt;1),"⚠ this Unit ID already exists",IF(AND($H1613&lt;&gt;"",COUNTIF(INV_Serial,$H1613)&gt;1),"⚠ this serial already exists",IF(COUNTIFS(INV_Product,$B1613,INV_No,$C1613)&gt;1,"⚠ piece number reused",""))))</f>
        <v/>
      </c>
      <c r="P1613" s="5" t="n"/>
    </row>
    <row r="1614">
      <c r="A1614" s="8">
        <f>IF(OR($B1614="",$C1614=""),"",IFERROR(INDEX(PM_Short,MATCH($B1614,PM_ID,0))&amp;"-"&amp;TEXT($C1614,"00"),"?? no such product"))</f>
        <v/>
      </c>
      <c r="B1614" s="5" t="n"/>
      <c r="C1614" s="5" t="n"/>
      <c r="D1614" s="8">
        <f>IF($B1614="","",IFERROR(INDEX(PM_Category,MATCH($B1614,PM_ID,0)),""))</f>
        <v/>
      </c>
      <c r="E1614" s="8">
        <f>IF($B1614="","",IFERROR(INDEX(PM_Subcategory,MATCH($B1614,PM_ID,0)),""))</f>
        <v/>
      </c>
      <c r="F1614" s="8">
        <f>IF($B1614="","",IFERROR(INDEX(PM_Brand,MATCH($B1614,PM_ID,0)),""))</f>
        <v/>
      </c>
      <c r="G1614" s="8">
        <f>IF($B1614="","",IFERROR(INDEX(PM_Model,MATCH($B1614,PM_ID,0)),""))</f>
        <v/>
      </c>
      <c r="H1614" s="5" t="n"/>
      <c r="I1614" s="10" t="n"/>
      <c r="J1614" s="9" t="n"/>
      <c r="K1614" s="5" t="n"/>
      <c r="L1614" s="5" t="n"/>
      <c r="M1614" s="5" t="n"/>
      <c r="N1614" s="5" t="n"/>
      <c r="O1614" s="8">
        <f>IF($B1614="","",IF(AND($A1614&lt;&gt;"",COUNTIF(INV_ID,$A1614)&gt;1),"⚠ this Unit ID already exists",IF(AND($H1614&lt;&gt;"",COUNTIF(INV_Serial,$H1614)&gt;1),"⚠ this serial already exists",IF(COUNTIFS(INV_Product,$B1614,INV_No,$C1614)&gt;1,"⚠ piece number reused",""))))</f>
        <v/>
      </c>
      <c r="P1614" s="5" t="n"/>
    </row>
    <row r="1615">
      <c r="A1615" s="8">
        <f>IF(OR($B1615="",$C1615=""),"",IFERROR(INDEX(PM_Short,MATCH($B1615,PM_ID,0))&amp;"-"&amp;TEXT($C1615,"00"),"?? no such product"))</f>
        <v/>
      </c>
      <c r="B1615" s="5" t="n"/>
      <c r="C1615" s="5" t="n"/>
      <c r="D1615" s="8">
        <f>IF($B1615="","",IFERROR(INDEX(PM_Category,MATCH($B1615,PM_ID,0)),""))</f>
        <v/>
      </c>
      <c r="E1615" s="8">
        <f>IF($B1615="","",IFERROR(INDEX(PM_Subcategory,MATCH($B1615,PM_ID,0)),""))</f>
        <v/>
      </c>
      <c r="F1615" s="8">
        <f>IF($B1615="","",IFERROR(INDEX(PM_Brand,MATCH($B1615,PM_ID,0)),""))</f>
        <v/>
      </c>
      <c r="G1615" s="8">
        <f>IF($B1615="","",IFERROR(INDEX(PM_Model,MATCH($B1615,PM_ID,0)),""))</f>
        <v/>
      </c>
      <c r="H1615" s="5" t="n"/>
      <c r="I1615" s="10" t="n"/>
      <c r="J1615" s="9" t="n"/>
      <c r="K1615" s="5" t="n"/>
      <c r="L1615" s="5" t="n"/>
      <c r="M1615" s="5" t="n"/>
      <c r="N1615" s="5" t="n"/>
      <c r="O1615" s="8">
        <f>IF($B1615="","",IF(AND($A1615&lt;&gt;"",COUNTIF(INV_ID,$A1615)&gt;1),"⚠ this Unit ID already exists",IF(AND($H1615&lt;&gt;"",COUNTIF(INV_Serial,$H1615)&gt;1),"⚠ this serial already exists",IF(COUNTIFS(INV_Product,$B1615,INV_No,$C1615)&gt;1,"⚠ piece number reused",""))))</f>
        <v/>
      </c>
      <c r="P1615" s="5" t="n"/>
    </row>
    <row r="1616">
      <c r="A1616" s="8">
        <f>IF(OR($B1616="",$C1616=""),"",IFERROR(INDEX(PM_Short,MATCH($B1616,PM_ID,0))&amp;"-"&amp;TEXT($C1616,"00"),"?? no such product"))</f>
        <v/>
      </c>
      <c r="B1616" s="5" t="n"/>
      <c r="C1616" s="5" t="n"/>
      <c r="D1616" s="8">
        <f>IF($B1616="","",IFERROR(INDEX(PM_Category,MATCH($B1616,PM_ID,0)),""))</f>
        <v/>
      </c>
      <c r="E1616" s="8">
        <f>IF($B1616="","",IFERROR(INDEX(PM_Subcategory,MATCH($B1616,PM_ID,0)),""))</f>
        <v/>
      </c>
      <c r="F1616" s="8">
        <f>IF($B1616="","",IFERROR(INDEX(PM_Brand,MATCH($B1616,PM_ID,0)),""))</f>
        <v/>
      </c>
      <c r="G1616" s="8">
        <f>IF($B1616="","",IFERROR(INDEX(PM_Model,MATCH($B1616,PM_ID,0)),""))</f>
        <v/>
      </c>
      <c r="H1616" s="5" t="n"/>
      <c r="I1616" s="10" t="n"/>
      <c r="J1616" s="9" t="n"/>
      <c r="K1616" s="5" t="n"/>
      <c r="L1616" s="5" t="n"/>
      <c r="M1616" s="5" t="n"/>
      <c r="N1616" s="5" t="n"/>
      <c r="O1616" s="8">
        <f>IF($B1616="","",IF(AND($A1616&lt;&gt;"",COUNTIF(INV_ID,$A1616)&gt;1),"⚠ this Unit ID already exists",IF(AND($H1616&lt;&gt;"",COUNTIF(INV_Serial,$H1616)&gt;1),"⚠ this serial already exists",IF(COUNTIFS(INV_Product,$B1616,INV_No,$C1616)&gt;1,"⚠ piece number reused",""))))</f>
        <v/>
      </c>
      <c r="P1616" s="5" t="n"/>
    </row>
    <row r="1617">
      <c r="A1617" s="8">
        <f>IF(OR($B1617="",$C1617=""),"",IFERROR(INDEX(PM_Short,MATCH($B1617,PM_ID,0))&amp;"-"&amp;TEXT($C1617,"00"),"?? no such product"))</f>
        <v/>
      </c>
      <c r="B1617" s="5" t="n"/>
      <c r="C1617" s="5" t="n"/>
      <c r="D1617" s="8">
        <f>IF($B1617="","",IFERROR(INDEX(PM_Category,MATCH($B1617,PM_ID,0)),""))</f>
        <v/>
      </c>
      <c r="E1617" s="8">
        <f>IF($B1617="","",IFERROR(INDEX(PM_Subcategory,MATCH($B1617,PM_ID,0)),""))</f>
        <v/>
      </c>
      <c r="F1617" s="8">
        <f>IF($B1617="","",IFERROR(INDEX(PM_Brand,MATCH($B1617,PM_ID,0)),""))</f>
        <v/>
      </c>
      <c r="G1617" s="8">
        <f>IF($B1617="","",IFERROR(INDEX(PM_Model,MATCH($B1617,PM_ID,0)),""))</f>
        <v/>
      </c>
      <c r="H1617" s="5" t="n"/>
      <c r="I1617" s="10" t="n"/>
      <c r="J1617" s="9" t="n"/>
      <c r="K1617" s="5" t="n"/>
      <c r="L1617" s="5" t="n"/>
      <c r="M1617" s="5" t="n"/>
      <c r="N1617" s="5" t="n"/>
      <c r="O1617" s="8">
        <f>IF($B1617="","",IF(AND($A1617&lt;&gt;"",COUNTIF(INV_ID,$A1617)&gt;1),"⚠ this Unit ID already exists",IF(AND($H1617&lt;&gt;"",COUNTIF(INV_Serial,$H1617)&gt;1),"⚠ this serial already exists",IF(COUNTIFS(INV_Product,$B1617,INV_No,$C1617)&gt;1,"⚠ piece number reused",""))))</f>
        <v/>
      </c>
      <c r="P1617" s="5" t="n"/>
    </row>
    <row r="1618">
      <c r="A1618" s="8">
        <f>IF(OR($B1618="",$C1618=""),"",IFERROR(INDEX(PM_Short,MATCH($B1618,PM_ID,0))&amp;"-"&amp;TEXT($C1618,"00"),"?? no such product"))</f>
        <v/>
      </c>
      <c r="B1618" s="5" t="n"/>
      <c r="C1618" s="5" t="n"/>
      <c r="D1618" s="8">
        <f>IF($B1618="","",IFERROR(INDEX(PM_Category,MATCH($B1618,PM_ID,0)),""))</f>
        <v/>
      </c>
      <c r="E1618" s="8">
        <f>IF($B1618="","",IFERROR(INDEX(PM_Subcategory,MATCH($B1618,PM_ID,0)),""))</f>
        <v/>
      </c>
      <c r="F1618" s="8">
        <f>IF($B1618="","",IFERROR(INDEX(PM_Brand,MATCH($B1618,PM_ID,0)),""))</f>
        <v/>
      </c>
      <c r="G1618" s="8">
        <f>IF($B1618="","",IFERROR(INDEX(PM_Model,MATCH($B1618,PM_ID,0)),""))</f>
        <v/>
      </c>
      <c r="H1618" s="5" t="n"/>
      <c r="I1618" s="10" t="n"/>
      <c r="J1618" s="9" t="n"/>
      <c r="K1618" s="5" t="n"/>
      <c r="L1618" s="5" t="n"/>
      <c r="M1618" s="5" t="n"/>
      <c r="N1618" s="5" t="n"/>
      <c r="O1618" s="8">
        <f>IF($B1618="","",IF(AND($A1618&lt;&gt;"",COUNTIF(INV_ID,$A1618)&gt;1),"⚠ this Unit ID already exists",IF(AND($H1618&lt;&gt;"",COUNTIF(INV_Serial,$H1618)&gt;1),"⚠ this serial already exists",IF(COUNTIFS(INV_Product,$B1618,INV_No,$C1618)&gt;1,"⚠ piece number reused",""))))</f>
        <v/>
      </c>
      <c r="P1618" s="5" t="n"/>
    </row>
    <row r="1619">
      <c r="A1619" s="8">
        <f>IF(OR($B1619="",$C1619=""),"",IFERROR(INDEX(PM_Short,MATCH($B1619,PM_ID,0))&amp;"-"&amp;TEXT($C1619,"00"),"?? no such product"))</f>
        <v/>
      </c>
      <c r="B1619" s="5" t="n"/>
      <c r="C1619" s="5" t="n"/>
      <c r="D1619" s="8">
        <f>IF($B1619="","",IFERROR(INDEX(PM_Category,MATCH($B1619,PM_ID,0)),""))</f>
        <v/>
      </c>
      <c r="E1619" s="8">
        <f>IF($B1619="","",IFERROR(INDEX(PM_Subcategory,MATCH($B1619,PM_ID,0)),""))</f>
        <v/>
      </c>
      <c r="F1619" s="8">
        <f>IF($B1619="","",IFERROR(INDEX(PM_Brand,MATCH($B1619,PM_ID,0)),""))</f>
        <v/>
      </c>
      <c r="G1619" s="8">
        <f>IF($B1619="","",IFERROR(INDEX(PM_Model,MATCH($B1619,PM_ID,0)),""))</f>
        <v/>
      </c>
      <c r="H1619" s="5" t="n"/>
      <c r="I1619" s="10" t="n"/>
      <c r="J1619" s="9" t="n"/>
      <c r="K1619" s="5" t="n"/>
      <c r="L1619" s="5" t="n"/>
      <c r="M1619" s="5" t="n"/>
      <c r="N1619" s="5" t="n"/>
      <c r="O1619" s="8">
        <f>IF($B1619="","",IF(AND($A1619&lt;&gt;"",COUNTIF(INV_ID,$A1619)&gt;1),"⚠ this Unit ID already exists",IF(AND($H1619&lt;&gt;"",COUNTIF(INV_Serial,$H1619)&gt;1),"⚠ this serial already exists",IF(COUNTIFS(INV_Product,$B1619,INV_No,$C1619)&gt;1,"⚠ piece number reused",""))))</f>
        <v/>
      </c>
      <c r="P1619" s="5" t="n"/>
    </row>
    <row r="1620">
      <c r="A1620" s="8">
        <f>IF(OR($B1620="",$C1620=""),"",IFERROR(INDEX(PM_Short,MATCH($B1620,PM_ID,0))&amp;"-"&amp;TEXT($C1620,"00"),"?? no such product"))</f>
        <v/>
      </c>
      <c r="B1620" s="5" t="n"/>
      <c r="C1620" s="5" t="n"/>
      <c r="D1620" s="8">
        <f>IF($B1620="","",IFERROR(INDEX(PM_Category,MATCH($B1620,PM_ID,0)),""))</f>
        <v/>
      </c>
      <c r="E1620" s="8">
        <f>IF($B1620="","",IFERROR(INDEX(PM_Subcategory,MATCH($B1620,PM_ID,0)),""))</f>
        <v/>
      </c>
      <c r="F1620" s="8">
        <f>IF($B1620="","",IFERROR(INDEX(PM_Brand,MATCH($B1620,PM_ID,0)),""))</f>
        <v/>
      </c>
      <c r="G1620" s="8">
        <f>IF($B1620="","",IFERROR(INDEX(PM_Model,MATCH($B1620,PM_ID,0)),""))</f>
        <v/>
      </c>
      <c r="H1620" s="5" t="n"/>
      <c r="I1620" s="10" t="n"/>
      <c r="J1620" s="9" t="n"/>
      <c r="K1620" s="5" t="n"/>
      <c r="L1620" s="5" t="n"/>
      <c r="M1620" s="5" t="n"/>
      <c r="N1620" s="5" t="n"/>
      <c r="O1620" s="8">
        <f>IF($B1620="","",IF(AND($A1620&lt;&gt;"",COUNTIF(INV_ID,$A1620)&gt;1),"⚠ this Unit ID already exists",IF(AND($H1620&lt;&gt;"",COUNTIF(INV_Serial,$H1620)&gt;1),"⚠ this serial already exists",IF(COUNTIFS(INV_Product,$B1620,INV_No,$C1620)&gt;1,"⚠ piece number reused",""))))</f>
        <v/>
      </c>
      <c r="P1620" s="5" t="n"/>
    </row>
    <row r="1621">
      <c r="A1621" s="8">
        <f>IF(OR($B1621="",$C1621=""),"",IFERROR(INDEX(PM_Short,MATCH($B1621,PM_ID,0))&amp;"-"&amp;TEXT($C1621,"00"),"?? no such product"))</f>
        <v/>
      </c>
      <c r="B1621" s="5" t="n"/>
      <c r="C1621" s="5" t="n"/>
      <c r="D1621" s="8">
        <f>IF($B1621="","",IFERROR(INDEX(PM_Category,MATCH($B1621,PM_ID,0)),""))</f>
        <v/>
      </c>
      <c r="E1621" s="8">
        <f>IF($B1621="","",IFERROR(INDEX(PM_Subcategory,MATCH($B1621,PM_ID,0)),""))</f>
        <v/>
      </c>
      <c r="F1621" s="8">
        <f>IF($B1621="","",IFERROR(INDEX(PM_Brand,MATCH($B1621,PM_ID,0)),""))</f>
        <v/>
      </c>
      <c r="G1621" s="8">
        <f>IF($B1621="","",IFERROR(INDEX(PM_Model,MATCH($B1621,PM_ID,0)),""))</f>
        <v/>
      </c>
      <c r="H1621" s="5" t="n"/>
      <c r="I1621" s="10" t="n"/>
      <c r="J1621" s="9" t="n"/>
      <c r="K1621" s="5" t="n"/>
      <c r="L1621" s="5" t="n"/>
      <c r="M1621" s="5" t="n"/>
      <c r="N1621" s="5" t="n"/>
      <c r="O1621" s="8">
        <f>IF($B1621="","",IF(AND($A1621&lt;&gt;"",COUNTIF(INV_ID,$A1621)&gt;1),"⚠ this Unit ID already exists",IF(AND($H1621&lt;&gt;"",COUNTIF(INV_Serial,$H1621)&gt;1),"⚠ this serial already exists",IF(COUNTIFS(INV_Product,$B1621,INV_No,$C1621)&gt;1,"⚠ piece number reused",""))))</f>
        <v/>
      </c>
      <c r="P1621" s="5" t="n"/>
    </row>
    <row r="1622">
      <c r="A1622" s="8">
        <f>IF(OR($B1622="",$C1622=""),"",IFERROR(INDEX(PM_Short,MATCH($B1622,PM_ID,0))&amp;"-"&amp;TEXT($C1622,"00"),"?? no such product"))</f>
        <v/>
      </c>
      <c r="B1622" s="5" t="n"/>
      <c r="C1622" s="5" t="n"/>
      <c r="D1622" s="8">
        <f>IF($B1622="","",IFERROR(INDEX(PM_Category,MATCH($B1622,PM_ID,0)),""))</f>
        <v/>
      </c>
      <c r="E1622" s="8">
        <f>IF($B1622="","",IFERROR(INDEX(PM_Subcategory,MATCH($B1622,PM_ID,0)),""))</f>
        <v/>
      </c>
      <c r="F1622" s="8">
        <f>IF($B1622="","",IFERROR(INDEX(PM_Brand,MATCH($B1622,PM_ID,0)),""))</f>
        <v/>
      </c>
      <c r="G1622" s="8">
        <f>IF($B1622="","",IFERROR(INDEX(PM_Model,MATCH($B1622,PM_ID,0)),""))</f>
        <v/>
      </c>
      <c r="H1622" s="5" t="n"/>
      <c r="I1622" s="10" t="n"/>
      <c r="J1622" s="9" t="n"/>
      <c r="K1622" s="5" t="n"/>
      <c r="L1622" s="5" t="n"/>
      <c r="M1622" s="5" t="n"/>
      <c r="N1622" s="5" t="n"/>
      <c r="O1622" s="8">
        <f>IF($B1622="","",IF(AND($A1622&lt;&gt;"",COUNTIF(INV_ID,$A1622)&gt;1),"⚠ this Unit ID already exists",IF(AND($H1622&lt;&gt;"",COUNTIF(INV_Serial,$H1622)&gt;1),"⚠ this serial already exists",IF(COUNTIFS(INV_Product,$B1622,INV_No,$C1622)&gt;1,"⚠ piece number reused",""))))</f>
        <v/>
      </c>
      <c r="P1622" s="5" t="n"/>
    </row>
    <row r="1623">
      <c r="A1623" s="8">
        <f>IF(OR($B1623="",$C1623=""),"",IFERROR(INDEX(PM_Short,MATCH($B1623,PM_ID,0))&amp;"-"&amp;TEXT($C1623,"00"),"?? no such product"))</f>
        <v/>
      </c>
      <c r="B1623" s="5" t="n"/>
      <c r="C1623" s="5" t="n"/>
      <c r="D1623" s="8">
        <f>IF($B1623="","",IFERROR(INDEX(PM_Category,MATCH($B1623,PM_ID,0)),""))</f>
        <v/>
      </c>
      <c r="E1623" s="8">
        <f>IF($B1623="","",IFERROR(INDEX(PM_Subcategory,MATCH($B1623,PM_ID,0)),""))</f>
        <v/>
      </c>
      <c r="F1623" s="8">
        <f>IF($B1623="","",IFERROR(INDEX(PM_Brand,MATCH($B1623,PM_ID,0)),""))</f>
        <v/>
      </c>
      <c r="G1623" s="8">
        <f>IF($B1623="","",IFERROR(INDEX(PM_Model,MATCH($B1623,PM_ID,0)),""))</f>
        <v/>
      </c>
      <c r="H1623" s="5" t="n"/>
      <c r="I1623" s="10" t="n"/>
      <c r="J1623" s="9" t="n"/>
      <c r="K1623" s="5" t="n"/>
      <c r="L1623" s="5" t="n"/>
      <c r="M1623" s="5" t="n"/>
      <c r="N1623" s="5" t="n"/>
      <c r="O1623" s="8">
        <f>IF($B1623="","",IF(AND($A1623&lt;&gt;"",COUNTIF(INV_ID,$A1623)&gt;1),"⚠ this Unit ID already exists",IF(AND($H1623&lt;&gt;"",COUNTIF(INV_Serial,$H1623)&gt;1),"⚠ this serial already exists",IF(COUNTIFS(INV_Product,$B1623,INV_No,$C1623)&gt;1,"⚠ piece number reused",""))))</f>
        <v/>
      </c>
      <c r="P1623" s="5" t="n"/>
    </row>
    <row r="1624">
      <c r="A1624" s="8">
        <f>IF(OR($B1624="",$C1624=""),"",IFERROR(INDEX(PM_Short,MATCH($B1624,PM_ID,0))&amp;"-"&amp;TEXT($C1624,"00"),"?? no such product"))</f>
        <v/>
      </c>
      <c r="B1624" s="5" t="n"/>
      <c r="C1624" s="5" t="n"/>
      <c r="D1624" s="8">
        <f>IF($B1624="","",IFERROR(INDEX(PM_Category,MATCH($B1624,PM_ID,0)),""))</f>
        <v/>
      </c>
      <c r="E1624" s="8">
        <f>IF($B1624="","",IFERROR(INDEX(PM_Subcategory,MATCH($B1624,PM_ID,0)),""))</f>
        <v/>
      </c>
      <c r="F1624" s="8">
        <f>IF($B1624="","",IFERROR(INDEX(PM_Brand,MATCH($B1624,PM_ID,0)),""))</f>
        <v/>
      </c>
      <c r="G1624" s="8">
        <f>IF($B1624="","",IFERROR(INDEX(PM_Model,MATCH($B1624,PM_ID,0)),""))</f>
        <v/>
      </c>
      <c r="H1624" s="5" t="n"/>
      <c r="I1624" s="10" t="n"/>
      <c r="J1624" s="9" t="n"/>
      <c r="K1624" s="5" t="n"/>
      <c r="L1624" s="5" t="n"/>
      <c r="M1624" s="5" t="n"/>
      <c r="N1624" s="5" t="n"/>
      <c r="O1624" s="8">
        <f>IF($B1624="","",IF(AND($A1624&lt;&gt;"",COUNTIF(INV_ID,$A1624)&gt;1),"⚠ this Unit ID already exists",IF(AND($H1624&lt;&gt;"",COUNTIF(INV_Serial,$H1624)&gt;1),"⚠ this serial already exists",IF(COUNTIFS(INV_Product,$B1624,INV_No,$C1624)&gt;1,"⚠ piece number reused",""))))</f>
        <v/>
      </c>
      <c r="P1624" s="5" t="n"/>
    </row>
    <row r="1625">
      <c r="A1625" s="8">
        <f>IF(OR($B1625="",$C1625=""),"",IFERROR(INDEX(PM_Short,MATCH($B1625,PM_ID,0))&amp;"-"&amp;TEXT($C1625,"00"),"?? no such product"))</f>
        <v/>
      </c>
      <c r="B1625" s="5" t="n"/>
      <c r="C1625" s="5" t="n"/>
      <c r="D1625" s="8">
        <f>IF($B1625="","",IFERROR(INDEX(PM_Category,MATCH($B1625,PM_ID,0)),""))</f>
        <v/>
      </c>
      <c r="E1625" s="8">
        <f>IF($B1625="","",IFERROR(INDEX(PM_Subcategory,MATCH($B1625,PM_ID,0)),""))</f>
        <v/>
      </c>
      <c r="F1625" s="8">
        <f>IF($B1625="","",IFERROR(INDEX(PM_Brand,MATCH($B1625,PM_ID,0)),""))</f>
        <v/>
      </c>
      <c r="G1625" s="8">
        <f>IF($B1625="","",IFERROR(INDEX(PM_Model,MATCH($B1625,PM_ID,0)),""))</f>
        <v/>
      </c>
      <c r="H1625" s="5" t="n"/>
      <c r="I1625" s="10" t="n"/>
      <c r="J1625" s="9" t="n"/>
      <c r="K1625" s="5" t="n"/>
      <c r="L1625" s="5" t="n"/>
      <c r="M1625" s="5" t="n"/>
      <c r="N1625" s="5" t="n"/>
      <c r="O1625" s="8">
        <f>IF($B1625="","",IF(AND($A1625&lt;&gt;"",COUNTIF(INV_ID,$A1625)&gt;1),"⚠ this Unit ID already exists",IF(AND($H1625&lt;&gt;"",COUNTIF(INV_Serial,$H1625)&gt;1),"⚠ this serial already exists",IF(COUNTIFS(INV_Product,$B1625,INV_No,$C1625)&gt;1,"⚠ piece number reused",""))))</f>
        <v/>
      </c>
      <c r="P1625" s="5" t="n"/>
    </row>
    <row r="1626">
      <c r="A1626" s="8">
        <f>IF(OR($B1626="",$C1626=""),"",IFERROR(INDEX(PM_Short,MATCH($B1626,PM_ID,0))&amp;"-"&amp;TEXT($C1626,"00"),"?? no such product"))</f>
        <v/>
      </c>
      <c r="B1626" s="5" t="n"/>
      <c r="C1626" s="5" t="n"/>
      <c r="D1626" s="8">
        <f>IF($B1626="","",IFERROR(INDEX(PM_Category,MATCH($B1626,PM_ID,0)),""))</f>
        <v/>
      </c>
      <c r="E1626" s="8">
        <f>IF($B1626="","",IFERROR(INDEX(PM_Subcategory,MATCH($B1626,PM_ID,0)),""))</f>
        <v/>
      </c>
      <c r="F1626" s="8">
        <f>IF($B1626="","",IFERROR(INDEX(PM_Brand,MATCH($B1626,PM_ID,0)),""))</f>
        <v/>
      </c>
      <c r="G1626" s="8">
        <f>IF($B1626="","",IFERROR(INDEX(PM_Model,MATCH($B1626,PM_ID,0)),""))</f>
        <v/>
      </c>
      <c r="H1626" s="5" t="n"/>
      <c r="I1626" s="10" t="n"/>
      <c r="J1626" s="9" t="n"/>
      <c r="K1626" s="5" t="n"/>
      <c r="L1626" s="5" t="n"/>
      <c r="M1626" s="5" t="n"/>
      <c r="N1626" s="5" t="n"/>
      <c r="O1626" s="8">
        <f>IF($B1626="","",IF(AND($A1626&lt;&gt;"",COUNTIF(INV_ID,$A1626)&gt;1),"⚠ this Unit ID already exists",IF(AND($H1626&lt;&gt;"",COUNTIF(INV_Serial,$H1626)&gt;1),"⚠ this serial already exists",IF(COUNTIFS(INV_Product,$B1626,INV_No,$C1626)&gt;1,"⚠ piece number reused",""))))</f>
        <v/>
      </c>
      <c r="P1626" s="5" t="n"/>
    </row>
    <row r="1627">
      <c r="A1627" s="8">
        <f>IF(OR($B1627="",$C1627=""),"",IFERROR(INDEX(PM_Short,MATCH($B1627,PM_ID,0))&amp;"-"&amp;TEXT($C1627,"00"),"?? no such product"))</f>
        <v/>
      </c>
      <c r="B1627" s="5" t="n"/>
      <c r="C1627" s="5" t="n"/>
      <c r="D1627" s="8">
        <f>IF($B1627="","",IFERROR(INDEX(PM_Category,MATCH($B1627,PM_ID,0)),""))</f>
        <v/>
      </c>
      <c r="E1627" s="8">
        <f>IF($B1627="","",IFERROR(INDEX(PM_Subcategory,MATCH($B1627,PM_ID,0)),""))</f>
        <v/>
      </c>
      <c r="F1627" s="8">
        <f>IF($B1627="","",IFERROR(INDEX(PM_Brand,MATCH($B1627,PM_ID,0)),""))</f>
        <v/>
      </c>
      <c r="G1627" s="8">
        <f>IF($B1627="","",IFERROR(INDEX(PM_Model,MATCH($B1627,PM_ID,0)),""))</f>
        <v/>
      </c>
      <c r="H1627" s="5" t="n"/>
      <c r="I1627" s="10" t="n"/>
      <c r="J1627" s="9" t="n"/>
      <c r="K1627" s="5" t="n"/>
      <c r="L1627" s="5" t="n"/>
      <c r="M1627" s="5" t="n"/>
      <c r="N1627" s="5" t="n"/>
      <c r="O1627" s="8">
        <f>IF($B1627="","",IF(AND($A1627&lt;&gt;"",COUNTIF(INV_ID,$A1627)&gt;1),"⚠ this Unit ID already exists",IF(AND($H1627&lt;&gt;"",COUNTIF(INV_Serial,$H1627)&gt;1),"⚠ this serial already exists",IF(COUNTIFS(INV_Product,$B1627,INV_No,$C1627)&gt;1,"⚠ piece number reused",""))))</f>
        <v/>
      </c>
      <c r="P1627" s="5" t="n"/>
    </row>
    <row r="1628">
      <c r="A1628" s="8">
        <f>IF(OR($B1628="",$C1628=""),"",IFERROR(INDEX(PM_Short,MATCH($B1628,PM_ID,0))&amp;"-"&amp;TEXT($C1628,"00"),"?? no such product"))</f>
        <v/>
      </c>
      <c r="B1628" s="5" t="n"/>
      <c r="C1628" s="5" t="n"/>
      <c r="D1628" s="8">
        <f>IF($B1628="","",IFERROR(INDEX(PM_Category,MATCH($B1628,PM_ID,0)),""))</f>
        <v/>
      </c>
      <c r="E1628" s="8">
        <f>IF($B1628="","",IFERROR(INDEX(PM_Subcategory,MATCH($B1628,PM_ID,0)),""))</f>
        <v/>
      </c>
      <c r="F1628" s="8">
        <f>IF($B1628="","",IFERROR(INDEX(PM_Brand,MATCH($B1628,PM_ID,0)),""))</f>
        <v/>
      </c>
      <c r="G1628" s="8">
        <f>IF($B1628="","",IFERROR(INDEX(PM_Model,MATCH($B1628,PM_ID,0)),""))</f>
        <v/>
      </c>
      <c r="H1628" s="5" t="n"/>
      <c r="I1628" s="10" t="n"/>
      <c r="J1628" s="9" t="n"/>
      <c r="K1628" s="5" t="n"/>
      <c r="L1628" s="5" t="n"/>
      <c r="M1628" s="5" t="n"/>
      <c r="N1628" s="5" t="n"/>
      <c r="O1628" s="8">
        <f>IF($B1628="","",IF(AND($A1628&lt;&gt;"",COUNTIF(INV_ID,$A1628)&gt;1),"⚠ this Unit ID already exists",IF(AND($H1628&lt;&gt;"",COUNTIF(INV_Serial,$H1628)&gt;1),"⚠ this serial already exists",IF(COUNTIFS(INV_Product,$B1628,INV_No,$C1628)&gt;1,"⚠ piece number reused",""))))</f>
        <v/>
      </c>
      <c r="P1628" s="5" t="n"/>
    </row>
    <row r="1629">
      <c r="A1629" s="8">
        <f>IF(OR($B1629="",$C1629=""),"",IFERROR(INDEX(PM_Short,MATCH($B1629,PM_ID,0))&amp;"-"&amp;TEXT($C1629,"00"),"?? no such product"))</f>
        <v/>
      </c>
      <c r="B1629" s="5" t="n"/>
      <c r="C1629" s="5" t="n"/>
      <c r="D1629" s="8">
        <f>IF($B1629="","",IFERROR(INDEX(PM_Category,MATCH($B1629,PM_ID,0)),""))</f>
        <v/>
      </c>
      <c r="E1629" s="8">
        <f>IF($B1629="","",IFERROR(INDEX(PM_Subcategory,MATCH($B1629,PM_ID,0)),""))</f>
        <v/>
      </c>
      <c r="F1629" s="8">
        <f>IF($B1629="","",IFERROR(INDEX(PM_Brand,MATCH($B1629,PM_ID,0)),""))</f>
        <v/>
      </c>
      <c r="G1629" s="8">
        <f>IF($B1629="","",IFERROR(INDEX(PM_Model,MATCH($B1629,PM_ID,0)),""))</f>
        <v/>
      </c>
      <c r="H1629" s="5" t="n"/>
      <c r="I1629" s="10" t="n"/>
      <c r="J1629" s="9" t="n"/>
      <c r="K1629" s="5" t="n"/>
      <c r="L1629" s="5" t="n"/>
      <c r="M1629" s="5" t="n"/>
      <c r="N1629" s="5" t="n"/>
      <c r="O1629" s="8">
        <f>IF($B1629="","",IF(AND($A1629&lt;&gt;"",COUNTIF(INV_ID,$A1629)&gt;1),"⚠ this Unit ID already exists",IF(AND($H1629&lt;&gt;"",COUNTIF(INV_Serial,$H1629)&gt;1),"⚠ this serial already exists",IF(COUNTIFS(INV_Product,$B1629,INV_No,$C1629)&gt;1,"⚠ piece number reused",""))))</f>
        <v/>
      </c>
      <c r="P1629" s="5" t="n"/>
    </row>
    <row r="1630">
      <c r="A1630" s="8">
        <f>IF(OR($B1630="",$C1630=""),"",IFERROR(INDEX(PM_Short,MATCH($B1630,PM_ID,0))&amp;"-"&amp;TEXT($C1630,"00"),"?? no such product"))</f>
        <v/>
      </c>
      <c r="B1630" s="5" t="n"/>
      <c r="C1630" s="5" t="n"/>
      <c r="D1630" s="8">
        <f>IF($B1630="","",IFERROR(INDEX(PM_Category,MATCH($B1630,PM_ID,0)),""))</f>
        <v/>
      </c>
      <c r="E1630" s="8">
        <f>IF($B1630="","",IFERROR(INDEX(PM_Subcategory,MATCH($B1630,PM_ID,0)),""))</f>
        <v/>
      </c>
      <c r="F1630" s="8">
        <f>IF($B1630="","",IFERROR(INDEX(PM_Brand,MATCH($B1630,PM_ID,0)),""))</f>
        <v/>
      </c>
      <c r="G1630" s="8">
        <f>IF($B1630="","",IFERROR(INDEX(PM_Model,MATCH($B1630,PM_ID,0)),""))</f>
        <v/>
      </c>
      <c r="H1630" s="5" t="n"/>
      <c r="I1630" s="10" t="n"/>
      <c r="J1630" s="9" t="n"/>
      <c r="K1630" s="5" t="n"/>
      <c r="L1630" s="5" t="n"/>
      <c r="M1630" s="5" t="n"/>
      <c r="N1630" s="5" t="n"/>
      <c r="O1630" s="8">
        <f>IF($B1630="","",IF(AND($A1630&lt;&gt;"",COUNTIF(INV_ID,$A1630)&gt;1),"⚠ this Unit ID already exists",IF(AND($H1630&lt;&gt;"",COUNTIF(INV_Serial,$H1630)&gt;1),"⚠ this serial already exists",IF(COUNTIFS(INV_Product,$B1630,INV_No,$C1630)&gt;1,"⚠ piece number reused",""))))</f>
        <v/>
      </c>
      <c r="P1630" s="5" t="n"/>
    </row>
    <row r="1631">
      <c r="A1631" s="8">
        <f>IF(OR($B1631="",$C1631=""),"",IFERROR(INDEX(PM_Short,MATCH($B1631,PM_ID,0))&amp;"-"&amp;TEXT($C1631,"00"),"?? no such product"))</f>
        <v/>
      </c>
      <c r="B1631" s="5" t="n"/>
      <c r="C1631" s="5" t="n"/>
      <c r="D1631" s="8">
        <f>IF($B1631="","",IFERROR(INDEX(PM_Category,MATCH($B1631,PM_ID,0)),""))</f>
        <v/>
      </c>
      <c r="E1631" s="8">
        <f>IF($B1631="","",IFERROR(INDEX(PM_Subcategory,MATCH($B1631,PM_ID,0)),""))</f>
        <v/>
      </c>
      <c r="F1631" s="8">
        <f>IF($B1631="","",IFERROR(INDEX(PM_Brand,MATCH($B1631,PM_ID,0)),""))</f>
        <v/>
      </c>
      <c r="G1631" s="8">
        <f>IF($B1631="","",IFERROR(INDEX(PM_Model,MATCH($B1631,PM_ID,0)),""))</f>
        <v/>
      </c>
      <c r="H1631" s="5" t="n"/>
      <c r="I1631" s="10" t="n"/>
      <c r="J1631" s="9" t="n"/>
      <c r="K1631" s="5" t="n"/>
      <c r="L1631" s="5" t="n"/>
      <c r="M1631" s="5" t="n"/>
      <c r="N1631" s="5" t="n"/>
      <c r="O1631" s="8">
        <f>IF($B1631="","",IF(AND($A1631&lt;&gt;"",COUNTIF(INV_ID,$A1631)&gt;1),"⚠ this Unit ID already exists",IF(AND($H1631&lt;&gt;"",COUNTIF(INV_Serial,$H1631)&gt;1),"⚠ this serial already exists",IF(COUNTIFS(INV_Product,$B1631,INV_No,$C1631)&gt;1,"⚠ piece number reused",""))))</f>
        <v/>
      </c>
      <c r="P1631" s="5" t="n"/>
    </row>
    <row r="1632">
      <c r="A1632" s="8">
        <f>IF(OR($B1632="",$C1632=""),"",IFERROR(INDEX(PM_Short,MATCH($B1632,PM_ID,0))&amp;"-"&amp;TEXT($C1632,"00"),"?? no such product"))</f>
        <v/>
      </c>
      <c r="B1632" s="5" t="n"/>
      <c r="C1632" s="5" t="n"/>
      <c r="D1632" s="8">
        <f>IF($B1632="","",IFERROR(INDEX(PM_Category,MATCH($B1632,PM_ID,0)),""))</f>
        <v/>
      </c>
      <c r="E1632" s="8">
        <f>IF($B1632="","",IFERROR(INDEX(PM_Subcategory,MATCH($B1632,PM_ID,0)),""))</f>
        <v/>
      </c>
      <c r="F1632" s="8">
        <f>IF($B1632="","",IFERROR(INDEX(PM_Brand,MATCH($B1632,PM_ID,0)),""))</f>
        <v/>
      </c>
      <c r="G1632" s="8">
        <f>IF($B1632="","",IFERROR(INDEX(PM_Model,MATCH($B1632,PM_ID,0)),""))</f>
        <v/>
      </c>
      <c r="H1632" s="5" t="n"/>
      <c r="I1632" s="10" t="n"/>
      <c r="J1632" s="9" t="n"/>
      <c r="K1632" s="5" t="n"/>
      <c r="L1632" s="5" t="n"/>
      <c r="M1632" s="5" t="n"/>
      <c r="N1632" s="5" t="n"/>
      <c r="O1632" s="8">
        <f>IF($B1632="","",IF(AND($A1632&lt;&gt;"",COUNTIF(INV_ID,$A1632)&gt;1),"⚠ this Unit ID already exists",IF(AND($H1632&lt;&gt;"",COUNTIF(INV_Serial,$H1632)&gt;1),"⚠ this serial already exists",IF(COUNTIFS(INV_Product,$B1632,INV_No,$C1632)&gt;1,"⚠ piece number reused",""))))</f>
        <v/>
      </c>
      <c r="P1632" s="5" t="n"/>
    </row>
    <row r="1633">
      <c r="A1633" s="8">
        <f>IF(OR($B1633="",$C1633=""),"",IFERROR(INDEX(PM_Short,MATCH($B1633,PM_ID,0))&amp;"-"&amp;TEXT($C1633,"00"),"?? no such product"))</f>
        <v/>
      </c>
      <c r="B1633" s="5" t="n"/>
      <c r="C1633" s="5" t="n"/>
      <c r="D1633" s="8">
        <f>IF($B1633="","",IFERROR(INDEX(PM_Category,MATCH($B1633,PM_ID,0)),""))</f>
        <v/>
      </c>
      <c r="E1633" s="8">
        <f>IF($B1633="","",IFERROR(INDEX(PM_Subcategory,MATCH($B1633,PM_ID,0)),""))</f>
        <v/>
      </c>
      <c r="F1633" s="8">
        <f>IF($B1633="","",IFERROR(INDEX(PM_Brand,MATCH($B1633,PM_ID,0)),""))</f>
        <v/>
      </c>
      <c r="G1633" s="8">
        <f>IF($B1633="","",IFERROR(INDEX(PM_Model,MATCH($B1633,PM_ID,0)),""))</f>
        <v/>
      </c>
      <c r="H1633" s="5" t="n"/>
      <c r="I1633" s="10" t="n"/>
      <c r="J1633" s="9" t="n"/>
      <c r="K1633" s="5" t="n"/>
      <c r="L1633" s="5" t="n"/>
      <c r="M1633" s="5" t="n"/>
      <c r="N1633" s="5" t="n"/>
      <c r="O1633" s="8">
        <f>IF($B1633="","",IF(AND($A1633&lt;&gt;"",COUNTIF(INV_ID,$A1633)&gt;1),"⚠ this Unit ID already exists",IF(AND($H1633&lt;&gt;"",COUNTIF(INV_Serial,$H1633)&gt;1),"⚠ this serial already exists",IF(COUNTIFS(INV_Product,$B1633,INV_No,$C1633)&gt;1,"⚠ piece number reused",""))))</f>
        <v/>
      </c>
      <c r="P1633" s="5" t="n"/>
    </row>
    <row r="1634">
      <c r="A1634" s="8">
        <f>IF(OR($B1634="",$C1634=""),"",IFERROR(INDEX(PM_Short,MATCH($B1634,PM_ID,0))&amp;"-"&amp;TEXT($C1634,"00"),"?? no such product"))</f>
        <v/>
      </c>
      <c r="B1634" s="5" t="n"/>
      <c r="C1634" s="5" t="n"/>
      <c r="D1634" s="8">
        <f>IF($B1634="","",IFERROR(INDEX(PM_Category,MATCH($B1634,PM_ID,0)),""))</f>
        <v/>
      </c>
      <c r="E1634" s="8">
        <f>IF($B1634="","",IFERROR(INDEX(PM_Subcategory,MATCH($B1634,PM_ID,0)),""))</f>
        <v/>
      </c>
      <c r="F1634" s="8">
        <f>IF($B1634="","",IFERROR(INDEX(PM_Brand,MATCH($B1634,PM_ID,0)),""))</f>
        <v/>
      </c>
      <c r="G1634" s="8">
        <f>IF($B1634="","",IFERROR(INDEX(PM_Model,MATCH($B1634,PM_ID,0)),""))</f>
        <v/>
      </c>
      <c r="H1634" s="5" t="n"/>
      <c r="I1634" s="10" t="n"/>
      <c r="J1634" s="9" t="n"/>
      <c r="K1634" s="5" t="n"/>
      <c r="L1634" s="5" t="n"/>
      <c r="M1634" s="5" t="n"/>
      <c r="N1634" s="5" t="n"/>
      <c r="O1634" s="8">
        <f>IF($B1634="","",IF(AND($A1634&lt;&gt;"",COUNTIF(INV_ID,$A1634)&gt;1),"⚠ this Unit ID already exists",IF(AND($H1634&lt;&gt;"",COUNTIF(INV_Serial,$H1634)&gt;1),"⚠ this serial already exists",IF(COUNTIFS(INV_Product,$B1634,INV_No,$C1634)&gt;1,"⚠ piece number reused",""))))</f>
        <v/>
      </c>
      <c r="P1634" s="5" t="n"/>
    </row>
    <row r="1635">
      <c r="A1635" s="8">
        <f>IF(OR($B1635="",$C1635=""),"",IFERROR(INDEX(PM_Short,MATCH($B1635,PM_ID,0))&amp;"-"&amp;TEXT($C1635,"00"),"?? no such product"))</f>
        <v/>
      </c>
      <c r="B1635" s="5" t="n"/>
      <c r="C1635" s="5" t="n"/>
      <c r="D1635" s="8">
        <f>IF($B1635="","",IFERROR(INDEX(PM_Category,MATCH($B1635,PM_ID,0)),""))</f>
        <v/>
      </c>
      <c r="E1635" s="8">
        <f>IF($B1635="","",IFERROR(INDEX(PM_Subcategory,MATCH($B1635,PM_ID,0)),""))</f>
        <v/>
      </c>
      <c r="F1635" s="8">
        <f>IF($B1635="","",IFERROR(INDEX(PM_Brand,MATCH($B1635,PM_ID,0)),""))</f>
        <v/>
      </c>
      <c r="G1635" s="8">
        <f>IF($B1635="","",IFERROR(INDEX(PM_Model,MATCH($B1635,PM_ID,0)),""))</f>
        <v/>
      </c>
      <c r="H1635" s="5" t="n"/>
      <c r="I1635" s="10" t="n"/>
      <c r="J1635" s="9" t="n"/>
      <c r="K1635" s="5" t="n"/>
      <c r="L1635" s="5" t="n"/>
      <c r="M1635" s="5" t="n"/>
      <c r="N1635" s="5" t="n"/>
      <c r="O1635" s="8">
        <f>IF($B1635="","",IF(AND($A1635&lt;&gt;"",COUNTIF(INV_ID,$A1635)&gt;1),"⚠ this Unit ID already exists",IF(AND($H1635&lt;&gt;"",COUNTIF(INV_Serial,$H1635)&gt;1),"⚠ this serial already exists",IF(COUNTIFS(INV_Product,$B1635,INV_No,$C1635)&gt;1,"⚠ piece number reused",""))))</f>
        <v/>
      </c>
      <c r="P1635" s="5" t="n"/>
    </row>
    <row r="1636">
      <c r="A1636" s="8">
        <f>IF(OR($B1636="",$C1636=""),"",IFERROR(INDEX(PM_Short,MATCH($B1636,PM_ID,0))&amp;"-"&amp;TEXT($C1636,"00"),"?? no such product"))</f>
        <v/>
      </c>
      <c r="B1636" s="5" t="n"/>
      <c r="C1636" s="5" t="n"/>
      <c r="D1636" s="8">
        <f>IF($B1636="","",IFERROR(INDEX(PM_Category,MATCH($B1636,PM_ID,0)),""))</f>
        <v/>
      </c>
      <c r="E1636" s="8">
        <f>IF($B1636="","",IFERROR(INDEX(PM_Subcategory,MATCH($B1636,PM_ID,0)),""))</f>
        <v/>
      </c>
      <c r="F1636" s="8">
        <f>IF($B1636="","",IFERROR(INDEX(PM_Brand,MATCH($B1636,PM_ID,0)),""))</f>
        <v/>
      </c>
      <c r="G1636" s="8">
        <f>IF($B1636="","",IFERROR(INDEX(PM_Model,MATCH($B1636,PM_ID,0)),""))</f>
        <v/>
      </c>
      <c r="H1636" s="5" t="n"/>
      <c r="I1636" s="10" t="n"/>
      <c r="J1636" s="9" t="n"/>
      <c r="K1636" s="5" t="n"/>
      <c r="L1636" s="5" t="n"/>
      <c r="M1636" s="5" t="n"/>
      <c r="N1636" s="5" t="n"/>
      <c r="O1636" s="8">
        <f>IF($B1636="","",IF(AND($A1636&lt;&gt;"",COUNTIF(INV_ID,$A1636)&gt;1),"⚠ this Unit ID already exists",IF(AND($H1636&lt;&gt;"",COUNTIF(INV_Serial,$H1636)&gt;1),"⚠ this serial already exists",IF(COUNTIFS(INV_Product,$B1636,INV_No,$C1636)&gt;1,"⚠ piece number reused",""))))</f>
        <v/>
      </c>
      <c r="P1636" s="5" t="n"/>
    </row>
    <row r="1637">
      <c r="A1637" s="8">
        <f>IF(OR($B1637="",$C1637=""),"",IFERROR(INDEX(PM_Short,MATCH($B1637,PM_ID,0))&amp;"-"&amp;TEXT($C1637,"00"),"?? no such product"))</f>
        <v/>
      </c>
      <c r="B1637" s="5" t="n"/>
      <c r="C1637" s="5" t="n"/>
      <c r="D1637" s="8">
        <f>IF($B1637="","",IFERROR(INDEX(PM_Category,MATCH($B1637,PM_ID,0)),""))</f>
        <v/>
      </c>
      <c r="E1637" s="8">
        <f>IF($B1637="","",IFERROR(INDEX(PM_Subcategory,MATCH($B1637,PM_ID,0)),""))</f>
        <v/>
      </c>
      <c r="F1637" s="8">
        <f>IF($B1637="","",IFERROR(INDEX(PM_Brand,MATCH($B1637,PM_ID,0)),""))</f>
        <v/>
      </c>
      <c r="G1637" s="8">
        <f>IF($B1637="","",IFERROR(INDEX(PM_Model,MATCH($B1637,PM_ID,0)),""))</f>
        <v/>
      </c>
      <c r="H1637" s="5" t="n"/>
      <c r="I1637" s="10" t="n"/>
      <c r="J1637" s="9" t="n"/>
      <c r="K1637" s="5" t="n"/>
      <c r="L1637" s="5" t="n"/>
      <c r="M1637" s="5" t="n"/>
      <c r="N1637" s="5" t="n"/>
      <c r="O1637" s="8">
        <f>IF($B1637="","",IF(AND($A1637&lt;&gt;"",COUNTIF(INV_ID,$A1637)&gt;1),"⚠ this Unit ID already exists",IF(AND($H1637&lt;&gt;"",COUNTIF(INV_Serial,$H1637)&gt;1),"⚠ this serial already exists",IF(COUNTIFS(INV_Product,$B1637,INV_No,$C1637)&gt;1,"⚠ piece number reused",""))))</f>
        <v/>
      </c>
      <c r="P1637" s="5" t="n"/>
    </row>
    <row r="1638">
      <c r="A1638" s="8">
        <f>IF(OR($B1638="",$C1638=""),"",IFERROR(INDEX(PM_Short,MATCH($B1638,PM_ID,0))&amp;"-"&amp;TEXT($C1638,"00"),"?? no such product"))</f>
        <v/>
      </c>
      <c r="B1638" s="5" t="n"/>
      <c r="C1638" s="5" t="n"/>
      <c r="D1638" s="8">
        <f>IF($B1638="","",IFERROR(INDEX(PM_Category,MATCH($B1638,PM_ID,0)),""))</f>
        <v/>
      </c>
      <c r="E1638" s="8">
        <f>IF($B1638="","",IFERROR(INDEX(PM_Subcategory,MATCH($B1638,PM_ID,0)),""))</f>
        <v/>
      </c>
      <c r="F1638" s="8">
        <f>IF($B1638="","",IFERROR(INDEX(PM_Brand,MATCH($B1638,PM_ID,0)),""))</f>
        <v/>
      </c>
      <c r="G1638" s="8">
        <f>IF($B1638="","",IFERROR(INDEX(PM_Model,MATCH($B1638,PM_ID,0)),""))</f>
        <v/>
      </c>
      <c r="H1638" s="5" t="n"/>
      <c r="I1638" s="10" t="n"/>
      <c r="J1638" s="9" t="n"/>
      <c r="K1638" s="5" t="n"/>
      <c r="L1638" s="5" t="n"/>
      <c r="M1638" s="5" t="n"/>
      <c r="N1638" s="5" t="n"/>
      <c r="O1638" s="8">
        <f>IF($B1638="","",IF(AND($A1638&lt;&gt;"",COUNTIF(INV_ID,$A1638)&gt;1),"⚠ this Unit ID already exists",IF(AND($H1638&lt;&gt;"",COUNTIF(INV_Serial,$H1638)&gt;1),"⚠ this serial already exists",IF(COUNTIFS(INV_Product,$B1638,INV_No,$C1638)&gt;1,"⚠ piece number reused",""))))</f>
        <v/>
      </c>
      <c r="P1638" s="5" t="n"/>
    </row>
    <row r="1639">
      <c r="A1639" s="8">
        <f>IF(OR($B1639="",$C1639=""),"",IFERROR(INDEX(PM_Short,MATCH($B1639,PM_ID,0))&amp;"-"&amp;TEXT($C1639,"00"),"?? no such product"))</f>
        <v/>
      </c>
      <c r="B1639" s="5" t="n"/>
      <c r="C1639" s="5" t="n"/>
      <c r="D1639" s="8">
        <f>IF($B1639="","",IFERROR(INDEX(PM_Category,MATCH($B1639,PM_ID,0)),""))</f>
        <v/>
      </c>
      <c r="E1639" s="8">
        <f>IF($B1639="","",IFERROR(INDEX(PM_Subcategory,MATCH($B1639,PM_ID,0)),""))</f>
        <v/>
      </c>
      <c r="F1639" s="8">
        <f>IF($B1639="","",IFERROR(INDEX(PM_Brand,MATCH($B1639,PM_ID,0)),""))</f>
        <v/>
      </c>
      <c r="G1639" s="8">
        <f>IF($B1639="","",IFERROR(INDEX(PM_Model,MATCH($B1639,PM_ID,0)),""))</f>
        <v/>
      </c>
      <c r="H1639" s="5" t="n"/>
      <c r="I1639" s="10" t="n"/>
      <c r="J1639" s="9" t="n"/>
      <c r="K1639" s="5" t="n"/>
      <c r="L1639" s="5" t="n"/>
      <c r="M1639" s="5" t="n"/>
      <c r="N1639" s="5" t="n"/>
      <c r="O1639" s="8">
        <f>IF($B1639="","",IF(AND($A1639&lt;&gt;"",COUNTIF(INV_ID,$A1639)&gt;1),"⚠ this Unit ID already exists",IF(AND($H1639&lt;&gt;"",COUNTIF(INV_Serial,$H1639)&gt;1),"⚠ this serial already exists",IF(COUNTIFS(INV_Product,$B1639,INV_No,$C1639)&gt;1,"⚠ piece number reused",""))))</f>
        <v/>
      </c>
      <c r="P1639" s="5" t="n"/>
    </row>
    <row r="1640">
      <c r="A1640" s="8">
        <f>IF(OR($B1640="",$C1640=""),"",IFERROR(INDEX(PM_Short,MATCH($B1640,PM_ID,0))&amp;"-"&amp;TEXT($C1640,"00"),"?? no such product"))</f>
        <v/>
      </c>
      <c r="B1640" s="5" t="n"/>
      <c r="C1640" s="5" t="n"/>
      <c r="D1640" s="8">
        <f>IF($B1640="","",IFERROR(INDEX(PM_Category,MATCH($B1640,PM_ID,0)),""))</f>
        <v/>
      </c>
      <c r="E1640" s="8">
        <f>IF($B1640="","",IFERROR(INDEX(PM_Subcategory,MATCH($B1640,PM_ID,0)),""))</f>
        <v/>
      </c>
      <c r="F1640" s="8">
        <f>IF($B1640="","",IFERROR(INDEX(PM_Brand,MATCH($B1640,PM_ID,0)),""))</f>
        <v/>
      </c>
      <c r="G1640" s="8">
        <f>IF($B1640="","",IFERROR(INDEX(PM_Model,MATCH($B1640,PM_ID,0)),""))</f>
        <v/>
      </c>
      <c r="H1640" s="5" t="n"/>
      <c r="I1640" s="10" t="n"/>
      <c r="J1640" s="9" t="n"/>
      <c r="K1640" s="5" t="n"/>
      <c r="L1640" s="5" t="n"/>
      <c r="M1640" s="5" t="n"/>
      <c r="N1640" s="5" t="n"/>
      <c r="O1640" s="8">
        <f>IF($B1640="","",IF(AND($A1640&lt;&gt;"",COUNTIF(INV_ID,$A1640)&gt;1),"⚠ this Unit ID already exists",IF(AND($H1640&lt;&gt;"",COUNTIF(INV_Serial,$H1640)&gt;1),"⚠ this serial already exists",IF(COUNTIFS(INV_Product,$B1640,INV_No,$C1640)&gt;1,"⚠ piece number reused",""))))</f>
        <v/>
      </c>
      <c r="P1640" s="5" t="n"/>
    </row>
    <row r="1641">
      <c r="A1641" s="8">
        <f>IF(OR($B1641="",$C1641=""),"",IFERROR(INDEX(PM_Short,MATCH($B1641,PM_ID,0))&amp;"-"&amp;TEXT($C1641,"00"),"?? no such product"))</f>
        <v/>
      </c>
      <c r="B1641" s="5" t="n"/>
      <c r="C1641" s="5" t="n"/>
      <c r="D1641" s="8">
        <f>IF($B1641="","",IFERROR(INDEX(PM_Category,MATCH($B1641,PM_ID,0)),""))</f>
        <v/>
      </c>
      <c r="E1641" s="8">
        <f>IF($B1641="","",IFERROR(INDEX(PM_Subcategory,MATCH($B1641,PM_ID,0)),""))</f>
        <v/>
      </c>
      <c r="F1641" s="8">
        <f>IF($B1641="","",IFERROR(INDEX(PM_Brand,MATCH($B1641,PM_ID,0)),""))</f>
        <v/>
      </c>
      <c r="G1641" s="8">
        <f>IF($B1641="","",IFERROR(INDEX(PM_Model,MATCH($B1641,PM_ID,0)),""))</f>
        <v/>
      </c>
      <c r="H1641" s="5" t="n"/>
      <c r="I1641" s="10" t="n"/>
      <c r="J1641" s="9" t="n"/>
      <c r="K1641" s="5" t="n"/>
      <c r="L1641" s="5" t="n"/>
      <c r="M1641" s="5" t="n"/>
      <c r="N1641" s="5" t="n"/>
      <c r="O1641" s="8">
        <f>IF($B1641="","",IF(AND($A1641&lt;&gt;"",COUNTIF(INV_ID,$A1641)&gt;1),"⚠ this Unit ID already exists",IF(AND($H1641&lt;&gt;"",COUNTIF(INV_Serial,$H1641)&gt;1),"⚠ this serial already exists",IF(COUNTIFS(INV_Product,$B1641,INV_No,$C1641)&gt;1,"⚠ piece number reused",""))))</f>
        <v/>
      </c>
      <c r="P1641" s="5" t="n"/>
    </row>
    <row r="1642">
      <c r="A1642" s="8">
        <f>IF(OR($B1642="",$C1642=""),"",IFERROR(INDEX(PM_Short,MATCH($B1642,PM_ID,0))&amp;"-"&amp;TEXT($C1642,"00"),"?? no such product"))</f>
        <v/>
      </c>
      <c r="B1642" s="5" t="n"/>
      <c r="C1642" s="5" t="n"/>
      <c r="D1642" s="8">
        <f>IF($B1642="","",IFERROR(INDEX(PM_Category,MATCH($B1642,PM_ID,0)),""))</f>
        <v/>
      </c>
      <c r="E1642" s="8">
        <f>IF($B1642="","",IFERROR(INDEX(PM_Subcategory,MATCH($B1642,PM_ID,0)),""))</f>
        <v/>
      </c>
      <c r="F1642" s="8">
        <f>IF($B1642="","",IFERROR(INDEX(PM_Brand,MATCH($B1642,PM_ID,0)),""))</f>
        <v/>
      </c>
      <c r="G1642" s="8">
        <f>IF($B1642="","",IFERROR(INDEX(PM_Model,MATCH($B1642,PM_ID,0)),""))</f>
        <v/>
      </c>
      <c r="H1642" s="5" t="n"/>
      <c r="I1642" s="10" t="n"/>
      <c r="J1642" s="9" t="n"/>
      <c r="K1642" s="5" t="n"/>
      <c r="L1642" s="5" t="n"/>
      <c r="M1642" s="5" t="n"/>
      <c r="N1642" s="5" t="n"/>
      <c r="O1642" s="8">
        <f>IF($B1642="","",IF(AND($A1642&lt;&gt;"",COUNTIF(INV_ID,$A1642)&gt;1),"⚠ this Unit ID already exists",IF(AND($H1642&lt;&gt;"",COUNTIF(INV_Serial,$H1642)&gt;1),"⚠ this serial already exists",IF(COUNTIFS(INV_Product,$B1642,INV_No,$C1642)&gt;1,"⚠ piece number reused",""))))</f>
        <v/>
      </c>
      <c r="P1642" s="5" t="n"/>
    </row>
    <row r="1643">
      <c r="A1643" s="8">
        <f>IF(OR($B1643="",$C1643=""),"",IFERROR(INDEX(PM_Short,MATCH($B1643,PM_ID,0))&amp;"-"&amp;TEXT($C1643,"00"),"?? no such product"))</f>
        <v/>
      </c>
      <c r="B1643" s="5" t="n"/>
      <c r="C1643" s="5" t="n"/>
      <c r="D1643" s="8">
        <f>IF($B1643="","",IFERROR(INDEX(PM_Category,MATCH($B1643,PM_ID,0)),""))</f>
        <v/>
      </c>
      <c r="E1643" s="8">
        <f>IF($B1643="","",IFERROR(INDEX(PM_Subcategory,MATCH($B1643,PM_ID,0)),""))</f>
        <v/>
      </c>
      <c r="F1643" s="8">
        <f>IF($B1643="","",IFERROR(INDEX(PM_Brand,MATCH($B1643,PM_ID,0)),""))</f>
        <v/>
      </c>
      <c r="G1643" s="8">
        <f>IF($B1643="","",IFERROR(INDEX(PM_Model,MATCH($B1643,PM_ID,0)),""))</f>
        <v/>
      </c>
      <c r="H1643" s="5" t="n"/>
      <c r="I1643" s="10" t="n"/>
      <c r="J1643" s="9" t="n"/>
      <c r="K1643" s="5" t="n"/>
      <c r="L1643" s="5" t="n"/>
      <c r="M1643" s="5" t="n"/>
      <c r="N1643" s="5" t="n"/>
      <c r="O1643" s="8">
        <f>IF($B1643="","",IF(AND($A1643&lt;&gt;"",COUNTIF(INV_ID,$A1643)&gt;1),"⚠ this Unit ID already exists",IF(AND($H1643&lt;&gt;"",COUNTIF(INV_Serial,$H1643)&gt;1),"⚠ this serial already exists",IF(COUNTIFS(INV_Product,$B1643,INV_No,$C1643)&gt;1,"⚠ piece number reused",""))))</f>
        <v/>
      </c>
      <c r="P1643" s="5" t="n"/>
    </row>
    <row r="1644">
      <c r="A1644" s="8">
        <f>IF(OR($B1644="",$C1644=""),"",IFERROR(INDEX(PM_Short,MATCH($B1644,PM_ID,0))&amp;"-"&amp;TEXT($C1644,"00"),"?? no such product"))</f>
        <v/>
      </c>
      <c r="B1644" s="5" t="n"/>
      <c r="C1644" s="5" t="n"/>
      <c r="D1644" s="8">
        <f>IF($B1644="","",IFERROR(INDEX(PM_Category,MATCH($B1644,PM_ID,0)),""))</f>
        <v/>
      </c>
      <c r="E1644" s="8">
        <f>IF($B1644="","",IFERROR(INDEX(PM_Subcategory,MATCH($B1644,PM_ID,0)),""))</f>
        <v/>
      </c>
      <c r="F1644" s="8">
        <f>IF($B1644="","",IFERROR(INDEX(PM_Brand,MATCH($B1644,PM_ID,0)),""))</f>
        <v/>
      </c>
      <c r="G1644" s="8">
        <f>IF($B1644="","",IFERROR(INDEX(PM_Model,MATCH($B1644,PM_ID,0)),""))</f>
        <v/>
      </c>
      <c r="H1644" s="5" t="n"/>
      <c r="I1644" s="10" t="n"/>
      <c r="J1644" s="9" t="n"/>
      <c r="K1644" s="5" t="n"/>
      <c r="L1644" s="5" t="n"/>
      <c r="M1644" s="5" t="n"/>
      <c r="N1644" s="5" t="n"/>
      <c r="O1644" s="8">
        <f>IF($B1644="","",IF(AND($A1644&lt;&gt;"",COUNTIF(INV_ID,$A1644)&gt;1),"⚠ this Unit ID already exists",IF(AND($H1644&lt;&gt;"",COUNTIF(INV_Serial,$H1644)&gt;1),"⚠ this serial already exists",IF(COUNTIFS(INV_Product,$B1644,INV_No,$C1644)&gt;1,"⚠ piece number reused",""))))</f>
        <v/>
      </c>
      <c r="P1644" s="5" t="n"/>
    </row>
    <row r="1645">
      <c r="A1645" s="8">
        <f>IF(OR($B1645="",$C1645=""),"",IFERROR(INDEX(PM_Short,MATCH($B1645,PM_ID,0))&amp;"-"&amp;TEXT($C1645,"00"),"?? no such product"))</f>
        <v/>
      </c>
      <c r="B1645" s="5" t="n"/>
      <c r="C1645" s="5" t="n"/>
      <c r="D1645" s="8">
        <f>IF($B1645="","",IFERROR(INDEX(PM_Category,MATCH($B1645,PM_ID,0)),""))</f>
        <v/>
      </c>
      <c r="E1645" s="8">
        <f>IF($B1645="","",IFERROR(INDEX(PM_Subcategory,MATCH($B1645,PM_ID,0)),""))</f>
        <v/>
      </c>
      <c r="F1645" s="8">
        <f>IF($B1645="","",IFERROR(INDEX(PM_Brand,MATCH($B1645,PM_ID,0)),""))</f>
        <v/>
      </c>
      <c r="G1645" s="8">
        <f>IF($B1645="","",IFERROR(INDEX(PM_Model,MATCH($B1645,PM_ID,0)),""))</f>
        <v/>
      </c>
      <c r="H1645" s="5" t="n"/>
      <c r="I1645" s="10" t="n"/>
      <c r="J1645" s="9" t="n"/>
      <c r="K1645" s="5" t="n"/>
      <c r="L1645" s="5" t="n"/>
      <c r="M1645" s="5" t="n"/>
      <c r="N1645" s="5" t="n"/>
      <c r="O1645" s="8">
        <f>IF($B1645="","",IF(AND($A1645&lt;&gt;"",COUNTIF(INV_ID,$A1645)&gt;1),"⚠ this Unit ID already exists",IF(AND($H1645&lt;&gt;"",COUNTIF(INV_Serial,$H1645)&gt;1),"⚠ this serial already exists",IF(COUNTIFS(INV_Product,$B1645,INV_No,$C1645)&gt;1,"⚠ piece number reused",""))))</f>
        <v/>
      </c>
      <c r="P1645" s="5" t="n"/>
    </row>
    <row r="1646">
      <c r="A1646" s="8">
        <f>IF(OR($B1646="",$C1646=""),"",IFERROR(INDEX(PM_Short,MATCH($B1646,PM_ID,0))&amp;"-"&amp;TEXT($C1646,"00"),"?? no such product"))</f>
        <v/>
      </c>
      <c r="B1646" s="5" t="n"/>
      <c r="C1646" s="5" t="n"/>
      <c r="D1646" s="8">
        <f>IF($B1646="","",IFERROR(INDEX(PM_Category,MATCH($B1646,PM_ID,0)),""))</f>
        <v/>
      </c>
      <c r="E1646" s="8">
        <f>IF($B1646="","",IFERROR(INDEX(PM_Subcategory,MATCH($B1646,PM_ID,0)),""))</f>
        <v/>
      </c>
      <c r="F1646" s="8">
        <f>IF($B1646="","",IFERROR(INDEX(PM_Brand,MATCH($B1646,PM_ID,0)),""))</f>
        <v/>
      </c>
      <c r="G1646" s="8">
        <f>IF($B1646="","",IFERROR(INDEX(PM_Model,MATCH($B1646,PM_ID,0)),""))</f>
        <v/>
      </c>
      <c r="H1646" s="5" t="n"/>
      <c r="I1646" s="10" t="n"/>
      <c r="J1646" s="9" t="n"/>
      <c r="K1646" s="5" t="n"/>
      <c r="L1646" s="5" t="n"/>
      <c r="M1646" s="5" t="n"/>
      <c r="N1646" s="5" t="n"/>
      <c r="O1646" s="8">
        <f>IF($B1646="","",IF(AND($A1646&lt;&gt;"",COUNTIF(INV_ID,$A1646)&gt;1),"⚠ this Unit ID already exists",IF(AND($H1646&lt;&gt;"",COUNTIF(INV_Serial,$H1646)&gt;1),"⚠ this serial already exists",IF(COUNTIFS(INV_Product,$B1646,INV_No,$C1646)&gt;1,"⚠ piece number reused",""))))</f>
        <v/>
      </c>
      <c r="P1646" s="5" t="n"/>
    </row>
    <row r="1647">
      <c r="A1647" s="8">
        <f>IF(OR($B1647="",$C1647=""),"",IFERROR(INDEX(PM_Short,MATCH($B1647,PM_ID,0))&amp;"-"&amp;TEXT($C1647,"00"),"?? no such product"))</f>
        <v/>
      </c>
      <c r="B1647" s="5" t="n"/>
      <c r="C1647" s="5" t="n"/>
      <c r="D1647" s="8">
        <f>IF($B1647="","",IFERROR(INDEX(PM_Category,MATCH($B1647,PM_ID,0)),""))</f>
        <v/>
      </c>
      <c r="E1647" s="8">
        <f>IF($B1647="","",IFERROR(INDEX(PM_Subcategory,MATCH($B1647,PM_ID,0)),""))</f>
        <v/>
      </c>
      <c r="F1647" s="8">
        <f>IF($B1647="","",IFERROR(INDEX(PM_Brand,MATCH($B1647,PM_ID,0)),""))</f>
        <v/>
      </c>
      <c r="G1647" s="8">
        <f>IF($B1647="","",IFERROR(INDEX(PM_Model,MATCH($B1647,PM_ID,0)),""))</f>
        <v/>
      </c>
      <c r="H1647" s="5" t="n"/>
      <c r="I1647" s="10" t="n"/>
      <c r="J1647" s="9" t="n"/>
      <c r="K1647" s="5" t="n"/>
      <c r="L1647" s="5" t="n"/>
      <c r="M1647" s="5" t="n"/>
      <c r="N1647" s="5" t="n"/>
      <c r="O1647" s="8">
        <f>IF($B1647="","",IF(AND($A1647&lt;&gt;"",COUNTIF(INV_ID,$A1647)&gt;1),"⚠ this Unit ID already exists",IF(AND($H1647&lt;&gt;"",COUNTIF(INV_Serial,$H1647)&gt;1),"⚠ this serial already exists",IF(COUNTIFS(INV_Product,$B1647,INV_No,$C1647)&gt;1,"⚠ piece number reused",""))))</f>
        <v/>
      </c>
      <c r="P1647" s="5" t="n"/>
    </row>
    <row r="1648">
      <c r="A1648" s="8">
        <f>IF(OR($B1648="",$C1648=""),"",IFERROR(INDEX(PM_Short,MATCH($B1648,PM_ID,0))&amp;"-"&amp;TEXT($C1648,"00"),"?? no such product"))</f>
        <v/>
      </c>
      <c r="B1648" s="5" t="n"/>
      <c r="C1648" s="5" t="n"/>
      <c r="D1648" s="8">
        <f>IF($B1648="","",IFERROR(INDEX(PM_Category,MATCH($B1648,PM_ID,0)),""))</f>
        <v/>
      </c>
      <c r="E1648" s="8">
        <f>IF($B1648="","",IFERROR(INDEX(PM_Subcategory,MATCH($B1648,PM_ID,0)),""))</f>
        <v/>
      </c>
      <c r="F1648" s="8">
        <f>IF($B1648="","",IFERROR(INDEX(PM_Brand,MATCH($B1648,PM_ID,0)),""))</f>
        <v/>
      </c>
      <c r="G1648" s="8">
        <f>IF($B1648="","",IFERROR(INDEX(PM_Model,MATCH($B1648,PM_ID,0)),""))</f>
        <v/>
      </c>
      <c r="H1648" s="5" t="n"/>
      <c r="I1648" s="10" t="n"/>
      <c r="J1648" s="9" t="n"/>
      <c r="K1648" s="5" t="n"/>
      <c r="L1648" s="5" t="n"/>
      <c r="M1648" s="5" t="n"/>
      <c r="N1648" s="5" t="n"/>
      <c r="O1648" s="8">
        <f>IF($B1648="","",IF(AND($A1648&lt;&gt;"",COUNTIF(INV_ID,$A1648)&gt;1),"⚠ this Unit ID already exists",IF(AND($H1648&lt;&gt;"",COUNTIF(INV_Serial,$H1648)&gt;1),"⚠ this serial already exists",IF(COUNTIFS(INV_Product,$B1648,INV_No,$C1648)&gt;1,"⚠ piece number reused",""))))</f>
        <v/>
      </c>
      <c r="P1648" s="5" t="n"/>
    </row>
    <row r="1649">
      <c r="A1649" s="8">
        <f>IF(OR($B1649="",$C1649=""),"",IFERROR(INDEX(PM_Short,MATCH($B1649,PM_ID,0))&amp;"-"&amp;TEXT($C1649,"00"),"?? no such product"))</f>
        <v/>
      </c>
      <c r="B1649" s="5" t="n"/>
      <c r="C1649" s="5" t="n"/>
      <c r="D1649" s="8">
        <f>IF($B1649="","",IFERROR(INDEX(PM_Category,MATCH($B1649,PM_ID,0)),""))</f>
        <v/>
      </c>
      <c r="E1649" s="8">
        <f>IF($B1649="","",IFERROR(INDEX(PM_Subcategory,MATCH($B1649,PM_ID,0)),""))</f>
        <v/>
      </c>
      <c r="F1649" s="8">
        <f>IF($B1649="","",IFERROR(INDEX(PM_Brand,MATCH($B1649,PM_ID,0)),""))</f>
        <v/>
      </c>
      <c r="G1649" s="8">
        <f>IF($B1649="","",IFERROR(INDEX(PM_Model,MATCH($B1649,PM_ID,0)),""))</f>
        <v/>
      </c>
      <c r="H1649" s="5" t="n"/>
      <c r="I1649" s="10" t="n"/>
      <c r="J1649" s="9" t="n"/>
      <c r="K1649" s="5" t="n"/>
      <c r="L1649" s="5" t="n"/>
      <c r="M1649" s="5" t="n"/>
      <c r="N1649" s="5" t="n"/>
      <c r="O1649" s="8">
        <f>IF($B1649="","",IF(AND($A1649&lt;&gt;"",COUNTIF(INV_ID,$A1649)&gt;1),"⚠ this Unit ID already exists",IF(AND($H1649&lt;&gt;"",COUNTIF(INV_Serial,$H1649)&gt;1),"⚠ this serial already exists",IF(COUNTIFS(INV_Product,$B1649,INV_No,$C1649)&gt;1,"⚠ piece number reused",""))))</f>
        <v/>
      </c>
      <c r="P1649" s="5" t="n"/>
    </row>
    <row r="1650">
      <c r="A1650" s="8">
        <f>IF(OR($B1650="",$C1650=""),"",IFERROR(INDEX(PM_Short,MATCH($B1650,PM_ID,0))&amp;"-"&amp;TEXT($C1650,"00"),"?? no such product"))</f>
        <v/>
      </c>
      <c r="B1650" s="5" t="n"/>
      <c r="C1650" s="5" t="n"/>
      <c r="D1650" s="8">
        <f>IF($B1650="","",IFERROR(INDEX(PM_Category,MATCH($B1650,PM_ID,0)),""))</f>
        <v/>
      </c>
      <c r="E1650" s="8">
        <f>IF($B1650="","",IFERROR(INDEX(PM_Subcategory,MATCH($B1650,PM_ID,0)),""))</f>
        <v/>
      </c>
      <c r="F1650" s="8">
        <f>IF($B1650="","",IFERROR(INDEX(PM_Brand,MATCH($B1650,PM_ID,0)),""))</f>
        <v/>
      </c>
      <c r="G1650" s="8">
        <f>IF($B1650="","",IFERROR(INDEX(PM_Model,MATCH($B1650,PM_ID,0)),""))</f>
        <v/>
      </c>
      <c r="H1650" s="5" t="n"/>
      <c r="I1650" s="10" t="n"/>
      <c r="J1650" s="9" t="n"/>
      <c r="K1650" s="5" t="n"/>
      <c r="L1650" s="5" t="n"/>
      <c r="M1650" s="5" t="n"/>
      <c r="N1650" s="5" t="n"/>
      <c r="O1650" s="8">
        <f>IF($B1650="","",IF(AND($A1650&lt;&gt;"",COUNTIF(INV_ID,$A1650)&gt;1),"⚠ this Unit ID already exists",IF(AND($H1650&lt;&gt;"",COUNTIF(INV_Serial,$H1650)&gt;1),"⚠ this serial already exists",IF(COUNTIFS(INV_Product,$B1650,INV_No,$C1650)&gt;1,"⚠ piece number reused",""))))</f>
        <v/>
      </c>
      <c r="P1650" s="5" t="n"/>
    </row>
    <row r="1651">
      <c r="A1651" s="8">
        <f>IF(OR($B1651="",$C1651=""),"",IFERROR(INDEX(PM_Short,MATCH($B1651,PM_ID,0))&amp;"-"&amp;TEXT($C1651,"00"),"?? no such product"))</f>
        <v/>
      </c>
      <c r="B1651" s="5" t="n"/>
      <c r="C1651" s="5" t="n"/>
      <c r="D1651" s="8">
        <f>IF($B1651="","",IFERROR(INDEX(PM_Category,MATCH($B1651,PM_ID,0)),""))</f>
        <v/>
      </c>
      <c r="E1651" s="8">
        <f>IF($B1651="","",IFERROR(INDEX(PM_Subcategory,MATCH($B1651,PM_ID,0)),""))</f>
        <v/>
      </c>
      <c r="F1651" s="8">
        <f>IF($B1651="","",IFERROR(INDEX(PM_Brand,MATCH($B1651,PM_ID,0)),""))</f>
        <v/>
      </c>
      <c r="G1651" s="8">
        <f>IF($B1651="","",IFERROR(INDEX(PM_Model,MATCH($B1651,PM_ID,0)),""))</f>
        <v/>
      </c>
      <c r="H1651" s="5" t="n"/>
      <c r="I1651" s="10" t="n"/>
      <c r="J1651" s="9" t="n"/>
      <c r="K1651" s="5" t="n"/>
      <c r="L1651" s="5" t="n"/>
      <c r="M1651" s="5" t="n"/>
      <c r="N1651" s="5" t="n"/>
      <c r="O1651" s="8">
        <f>IF($B1651="","",IF(AND($A1651&lt;&gt;"",COUNTIF(INV_ID,$A1651)&gt;1),"⚠ this Unit ID already exists",IF(AND($H1651&lt;&gt;"",COUNTIF(INV_Serial,$H1651)&gt;1),"⚠ this serial already exists",IF(COUNTIFS(INV_Product,$B1651,INV_No,$C1651)&gt;1,"⚠ piece number reused",""))))</f>
        <v/>
      </c>
      <c r="P1651" s="5" t="n"/>
    </row>
    <row r="1652">
      <c r="A1652" s="8">
        <f>IF(OR($B1652="",$C1652=""),"",IFERROR(INDEX(PM_Short,MATCH($B1652,PM_ID,0))&amp;"-"&amp;TEXT($C1652,"00"),"?? no such product"))</f>
        <v/>
      </c>
      <c r="B1652" s="5" t="n"/>
      <c r="C1652" s="5" t="n"/>
      <c r="D1652" s="8">
        <f>IF($B1652="","",IFERROR(INDEX(PM_Category,MATCH($B1652,PM_ID,0)),""))</f>
        <v/>
      </c>
      <c r="E1652" s="8">
        <f>IF($B1652="","",IFERROR(INDEX(PM_Subcategory,MATCH($B1652,PM_ID,0)),""))</f>
        <v/>
      </c>
      <c r="F1652" s="8">
        <f>IF($B1652="","",IFERROR(INDEX(PM_Brand,MATCH($B1652,PM_ID,0)),""))</f>
        <v/>
      </c>
      <c r="G1652" s="8">
        <f>IF($B1652="","",IFERROR(INDEX(PM_Model,MATCH($B1652,PM_ID,0)),""))</f>
        <v/>
      </c>
      <c r="H1652" s="5" t="n"/>
      <c r="I1652" s="10" t="n"/>
      <c r="J1652" s="9" t="n"/>
      <c r="K1652" s="5" t="n"/>
      <c r="L1652" s="5" t="n"/>
      <c r="M1652" s="5" t="n"/>
      <c r="N1652" s="5" t="n"/>
      <c r="O1652" s="8">
        <f>IF($B1652="","",IF(AND($A1652&lt;&gt;"",COUNTIF(INV_ID,$A1652)&gt;1),"⚠ this Unit ID already exists",IF(AND($H1652&lt;&gt;"",COUNTIF(INV_Serial,$H1652)&gt;1),"⚠ this serial already exists",IF(COUNTIFS(INV_Product,$B1652,INV_No,$C1652)&gt;1,"⚠ piece number reused",""))))</f>
        <v/>
      </c>
      <c r="P1652" s="5" t="n"/>
    </row>
    <row r="1653">
      <c r="A1653" s="8">
        <f>IF(OR($B1653="",$C1653=""),"",IFERROR(INDEX(PM_Short,MATCH($B1653,PM_ID,0))&amp;"-"&amp;TEXT($C1653,"00"),"?? no such product"))</f>
        <v/>
      </c>
      <c r="B1653" s="5" t="n"/>
      <c r="C1653" s="5" t="n"/>
      <c r="D1653" s="8">
        <f>IF($B1653="","",IFERROR(INDEX(PM_Category,MATCH($B1653,PM_ID,0)),""))</f>
        <v/>
      </c>
      <c r="E1653" s="8">
        <f>IF($B1653="","",IFERROR(INDEX(PM_Subcategory,MATCH($B1653,PM_ID,0)),""))</f>
        <v/>
      </c>
      <c r="F1653" s="8">
        <f>IF($B1653="","",IFERROR(INDEX(PM_Brand,MATCH($B1653,PM_ID,0)),""))</f>
        <v/>
      </c>
      <c r="G1653" s="8">
        <f>IF($B1653="","",IFERROR(INDEX(PM_Model,MATCH($B1653,PM_ID,0)),""))</f>
        <v/>
      </c>
      <c r="H1653" s="5" t="n"/>
      <c r="I1653" s="10" t="n"/>
      <c r="J1653" s="9" t="n"/>
      <c r="K1653" s="5" t="n"/>
      <c r="L1653" s="5" t="n"/>
      <c r="M1653" s="5" t="n"/>
      <c r="N1653" s="5" t="n"/>
      <c r="O1653" s="8">
        <f>IF($B1653="","",IF(AND($A1653&lt;&gt;"",COUNTIF(INV_ID,$A1653)&gt;1),"⚠ this Unit ID already exists",IF(AND($H1653&lt;&gt;"",COUNTIF(INV_Serial,$H1653)&gt;1),"⚠ this serial already exists",IF(COUNTIFS(INV_Product,$B1653,INV_No,$C1653)&gt;1,"⚠ piece number reused",""))))</f>
        <v/>
      </c>
      <c r="P1653" s="5" t="n"/>
    </row>
    <row r="1654">
      <c r="A1654" s="8">
        <f>IF(OR($B1654="",$C1654=""),"",IFERROR(INDEX(PM_Short,MATCH($B1654,PM_ID,0))&amp;"-"&amp;TEXT($C1654,"00"),"?? no such product"))</f>
        <v/>
      </c>
      <c r="B1654" s="5" t="n"/>
      <c r="C1654" s="5" t="n"/>
      <c r="D1654" s="8">
        <f>IF($B1654="","",IFERROR(INDEX(PM_Category,MATCH($B1654,PM_ID,0)),""))</f>
        <v/>
      </c>
      <c r="E1654" s="8">
        <f>IF($B1654="","",IFERROR(INDEX(PM_Subcategory,MATCH($B1654,PM_ID,0)),""))</f>
        <v/>
      </c>
      <c r="F1654" s="8">
        <f>IF($B1654="","",IFERROR(INDEX(PM_Brand,MATCH($B1654,PM_ID,0)),""))</f>
        <v/>
      </c>
      <c r="G1654" s="8">
        <f>IF($B1654="","",IFERROR(INDEX(PM_Model,MATCH($B1654,PM_ID,0)),""))</f>
        <v/>
      </c>
      <c r="H1654" s="5" t="n"/>
      <c r="I1654" s="10" t="n"/>
      <c r="J1654" s="9" t="n"/>
      <c r="K1654" s="5" t="n"/>
      <c r="L1654" s="5" t="n"/>
      <c r="M1654" s="5" t="n"/>
      <c r="N1654" s="5" t="n"/>
      <c r="O1654" s="8">
        <f>IF($B1654="","",IF(AND($A1654&lt;&gt;"",COUNTIF(INV_ID,$A1654)&gt;1),"⚠ this Unit ID already exists",IF(AND($H1654&lt;&gt;"",COUNTIF(INV_Serial,$H1654)&gt;1),"⚠ this serial already exists",IF(COUNTIFS(INV_Product,$B1654,INV_No,$C1654)&gt;1,"⚠ piece number reused",""))))</f>
        <v/>
      </c>
      <c r="P1654" s="5" t="n"/>
    </row>
    <row r="1655">
      <c r="A1655" s="8">
        <f>IF(OR($B1655="",$C1655=""),"",IFERROR(INDEX(PM_Short,MATCH($B1655,PM_ID,0))&amp;"-"&amp;TEXT($C1655,"00"),"?? no such product"))</f>
        <v/>
      </c>
      <c r="B1655" s="5" t="n"/>
      <c r="C1655" s="5" t="n"/>
      <c r="D1655" s="8">
        <f>IF($B1655="","",IFERROR(INDEX(PM_Category,MATCH($B1655,PM_ID,0)),""))</f>
        <v/>
      </c>
      <c r="E1655" s="8">
        <f>IF($B1655="","",IFERROR(INDEX(PM_Subcategory,MATCH($B1655,PM_ID,0)),""))</f>
        <v/>
      </c>
      <c r="F1655" s="8">
        <f>IF($B1655="","",IFERROR(INDEX(PM_Brand,MATCH($B1655,PM_ID,0)),""))</f>
        <v/>
      </c>
      <c r="G1655" s="8">
        <f>IF($B1655="","",IFERROR(INDEX(PM_Model,MATCH($B1655,PM_ID,0)),""))</f>
        <v/>
      </c>
      <c r="H1655" s="5" t="n"/>
      <c r="I1655" s="10" t="n"/>
      <c r="J1655" s="9" t="n"/>
      <c r="K1655" s="5" t="n"/>
      <c r="L1655" s="5" t="n"/>
      <c r="M1655" s="5" t="n"/>
      <c r="N1655" s="5" t="n"/>
      <c r="O1655" s="8">
        <f>IF($B1655="","",IF(AND($A1655&lt;&gt;"",COUNTIF(INV_ID,$A1655)&gt;1),"⚠ this Unit ID already exists",IF(AND($H1655&lt;&gt;"",COUNTIF(INV_Serial,$H1655)&gt;1),"⚠ this serial already exists",IF(COUNTIFS(INV_Product,$B1655,INV_No,$C1655)&gt;1,"⚠ piece number reused",""))))</f>
        <v/>
      </c>
      <c r="P1655" s="5" t="n"/>
    </row>
    <row r="1656">
      <c r="A1656" s="8">
        <f>IF(OR($B1656="",$C1656=""),"",IFERROR(INDEX(PM_Short,MATCH($B1656,PM_ID,0))&amp;"-"&amp;TEXT($C1656,"00"),"?? no such product"))</f>
        <v/>
      </c>
      <c r="B1656" s="5" t="n"/>
      <c r="C1656" s="5" t="n"/>
      <c r="D1656" s="8">
        <f>IF($B1656="","",IFERROR(INDEX(PM_Category,MATCH($B1656,PM_ID,0)),""))</f>
        <v/>
      </c>
      <c r="E1656" s="8">
        <f>IF($B1656="","",IFERROR(INDEX(PM_Subcategory,MATCH($B1656,PM_ID,0)),""))</f>
        <v/>
      </c>
      <c r="F1656" s="8">
        <f>IF($B1656="","",IFERROR(INDEX(PM_Brand,MATCH($B1656,PM_ID,0)),""))</f>
        <v/>
      </c>
      <c r="G1656" s="8">
        <f>IF($B1656="","",IFERROR(INDEX(PM_Model,MATCH($B1656,PM_ID,0)),""))</f>
        <v/>
      </c>
      <c r="H1656" s="5" t="n"/>
      <c r="I1656" s="10" t="n"/>
      <c r="J1656" s="9" t="n"/>
      <c r="K1656" s="5" t="n"/>
      <c r="L1656" s="5" t="n"/>
      <c r="M1656" s="5" t="n"/>
      <c r="N1656" s="5" t="n"/>
      <c r="O1656" s="8">
        <f>IF($B1656="","",IF(AND($A1656&lt;&gt;"",COUNTIF(INV_ID,$A1656)&gt;1),"⚠ this Unit ID already exists",IF(AND($H1656&lt;&gt;"",COUNTIF(INV_Serial,$H1656)&gt;1),"⚠ this serial already exists",IF(COUNTIFS(INV_Product,$B1656,INV_No,$C1656)&gt;1,"⚠ piece number reused",""))))</f>
        <v/>
      </c>
      <c r="P1656" s="5" t="n"/>
    </row>
    <row r="1657">
      <c r="A1657" s="8">
        <f>IF(OR($B1657="",$C1657=""),"",IFERROR(INDEX(PM_Short,MATCH($B1657,PM_ID,0))&amp;"-"&amp;TEXT($C1657,"00"),"?? no such product"))</f>
        <v/>
      </c>
      <c r="B1657" s="5" t="n"/>
      <c r="C1657" s="5" t="n"/>
      <c r="D1657" s="8">
        <f>IF($B1657="","",IFERROR(INDEX(PM_Category,MATCH($B1657,PM_ID,0)),""))</f>
        <v/>
      </c>
      <c r="E1657" s="8">
        <f>IF($B1657="","",IFERROR(INDEX(PM_Subcategory,MATCH($B1657,PM_ID,0)),""))</f>
        <v/>
      </c>
      <c r="F1657" s="8">
        <f>IF($B1657="","",IFERROR(INDEX(PM_Brand,MATCH($B1657,PM_ID,0)),""))</f>
        <v/>
      </c>
      <c r="G1657" s="8">
        <f>IF($B1657="","",IFERROR(INDEX(PM_Model,MATCH($B1657,PM_ID,0)),""))</f>
        <v/>
      </c>
      <c r="H1657" s="5" t="n"/>
      <c r="I1657" s="10" t="n"/>
      <c r="J1657" s="9" t="n"/>
      <c r="K1657" s="5" t="n"/>
      <c r="L1657" s="5" t="n"/>
      <c r="M1657" s="5" t="n"/>
      <c r="N1657" s="5" t="n"/>
      <c r="O1657" s="8">
        <f>IF($B1657="","",IF(AND($A1657&lt;&gt;"",COUNTIF(INV_ID,$A1657)&gt;1),"⚠ this Unit ID already exists",IF(AND($H1657&lt;&gt;"",COUNTIF(INV_Serial,$H1657)&gt;1),"⚠ this serial already exists",IF(COUNTIFS(INV_Product,$B1657,INV_No,$C1657)&gt;1,"⚠ piece number reused",""))))</f>
        <v/>
      </c>
      <c r="P1657" s="5" t="n"/>
    </row>
    <row r="1658">
      <c r="A1658" s="8">
        <f>IF(OR($B1658="",$C1658=""),"",IFERROR(INDEX(PM_Short,MATCH($B1658,PM_ID,0))&amp;"-"&amp;TEXT($C1658,"00"),"?? no such product"))</f>
        <v/>
      </c>
      <c r="B1658" s="5" t="n"/>
      <c r="C1658" s="5" t="n"/>
      <c r="D1658" s="8">
        <f>IF($B1658="","",IFERROR(INDEX(PM_Category,MATCH($B1658,PM_ID,0)),""))</f>
        <v/>
      </c>
      <c r="E1658" s="8">
        <f>IF($B1658="","",IFERROR(INDEX(PM_Subcategory,MATCH($B1658,PM_ID,0)),""))</f>
        <v/>
      </c>
      <c r="F1658" s="8">
        <f>IF($B1658="","",IFERROR(INDEX(PM_Brand,MATCH($B1658,PM_ID,0)),""))</f>
        <v/>
      </c>
      <c r="G1658" s="8">
        <f>IF($B1658="","",IFERROR(INDEX(PM_Model,MATCH($B1658,PM_ID,0)),""))</f>
        <v/>
      </c>
      <c r="H1658" s="5" t="n"/>
      <c r="I1658" s="10" t="n"/>
      <c r="J1658" s="9" t="n"/>
      <c r="K1658" s="5" t="n"/>
      <c r="L1658" s="5" t="n"/>
      <c r="M1658" s="5" t="n"/>
      <c r="N1658" s="5" t="n"/>
      <c r="O1658" s="8">
        <f>IF($B1658="","",IF(AND($A1658&lt;&gt;"",COUNTIF(INV_ID,$A1658)&gt;1),"⚠ this Unit ID already exists",IF(AND($H1658&lt;&gt;"",COUNTIF(INV_Serial,$H1658)&gt;1),"⚠ this serial already exists",IF(COUNTIFS(INV_Product,$B1658,INV_No,$C1658)&gt;1,"⚠ piece number reused",""))))</f>
        <v/>
      </c>
      <c r="P1658" s="5" t="n"/>
    </row>
    <row r="1659">
      <c r="A1659" s="8">
        <f>IF(OR($B1659="",$C1659=""),"",IFERROR(INDEX(PM_Short,MATCH($B1659,PM_ID,0))&amp;"-"&amp;TEXT($C1659,"00"),"?? no such product"))</f>
        <v/>
      </c>
      <c r="B1659" s="5" t="n"/>
      <c r="C1659" s="5" t="n"/>
      <c r="D1659" s="8">
        <f>IF($B1659="","",IFERROR(INDEX(PM_Category,MATCH($B1659,PM_ID,0)),""))</f>
        <v/>
      </c>
      <c r="E1659" s="8">
        <f>IF($B1659="","",IFERROR(INDEX(PM_Subcategory,MATCH($B1659,PM_ID,0)),""))</f>
        <v/>
      </c>
      <c r="F1659" s="8">
        <f>IF($B1659="","",IFERROR(INDEX(PM_Brand,MATCH($B1659,PM_ID,0)),""))</f>
        <v/>
      </c>
      <c r="G1659" s="8">
        <f>IF($B1659="","",IFERROR(INDEX(PM_Model,MATCH($B1659,PM_ID,0)),""))</f>
        <v/>
      </c>
      <c r="H1659" s="5" t="n"/>
      <c r="I1659" s="10" t="n"/>
      <c r="J1659" s="9" t="n"/>
      <c r="K1659" s="5" t="n"/>
      <c r="L1659" s="5" t="n"/>
      <c r="M1659" s="5" t="n"/>
      <c r="N1659" s="5" t="n"/>
      <c r="O1659" s="8">
        <f>IF($B1659="","",IF(AND($A1659&lt;&gt;"",COUNTIF(INV_ID,$A1659)&gt;1),"⚠ this Unit ID already exists",IF(AND($H1659&lt;&gt;"",COUNTIF(INV_Serial,$H1659)&gt;1),"⚠ this serial already exists",IF(COUNTIFS(INV_Product,$B1659,INV_No,$C1659)&gt;1,"⚠ piece number reused",""))))</f>
        <v/>
      </c>
      <c r="P1659" s="5" t="n"/>
    </row>
    <row r="1660">
      <c r="A1660" s="8">
        <f>IF(OR($B1660="",$C1660=""),"",IFERROR(INDEX(PM_Short,MATCH($B1660,PM_ID,0))&amp;"-"&amp;TEXT($C1660,"00"),"?? no such product"))</f>
        <v/>
      </c>
      <c r="B1660" s="5" t="n"/>
      <c r="C1660" s="5" t="n"/>
      <c r="D1660" s="8">
        <f>IF($B1660="","",IFERROR(INDEX(PM_Category,MATCH($B1660,PM_ID,0)),""))</f>
        <v/>
      </c>
      <c r="E1660" s="8">
        <f>IF($B1660="","",IFERROR(INDEX(PM_Subcategory,MATCH($B1660,PM_ID,0)),""))</f>
        <v/>
      </c>
      <c r="F1660" s="8">
        <f>IF($B1660="","",IFERROR(INDEX(PM_Brand,MATCH($B1660,PM_ID,0)),""))</f>
        <v/>
      </c>
      <c r="G1660" s="8">
        <f>IF($B1660="","",IFERROR(INDEX(PM_Model,MATCH($B1660,PM_ID,0)),""))</f>
        <v/>
      </c>
      <c r="H1660" s="5" t="n"/>
      <c r="I1660" s="10" t="n"/>
      <c r="J1660" s="9" t="n"/>
      <c r="K1660" s="5" t="n"/>
      <c r="L1660" s="5" t="n"/>
      <c r="M1660" s="5" t="n"/>
      <c r="N1660" s="5" t="n"/>
      <c r="O1660" s="8">
        <f>IF($B1660="","",IF(AND($A1660&lt;&gt;"",COUNTIF(INV_ID,$A1660)&gt;1),"⚠ this Unit ID already exists",IF(AND($H1660&lt;&gt;"",COUNTIF(INV_Serial,$H1660)&gt;1),"⚠ this serial already exists",IF(COUNTIFS(INV_Product,$B1660,INV_No,$C1660)&gt;1,"⚠ piece number reused",""))))</f>
        <v/>
      </c>
      <c r="P1660" s="5" t="n"/>
    </row>
    <row r="1661">
      <c r="A1661" s="8">
        <f>IF(OR($B1661="",$C1661=""),"",IFERROR(INDEX(PM_Short,MATCH($B1661,PM_ID,0))&amp;"-"&amp;TEXT($C1661,"00"),"?? no such product"))</f>
        <v/>
      </c>
      <c r="B1661" s="5" t="n"/>
      <c r="C1661" s="5" t="n"/>
      <c r="D1661" s="8">
        <f>IF($B1661="","",IFERROR(INDEX(PM_Category,MATCH($B1661,PM_ID,0)),""))</f>
        <v/>
      </c>
      <c r="E1661" s="8">
        <f>IF($B1661="","",IFERROR(INDEX(PM_Subcategory,MATCH($B1661,PM_ID,0)),""))</f>
        <v/>
      </c>
      <c r="F1661" s="8">
        <f>IF($B1661="","",IFERROR(INDEX(PM_Brand,MATCH($B1661,PM_ID,0)),""))</f>
        <v/>
      </c>
      <c r="G1661" s="8">
        <f>IF($B1661="","",IFERROR(INDEX(PM_Model,MATCH($B1661,PM_ID,0)),""))</f>
        <v/>
      </c>
      <c r="H1661" s="5" t="n"/>
      <c r="I1661" s="10" t="n"/>
      <c r="J1661" s="9" t="n"/>
      <c r="K1661" s="5" t="n"/>
      <c r="L1661" s="5" t="n"/>
      <c r="M1661" s="5" t="n"/>
      <c r="N1661" s="5" t="n"/>
      <c r="O1661" s="8">
        <f>IF($B1661="","",IF(AND($A1661&lt;&gt;"",COUNTIF(INV_ID,$A1661)&gt;1),"⚠ this Unit ID already exists",IF(AND($H1661&lt;&gt;"",COUNTIF(INV_Serial,$H1661)&gt;1),"⚠ this serial already exists",IF(COUNTIFS(INV_Product,$B1661,INV_No,$C1661)&gt;1,"⚠ piece number reused",""))))</f>
        <v/>
      </c>
      <c r="P1661" s="5" t="n"/>
    </row>
    <row r="1662">
      <c r="A1662" s="8">
        <f>IF(OR($B1662="",$C1662=""),"",IFERROR(INDEX(PM_Short,MATCH($B1662,PM_ID,0))&amp;"-"&amp;TEXT($C1662,"00"),"?? no such product"))</f>
        <v/>
      </c>
      <c r="B1662" s="5" t="n"/>
      <c r="C1662" s="5" t="n"/>
      <c r="D1662" s="8">
        <f>IF($B1662="","",IFERROR(INDEX(PM_Category,MATCH($B1662,PM_ID,0)),""))</f>
        <v/>
      </c>
      <c r="E1662" s="8">
        <f>IF($B1662="","",IFERROR(INDEX(PM_Subcategory,MATCH($B1662,PM_ID,0)),""))</f>
        <v/>
      </c>
      <c r="F1662" s="8">
        <f>IF($B1662="","",IFERROR(INDEX(PM_Brand,MATCH($B1662,PM_ID,0)),""))</f>
        <v/>
      </c>
      <c r="G1662" s="8">
        <f>IF($B1662="","",IFERROR(INDEX(PM_Model,MATCH($B1662,PM_ID,0)),""))</f>
        <v/>
      </c>
      <c r="H1662" s="5" t="n"/>
      <c r="I1662" s="10" t="n"/>
      <c r="J1662" s="9" t="n"/>
      <c r="K1662" s="5" t="n"/>
      <c r="L1662" s="5" t="n"/>
      <c r="M1662" s="5" t="n"/>
      <c r="N1662" s="5" t="n"/>
      <c r="O1662" s="8">
        <f>IF($B1662="","",IF(AND($A1662&lt;&gt;"",COUNTIF(INV_ID,$A1662)&gt;1),"⚠ this Unit ID already exists",IF(AND($H1662&lt;&gt;"",COUNTIF(INV_Serial,$H1662)&gt;1),"⚠ this serial already exists",IF(COUNTIFS(INV_Product,$B1662,INV_No,$C1662)&gt;1,"⚠ piece number reused",""))))</f>
        <v/>
      </c>
      <c r="P1662" s="5" t="n"/>
    </row>
    <row r="1663">
      <c r="A1663" s="8">
        <f>IF(OR($B1663="",$C1663=""),"",IFERROR(INDEX(PM_Short,MATCH($B1663,PM_ID,0))&amp;"-"&amp;TEXT($C1663,"00"),"?? no such product"))</f>
        <v/>
      </c>
      <c r="B1663" s="5" t="n"/>
      <c r="C1663" s="5" t="n"/>
      <c r="D1663" s="8">
        <f>IF($B1663="","",IFERROR(INDEX(PM_Category,MATCH($B1663,PM_ID,0)),""))</f>
        <v/>
      </c>
      <c r="E1663" s="8">
        <f>IF($B1663="","",IFERROR(INDEX(PM_Subcategory,MATCH($B1663,PM_ID,0)),""))</f>
        <v/>
      </c>
      <c r="F1663" s="8">
        <f>IF($B1663="","",IFERROR(INDEX(PM_Brand,MATCH($B1663,PM_ID,0)),""))</f>
        <v/>
      </c>
      <c r="G1663" s="8">
        <f>IF($B1663="","",IFERROR(INDEX(PM_Model,MATCH($B1663,PM_ID,0)),""))</f>
        <v/>
      </c>
      <c r="H1663" s="5" t="n"/>
      <c r="I1663" s="10" t="n"/>
      <c r="J1663" s="9" t="n"/>
      <c r="K1663" s="5" t="n"/>
      <c r="L1663" s="5" t="n"/>
      <c r="M1663" s="5" t="n"/>
      <c r="N1663" s="5" t="n"/>
      <c r="O1663" s="8">
        <f>IF($B1663="","",IF(AND($A1663&lt;&gt;"",COUNTIF(INV_ID,$A1663)&gt;1),"⚠ this Unit ID already exists",IF(AND($H1663&lt;&gt;"",COUNTIF(INV_Serial,$H1663)&gt;1),"⚠ this serial already exists",IF(COUNTIFS(INV_Product,$B1663,INV_No,$C1663)&gt;1,"⚠ piece number reused",""))))</f>
        <v/>
      </c>
      <c r="P1663" s="5" t="n"/>
    </row>
    <row r="1664">
      <c r="A1664" s="8">
        <f>IF(OR($B1664="",$C1664=""),"",IFERROR(INDEX(PM_Short,MATCH($B1664,PM_ID,0))&amp;"-"&amp;TEXT($C1664,"00"),"?? no such product"))</f>
        <v/>
      </c>
      <c r="B1664" s="5" t="n"/>
      <c r="C1664" s="5" t="n"/>
      <c r="D1664" s="8">
        <f>IF($B1664="","",IFERROR(INDEX(PM_Category,MATCH($B1664,PM_ID,0)),""))</f>
        <v/>
      </c>
      <c r="E1664" s="8">
        <f>IF($B1664="","",IFERROR(INDEX(PM_Subcategory,MATCH($B1664,PM_ID,0)),""))</f>
        <v/>
      </c>
      <c r="F1664" s="8">
        <f>IF($B1664="","",IFERROR(INDEX(PM_Brand,MATCH($B1664,PM_ID,0)),""))</f>
        <v/>
      </c>
      <c r="G1664" s="8">
        <f>IF($B1664="","",IFERROR(INDEX(PM_Model,MATCH($B1664,PM_ID,0)),""))</f>
        <v/>
      </c>
      <c r="H1664" s="5" t="n"/>
      <c r="I1664" s="10" t="n"/>
      <c r="J1664" s="9" t="n"/>
      <c r="K1664" s="5" t="n"/>
      <c r="L1664" s="5" t="n"/>
      <c r="M1664" s="5" t="n"/>
      <c r="N1664" s="5" t="n"/>
      <c r="O1664" s="8">
        <f>IF($B1664="","",IF(AND($A1664&lt;&gt;"",COUNTIF(INV_ID,$A1664)&gt;1),"⚠ this Unit ID already exists",IF(AND($H1664&lt;&gt;"",COUNTIF(INV_Serial,$H1664)&gt;1),"⚠ this serial already exists",IF(COUNTIFS(INV_Product,$B1664,INV_No,$C1664)&gt;1,"⚠ piece number reused",""))))</f>
        <v/>
      </c>
      <c r="P1664" s="5" t="n"/>
    </row>
    <row r="1665">
      <c r="A1665" s="8">
        <f>IF(OR($B1665="",$C1665=""),"",IFERROR(INDEX(PM_Short,MATCH($B1665,PM_ID,0))&amp;"-"&amp;TEXT($C1665,"00"),"?? no such product"))</f>
        <v/>
      </c>
      <c r="B1665" s="5" t="n"/>
      <c r="C1665" s="5" t="n"/>
      <c r="D1665" s="8">
        <f>IF($B1665="","",IFERROR(INDEX(PM_Category,MATCH($B1665,PM_ID,0)),""))</f>
        <v/>
      </c>
      <c r="E1665" s="8">
        <f>IF($B1665="","",IFERROR(INDEX(PM_Subcategory,MATCH($B1665,PM_ID,0)),""))</f>
        <v/>
      </c>
      <c r="F1665" s="8">
        <f>IF($B1665="","",IFERROR(INDEX(PM_Brand,MATCH($B1665,PM_ID,0)),""))</f>
        <v/>
      </c>
      <c r="G1665" s="8">
        <f>IF($B1665="","",IFERROR(INDEX(PM_Model,MATCH($B1665,PM_ID,0)),""))</f>
        <v/>
      </c>
      <c r="H1665" s="5" t="n"/>
      <c r="I1665" s="10" t="n"/>
      <c r="J1665" s="9" t="n"/>
      <c r="K1665" s="5" t="n"/>
      <c r="L1665" s="5" t="n"/>
      <c r="M1665" s="5" t="n"/>
      <c r="N1665" s="5" t="n"/>
      <c r="O1665" s="8">
        <f>IF($B1665="","",IF(AND($A1665&lt;&gt;"",COUNTIF(INV_ID,$A1665)&gt;1),"⚠ this Unit ID already exists",IF(AND($H1665&lt;&gt;"",COUNTIF(INV_Serial,$H1665)&gt;1),"⚠ this serial already exists",IF(COUNTIFS(INV_Product,$B1665,INV_No,$C1665)&gt;1,"⚠ piece number reused",""))))</f>
        <v/>
      </c>
      <c r="P1665" s="5" t="n"/>
    </row>
    <row r="1666">
      <c r="A1666" s="8">
        <f>IF(OR($B1666="",$C1666=""),"",IFERROR(INDEX(PM_Short,MATCH($B1666,PM_ID,0))&amp;"-"&amp;TEXT($C1666,"00"),"?? no such product"))</f>
        <v/>
      </c>
      <c r="B1666" s="5" t="n"/>
      <c r="C1666" s="5" t="n"/>
      <c r="D1666" s="8">
        <f>IF($B1666="","",IFERROR(INDEX(PM_Category,MATCH($B1666,PM_ID,0)),""))</f>
        <v/>
      </c>
      <c r="E1666" s="8">
        <f>IF($B1666="","",IFERROR(INDEX(PM_Subcategory,MATCH($B1666,PM_ID,0)),""))</f>
        <v/>
      </c>
      <c r="F1666" s="8">
        <f>IF($B1666="","",IFERROR(INDEX(PM_Brand,MATCH($B1666,PM_ID,0)),""))</f>
        <v/>
      </c>
      <c r="G1666" s="8">
        <f>IF($B1666="","",IFERROR(INDEX(PM_Model,MATCH($B1666,PM_ID,0)),""))</f>
        <v/>
      </c>
      <c r="H1666" s="5" t="n"/>
      <c r="I1666" s="10" t="n"/>
      <c r="J1666" s="9" t="n"/>
      <c r="K1666" s="5" t="n"/>
      <c r="L1666" s="5" t="n"/>
      <c r="M1666" s="5" t="n"/>
      <c r="N1666" s="5" t="n"/>
      <c r="O1666" s="8">
        <f>IF($B1666="","",IF(AND($A1666&lt;&gt;"",COUNTIF(INV_ID,$A1666)&gt;1),"⚠ this Unit ID already exists",IF(AND($H1666&lt;&gt;"",COUNTIF(INV_Serial,$H1666)&gt;1),"⚠ this serial already exists",IF(COUNTIFS(INV_Product,$B1666,INV_No,$C1666)&gt;1,"⚠ piece number reused",""))))</f>
        <v/>
      </c>
      <c r="P1666" s="5" t="n"/>
    </row>
    <row r="1667">
      <c r="A1667" s="8">
        <f>IF(OR($B1667="",$C1667=""),"",IFERROR(INDEX(PM_Short,MATCH($B1667,PM_ID,0))&amp;"-"&amp;TEXT($C1667,"00"),"?? no such product"))</f>
        <v/>
      </c>
      <c r="B1667" s="5" t="n"/>
      <c r="C1667" s="5" t="n"/>
      <c r="D1667" s="8">
        <f>IF($B1667="","",IFERROR(INDEX(PM_Category,MATCH($B1667,PM_ID,0)),""))</f>
        <v/>
      </c>
      <c r="E1667" s="8">
        <f>IF($B1667="","",IFERROR(INDEX(PM_Subcategory,MATCH($B1667,PM_ID,0)),""))</f>
        <v/>
      </c>
      <c r="F1667" s="8">
        <f>IF($B1667="","",IFERROR(INDEX(PM_Brand,MATCH($B1667,PM_ID,0)),""))</f>
        <v/>
      </c>
      <c r="G1667" s="8">
        <f>IF($B1667="","",IFERROR(INDEX(PM_Model,MATCH($B1667,PM_ID,0)),""))</f>
        <v/>
      </c>
      <c r="H1667" s="5" t="n"/>
      <c r="I1667" s="10" t="n"/>
      <c r="J1667" s="9" t="n"/>
      <c r="K1667" s="5" t="n"/>
      <c r="L1667" s="5" t="n"/>
      <c r="M1667" s="5" t="n"/>
      <c r="N1667" s="5" t="n"/>
      <c r="O1667" s="8">
        <f>IF($B1667="","",IF(AND($A1667&lt;&gt;"",COUNTIF(INV_ID,$A1667)&gt;1),"⚠ this Unit ID already exists",IF(AND($H1667&lt;&gt;"",COUNTIF(INV_Serial,$H1667)&gt;1),"⚠ this serial already exists",IF(COUNTIFS(INV_Product,$B1667,INV_No,$C1667)&gt;1,"⚠ piece number reused",""))))</f>
        <v/>
      </c>
      <c r="P1667" s="5" t="n"/>
    </row>
    <row r="1668">
      <c r="A1668" s="8">
        <f>IF(OR($B1668="",$C1668=""),"",IFERROR(INDEX(PM_Short,MATCH($B1668,PM_ID,0))&amp;"-"&amp;TEXT($C1668,"00"),"?? no such product"))</f>
        <v/>
      </c>
      <c r="B1668" s="5" t="n"/>
      <c r="C1668" s="5" t="n"/>
      <c r="D1668" s="8">
        <f>IF($B1668="","",IFERROR(INDEX(PM_Category,MATCH($B1668,PM_ID,0)),""))</f>
        <v/>
      </c>
      <c r="E1668" s="8">
        <f>IF($B1668="","",IFERROR(INDEX(PM_Subcategory,MATCH($B1668,PM_ID,0)),""))</f>
        <v/>
      </c>
      <c r="F1668" s="8">
        <f>IF($B1668="","",IFERROR(INDEX(PM_Brand,MATCH($B1668,PM_ID,0)),""))</f>
        <v/>
      </c>
      <c r="G1668" s="8">
        <f>IF($B1668="","",IFERROR(INDEX(PM_Model,MATCH($B1668,PM_ID,0)),""))</f>
        <v/>
      </c>
      <c r="H1668" s="5" t="n"/>
      <c r="I1668" s="10" t="n"/>
      <c r="J1668" s="9" t="n"/>
      <c r="K1668" s="5" t="n"/>
      <c r="L1668" s="5" t="n"/>
      <c r="M1668" s="5" t="n"/>
      <c r="N1668" s="5" t="n"/>
      <c r="O1668" s="8">
        <f>IF($B1668="","",IF(AND($A1668&lt;&gt;"",COUNTIF(INV_ID,$A1668)&gt;1),"⚠ this Unit ID already exists",IF(AND($H1668&lt;&gt;"",COUNTIF(INV_Serial,$H1668)&gt;1),"⚠ this serial already exists",IF(COUNTIFS(INV_Product,$B1668,INV_No,$C1668)&gt;1,"⚠ piece number reused",""))))</f>
        <v/>
      </c>
      <c r="P1668" s="5" t="n"/>
    </row>
    <row r="1669">
      <c r="A1669" s="8">
        <f>IF(OR($B1669="",$C1669=""),"",IFERROR(INDEX(PM_Short,MATCH($B1669,PM_ID,0))&amp;"-"&amp;TEXT($C1669,"00"),"?? no such product"))</f>
        <v/>
      </c>
      <c r="B1669" s="5" t="n"/>
      <c r="C1669" s="5" t="n"/>
      <c r="D1669" s="8">
        <f>IF($B1669="","",IFERROR(INDEX(PM_Category,MATCH($B1669,PM_ID,0)),""))</f>
        <v/>
      </c>
      <c r="E1669" s="8">
        <f>IF($B1669="","",IFERROR(INDEX(PM_Subcategory,MATCH($B1669,PM_ID,0)),""))</f>
        <v/>
      </c>
      <c r="F1669" s="8">
        <f>IF($B1669="","",IFERROR(INDEX(PM_Brand,MATCH($B1669,PM_ID,0)),""))</f>
        <v/>
      </c>
      <c r="G1669" s="8">
        <f>IF($B1669="","",IFERROR(INDEX(PM_Model,MATCH($B1669,PM_ID,0)),""))</f>
        <v/>
      </c>
      <c r="H1669" s="5" t="n"/>
      <c r="I1669" s="10" t="n"/>
      <c r="J1669" s="9" t="n"/>
      <c r="K1669" s="5" t="n"/>
      <c r="L1669" s="5" t="n"/>
      <c r="M1669" s="5" t="n"/>
      <c r="N1669" s="5" t="n"/>
      <c r="O1669" s="8">
        <f>IF($B1669="","",IF(AND($A1669&lt;&gt;"",COUNTIF(INV_ID,$A1669)&gt;1),"⚠ this Unit ID already exists",IF(AND($H1669&lt;&gt;"",COUNTIF(INV_Serial,$H1669)&gt;1),"⚠ this serial already exists",IF(COUNTIFS(INV_Product,$B1669,INV_No,$C1669)&gt;1,"⚠ piece number reused",""))))</f>
        <v/>
      </c>
      <c r="P1669" s="5" t="n"/>
    </row>
    <row r="1670">
      <c r="A1670" s="8">
        <f>IF(OR($B1670="",$C1670=""),"",IFERROR(INDEX(PM_Short,MATCH($B1670,PM_ID,0))&amp;"-"&amp;TEXT($C1670,"00"),"?? no such product"))</f>
        <v/>
      </c>
      <c r="B1670" s="5" t="n"/>
      <c r="C1670" s="5" t="n"/>
      <c r="D1670" s="8">
        <f>IF($B1670="","",IFERROR(INDEX(PM_Category,MATCH($B1670,PM_ID,0)),""))</f>
        <v/>
      </c>
      <c r="E1670" s="8">
        <f>IF($B1670="","",IFERROR(INDEX(PM_Subcategory,MATCH($B1670,PM_ID,0)),""))</f>
        <v/>
      </c>
      <c r="F1670" s="8">
        <f>IF($B1670="","",IFERROR(INDEX(PM_Brand,MATCH($B1670,PM_ID,0)),""))</f>
        <v/>
      </c>
      <c r="G1670" s="8">
        <f>IF($B1670="","",IFERROR(INDEX(PM_Model,MATCH($B1670,PM_ID,0)),""))</f>
        <v/>
      </c>
      <c r="H1670" s="5" t="n"/>
      <c r="I1670" s="10" t="n"/>
      <c r="J1670" s="9" t="n"/>
      <c r="K1670" s="5" t="n"/>
      <c r="L1670" s="5" t="n"/>
      <c r="M1670" s="5" t="n"/>
      <c r="N1670" s="5" t="n"/>
      <c r="O1670" s="8">
        <f>IF($B1670="","",IF(AND($A1670&lt;&gt;"",COUNTIF(INV_ID,$A1670)&gt;1),"⚠ this Unit ID already exists",IF(AND($H1670&lt;&gt;"",COUNTIF(INV_Serial,$H1670)&gt;1),"⚠ this serial already exists",IF(COUNTIFS(INV_Product,$B1670,INV_No,$C1670)&gt;1,"⚠ piece number reused",""))))</f>
        <v/>
      </c>
      <c r="P1670" s="5" t="n"/>
    </row>
    <row r="1671">
      <c r="A1671" s="8">
        <f>IF(OR($B1671="",$C1671=""),"",IFERROR(INDEX(PM_Short,MATCH($B1671,PM_ID,0))&amp;"-"&amp;TEXT($C1671,"00"),"?? no such product"))</f>
        <v/>
      </c>
      <c r="B1671" s="5" t="n"/>
      <c r="C1671" s="5" t="n"/>
      <c r="D1671" s="8">
        <f>IF($B1671="","",IFERROR(INDEX(PM_Category,MATCH($B1671,PM_ID,0)),""))</f>
        <v/>
      </c>
      <c r="E1671" s="8">
        <f>IF($B1671="","",IFERROR(INDEX(PM_Subcategory,MATCH($B1671,PM_ID,0)),""))</f>
        <v/>
      </c>
      <c r="F1671" s="8">
        <f>IF($B1671="","",IFERROR(INDEX(PM_Brand,MATCH($B1671,PM_ID,0)),""))</f>
        <v/>
      </c>
      <c r="G1671" s="8">
        <f>IF($B1671="","",IFERROR(INDEX(PM_Model,MATCH($B1671,PM_ID,0)),""))</f>
        <v/>
      </c>
      <c r="H1671" s="5" t="n"/>
      <c r="I1671" s="10" t="n"/>
      <c r="J1671" s="9" t="n"/>
      <c r="K1671" s="5" t="n"/>
      <c r="L1671" s="5" t="n"/>
      <c r="M1671" s="5" t="n"/>
      <c r="N1671" s="5" t="n"/>
      <c r="O1671" s="8">
        <f>IF($B1671="","",IF(AND($A1671&lt;&gt;"",COUNTIF(INV_ID,$A1671)&gt;1),"⚠ this Unit ID already exists",IF(AND($H1671&lt;&gt;"",COUNTIF(INV_Serial,$H1671)&gt;1),"⚠ this serial already exists",IF(COUNTIFS(INV_Product,$B1671,INV_No,$C1671)&gt;1,"⚠ piece number reused",""))))</f>
        <v/>
      </c>
      <c r="P1671" s="5" t="n"/>
    </row>
    <row r="1672">
      <c r="A1672" s="8">
        <f>IF(OR($B1672="",$C1672=""),"",IFERROR(INDEX(PM_Short,MATCH($B1672,PM_ID,0))&amp;"-"&amp;TEXT($C1672,"00"),"?? no such product"))</f>
        <v/>
      </c>
      <c r="B1672" s="5" t="n"/>
      <c r="C1672" s="5" t="n"/>
      <c r="D1672" s="8">
        <f>IF($B1672="","",IFERROR(INDEX(PM_Category,MATCH($B1672,PM_ID,0)),""))</f>
        <v/>
      </c>
      <c r="E1672" s="8">
        <f>IF($B1672="","",IFERROR(INDEX(PM_Subcategory,MATCH($B1672,PM_ID,0)),""))</f>
        <v/>
      </c>
      <c r="F1672" s="8">
        <f>IF($B1672="","",IFERROR(INDEX(PM_Brand,MATCH($B1672,PM_ID,0)),""))</f>
        <v/>
      </c>
      <c r="G1672" s="8">
        <f>IF($B1672="","",IFERROR(INDEX(PM_Model,MATCH($B1672,PM_ID,0)),""))</f>
        <v/>
      </c>
      <c r="H1672" s="5" t="n"/>
      <c r="I1672" s="10" t="n"/>
      <c r="J1672" s="9" t="n"/>
      <c r="K1672" s="5" t="n"/>
      <c r="L1672" s="5" t="n"/>
      <c r="M1672" s="5" t="n"/>
      <c r="N1672" s="5" t="n"/>
      <c r="O1672" s="8">
        <f>IF($B1672="","",IF(AND($A1672&lt;&gt;"",COUNTIF(INV_ID,$A1672)&gt;1),"⚠ this Unit ID already exists",IF(AND($H1672&lt;&gt;"",COUNTIF(INV_Serial,$H1672)&gt;1),"⚠ this serial already exists",IF(COUNTIFS(INV_Product,$B1672,INV_No,$C1672)&gt;1,"⚠ piece number reused",""))))</f>
        <v/>
      </c>
      <c r="P1672" s="5" t="n"/>
    </row>
    <row r="1673">
      <c r="A1673" s="8">
        <f>IF(OR($B1673="",$C1673=""),"",IFERROR(INDEX(PM_Short,MATCH($B1673,PM_ID,0))&amp;"-"&amp;TEXT($C1673,"00"),"?? no such product"))</f>
        <v/>
      </c>
      <c r="B1673" s="5" t="n"/>
      <c r="C1673" s="5" t="n"/>
      <c r="D1673" s="8">
        <f>IF($B1673="","",IFERROR(INDEX(PM_Category,MATCH($B1673,PM_ID,0)),""))</f>
        <v/>
      </c>
      <c r="E1673" s="8">
        <f>IF($B1673="","",IFERROR(INDEX(PM_Subcategory,MATCH($B1673,PM_ID,0)),""))</f>
        <v/>
      </c>
      <c r="F1673" s="8">
        <f>IF($B1673="","",IFERROR(INDEX(PM_Brand,MATCH($B1673,PM_ID,0)),""))</f>
        <v/>
      </c>
      <c r="G1673" s="8">
        <f>IF($B1673="","",IFERROR(INDEX(PM_Model,MATCH($B1673,PM_ID,0)),""))</f>
        <v/>
      </c>
      <c r="H1673" s="5" t="n"/>
      <c r="I1673" s="10" t="n"/>
      <c r="J1673" s="9" t="n"/>
      <c r="K1673" s="5" t="n"/>
      <c r="L1673" s="5" t="n"/>
      <c r="M1673" s="5" t="n"/>
      <c r="N1673" s="5" t="n"/>
      <c r="O1673" s="8">
        <f>IF($B1673="","",IF(AND($A1673&lt;&gt;"",COUNTIF(INV_ID,$A1673)&gt;1),"⚠ this Unit ID already exists",IF(AND($H1673&lt;&gt;"",COUNTIF(INV_Serial,$H1673)&gt;1),"⚠ this serial already exists",IF(COUNTIFS(INV_Product,$B1673,INV_No,$C1673)&gt;1,"⚠ piece number reused",""))))</f>
        <v/>
      </c>
      <c r="P1673" s="5" t="n"/>
    </row>
    <row r="1674">
      <c r="A1674" s="8">
        <f>IF(OR($B1674="",$C1674=""),"",IFERROR(INDEX(PM_Short,MATCH($B1674,PM_ID,0))&amp;"-"&amp;TEXT($C1674,"00"),"?? no such product"))</f>
        <v/>
      </c>
      <c r="B1674" s="5" t="n"/>
      <c r="C1674" s="5" t="n"/>
      <c r="D1674" s="8">
        <f>IF($B1674="","",IFERROR(INDEX(PM_Category,MATCH($B1674,PM_ID,0)),""))</f>
        <v/>
      </c>
      <c r="E1674" s="8">
        <f>IF($B1674="","",IFERROR(INDEX(PM_Subcategory,MATCH($B1674,PM_ID,0)),""))</f>
        <v/>
      </c>
      <c r="F1674" s="8">
        <f>IF($B1674="","",IFERROR(INDEX(PM_Brand,MATCH($B1674,PM_ID,0)),""))</f>
        <v/>
      </c>
      <c r="G1674" s="8">
        <f>IF($B1674="","",IFERROR(INDEX(PM_Model,MATCH($B1674,PM_ID,0)),""))</f>
        <v/>
      </c>
      <c r="H1674" s="5" t="n"/>
      <c r="I1674" s="10" t="n"/>
      <c r="J1674" s="9" t="n"/>
      <c r="K1674" s="5" t="n"/>
      <c r="L1674" s="5" t="n"/>
      <c r="M1674" s="5" t="n"/>
      <c r="N1674" s="5" t="n"/>
      <c r="O1674" s="8">
        <f>IF($B1674="","",IF(AND($A1674&lt;&gt;"",COUNTIF(INV_ID,$A1674)&gt;1),"⚠ this Unit ID already exists",IF(AND($H1674&lt;&gt;"",COUNTIF(INV_Serial,$H1674)&gt;1),"⚠ this serial already exists",IF(COUNTIFS(INV_Product,$B1674,INV_No,$C1674)&gt;1,"⚠ piece number reused",""))))</f>
        <v/>
      </c>
      <c r="P1674" s="5" t="n"/>
    </row>
    <row r="1675">
      <c r="A1675" s="8">
        <f>IF(OR($B1675="",$C1675=""),"",IFERROR(INDEX(PM_Short,MATCH($B1675,PM_ID,0))&amp;"-"&amp;TEXT($C1675,"00"),"?? no such product"))</f>
        <v/>
      </c>
      <c r="B1675" s="5" t="n"/>
      <c r="C1675" s="5" t="n"/>
      <c r="D1675" s="8">
        <f>IF($B1675="","",IFERROR(INDEX(PM_Category,MATCH($B1675,PM_ID,0)),""))</f>
        <v/>
      </c>
      <c r="E1675" s="8">
        <f>IF($B1675="","",IFERROR(INDEX(PM_Subcategory,MATCH($B1675,PM_ID,0)),""))</f>
        <v/>
      </c>
      <c r="F1675" s="8">
        <f>IF($B1675="","",IFERROR(INDEX(PM_Brand,MATCH($B1675,PM_ID,0)),""))</f>
        <v/>
      </c>
      <c r="G1675" s="8">
        <f>IF($B1675="","",IFERROR(INDEX(PM_Model,MATCH($B1675,PM_ID,0)),""))</f>
        <v/>
      </c>
      <c r="H1675" s="5" t="n"/>
      <c r="I1675" s="10" t="n"/>
      <c r="J1675" s="9" t="n"/>
      <c r="K1675" s="5" t="n"/>
      <c r="L1675" s="5" t="n"/>
      <c r="M1675" s="5" t="n"/>
      <c r="N1675" s="5" t="n"/>
      <c r="O1675" s="8">
        <f>IF($B1675="","",IF(AND($A1675&lt;&gt;"",COUNTIF(INV_ID,$A1675)&gt;1),"⚠ this Unit ID already exists",IF(AND($H1675&lt;&gt;"",COUNTIF(INV_Serial,$H1675)&gt;1),"⚠ this serial already exists",IF(COUNTIFS(INV_Product,$B1675,INV_No,$C1675)&gt;1,"⚠ piece number reused",""))))</f>
        <v/>
      </c>
      <c r="P1675" s="5" t="n"/>
    </row>
    <row r="1676">
      <c r="A1676" s="8">
        <f>IF(OR($B1676="",$C1676=""),"",IFERROR(INDEX(PM_Short,MATCH($B1676,PM_ID,0))&amp;"-"&amp;TEXT($C1676,"00"),"?? no such product"))</f>
        <v/>
      </c>
      <c r="B1676" s="5" t="n"/>
      <c r="C1676" s="5" t="n"/>
      <c r="D1676" s="8">
        <f>IF($B1676="","",IFERROR(INDEX(PM_Category,MATCH($B1676,PM_ID,0)),""))</f>
        <v/>
      </c>
      <c r="E1676" s="8">
        <f>IF($B1676="","",IFERROR(INDEX(PM_Subcategory,MATCH($B1676,PM_ID,0)),""))</f>
        <v/>
      </c>
      <c r="F1676" s="8">
        <f>IF($B1676="","",IFERROR(INDEX(PM_Brand,MATCH($B1676,PM_ID,0)),""))</f>
        <v/>
      </c>
      <c r="G1676" s="8">
        <f>IF($B1676="","",IFERROR(INDEX(PM_Model,MATCH($B1676,PM_ID,0)),""))</f>
        <v/>
      </c>
      <c r="H1676" s="5" t="n"/>
      <c r="I1676" s="10" t="n"/>
      <c r="J1676" s="9" t="n"/>
      <c r="K1676" s="5" t="n"/>
      <c r="L1676" s="5" t="n"/>
      <c r="M1676" s="5" t="n"/>
      <c r="N1676" s="5" t="n"/>
      <c r="O1676" s="8">
        <f>IF($B1676="","",IF(AND($A1676&lt;&gt;"",COUNTIF(INV_ID,$A1676)&gt;1),"⚠ this Unit ID already exists",IF(AND($H1676&lt;&gt;"",COUNTIF(INV_Serial,$H1676)&gt;1),"⚠ this serial already exists",IF(COUNTIFS(INV_Product,$B1676,INV_No,$C1676)&gt;1,"⚠ piece number reused",""))))</f>
        <v/>
      </c>
      <c r="P1676" s="5" t="n"/>
    </row>
    <row r="1677">
      <c r="A1677" s="8">
        <f>IF(OR($B1677="",$C1677=""),"",IFERROR(INDEX(PM_Short,MATCH($B1677,PM_ID,0))&amp;"-"&amp;TEXT($C1677,"00"),"?? no such product"))</f>
        <v/>
      </c>
      <c r="B1677" s="5" t="n"/>
      <c r="C1677" s="5" t="n"/>
      <c r="D1677" s="8">
        <f>IF($B1677="","",IFERROR(INDEX(PM_Category,MATCH($B1677,PM_ID,0)),""))</f>
        <v/>
      </c>
      <c r="E1677" s="8">
        <f>IF($B1677="","",IFERROR(INDEX(PM_Subcategory,MATCH($B1677,PM_ID,0)),""))</f>
        <v/>
      </c>
      <c r="F1677" s="8">
        <f>IF($B1677="","",IFERROR(INDEX(PM_Brand,MATCH($B1677,PM_ID,0)),""))</f>
        <v/>
      </c>
      <c r="G1677" s="8">
        <f>IF($B1677="","",IFERROR(INDEX(PM_Model,MATCH($B1677,PM_ID,0)),""))</f>
        <v/>
      </c>
      <c r="H1677" s="5" t="n"/>
      <c r="I1677" s="10" t="n"/>
      <c r="J1677" s="9" t="n"/>
      <c r="K1677" s="5" t="n"/>
      <c r="L1677" s="5" t="n"/>
      <c r="M1677" s="5" t="n"/>
      <c r="N1677" s="5" t="n"/>
      <c r="O1677" s="8">
        <f>IF($B1677="","",IF(AND($A1677&lt;&gt;"",COUNTIF(INV_ID,$A1677)&gt;1),"⚠ this Unit ID already exists",IF(AND($H1677&lt;&gt;"",COUNTIF(INV_Serial,$H1677)&gt;1),"⚠ this serial already exists",IF(COUNTIFS(INV_Product,$B1677,INV_No,$C1677)&gt;1,"⚠ piece number reused",""))))</f>
        <v/>
      </c>
      <c r="P1677" s="5" t="n"/>
    </row>
    <row r="1678">
      <c r="A1678" s="8">
        <f>IF(OR($B1678="",$C1678=""),"",IFERROR(INDEX(PM_Short,MATCH($B1678,PM_ID,0))&amp;"-"&amp;TEXT($C1678,"00"),"?? no such product"))</f>
        <v/>
      </c>
      <c r="B1678" s="5" t="n"/>
      <c r="C1678" s="5" t="n"/>
      <c r="D1678" s="8">
        <f>IF($B1678="","",IFERROR(INDEX(PM_Category,MATCH($B1678,PM_ID,0)),""))</f>
        <v/>
      </c>
      <c r="E1678" s="8">
        <f>IF($B1678="","",IFERROR(INDEX(PM_Subcategory,MATCH($B1678,PM_ID,0)),""))</f>
        <v/>
      </c>
      <c r="F1678" s="8">
        <f>IF($B1678="","",IFERROR(INDEX(PM_Brand,MATCH($B1678,PM_ID,0)),""))</f>
        <v/>
      </c>
      <c r="G1678" s="8">
        <f>IF($B1678="","",IFERROR(INDEX(PM_Model,MATCH($B1678,PM_ID,0)),""))</f>
        <v/>
      </c>
      <c r="H1678" s="5" t="n"/>
      <c r="I1678" s="10" t="n"/>
      <c r="J1678" s="9" t="n"/>
      <c r="K1678" s="5" t="n"/>
      <c r="L1678" s="5" t="n"/>
      <c r="M1678" s="5" t="n"/>
      <c r="N1678" s="5" t="n"/>
      <c r="O1678" s="8">
        <f>IF($B1678="","",IF(AND($A1678&lt;&gt;"",COUNTIF(INV_ID,$A1678)&gt;1),"⚠ this Unit ID already exists",IF(AND($H1678&lt;&gt;"",COUNTIF(INV_Serial,$H1678)&gt;1),"⚠ this serial already exists",IF(COUNTIFS(INV_Product,$B1678,INV_No,$C1678)&gt;1,"⚠ piece number reused",""))))</f>
        <v/>
      </c>
      <c r="P1678" s="5" t="n"/>
    </row>
    <row r="1679">
      <c r="A1679" s="8">
        <f>IF(OR($B1679="",$C1679=""),"",IFERROR(INDEX(PM_Short,MATCH($B1679,PM_ID,0))&amp;"-"&amp;TEXT($C1679,"00"),"?? no such product"))</f>
        <v/>
      </c>
      <c r="B1679" s="5" t="n"/>
      <c r="C1679" s="5" t="n"/>
      <c r="D1679" s="8">
        <f>IF($B1679="","",IFERROR(INDEX(PM_Category,MATCH($B1679,PM_ID,0)),""))</f>
        <v/>
      </c>
      <c r="E1679" s="8">
        <f>IF($B1679="","",IFERROR(INDEX(PM_Subcategory,MATCH($B1679,PM_ID,0)),""))</f>
        <v/>
      </c>
      <c r="F1679" s="8">
        <f>IF($B1679="","",IFERROR(INDEX(PM_Brand,MATCH($B1679,PM_ID,0)),""))</f>
        <v/>
      </c>
      <c r="G1679" s="8">
        <f>IF($B1679="","",IFERROR(INDEX(PM_Model,MATCH($B1679,PM_ID,0)),""))</f>
        <v/>
      </c>
      <c r="H1679" s="5" t="n"/>
      <c r="I1679" s="10" t="n"/>
      <c r="J1679" s="9" t="n"/>
      <c r="K1679" s="5" t="n"/>
      <c r="L1679" s="5" t="n"/>
      <c r="M1679" s="5" t="n"/>
      <c r="N1679" s="5" t="n"/>
      <c r="O1679" s="8">
        <f>IF($B1679="","",IF(AND($A1679&lt;&gt;"",COUNTIF(INV_ID,$A1679)&gt;1),"⚠ this Unit ID already exists",IF(AND($H1679&lt;&gt;"",COUNTIF(INV_Serial,$H1679)&gt;1),"⚠ this serial already exists",IF(COUNTIFS(INV_Product,$B1679,INV_No,$C1679)&gt;1,"⚠ piece number reused",""))))</f>
        <v/>
      </c>
      <c r="P1679" s="5" t="n"/>
    </row>
    <row r="1680">
      <c r="A1680" s="8">
        <f>IF(OR($B1680="",$C1680=""),"",IFERROR(INDEX(PM_Short,MATCH($B1680,PM_ID,0))&amp;"-"&amp;TEXT($C1680,"00"),"?? no such product"))</f>
        <v/>
      </c>
      <c r="B1680" s="5" t="n"/>
      <c r="C1680" s="5" t="n"/>
      <c r="D1680" s="8">
        <f>IF($B1680="","",IFERROR(INDEX(PM_Category,MATCH($B1680,PM_ID,0)),""))</f>
        <v/>
      </c>
      <c r="E1680" s="8">
        <f>IF($B1680="","",IFERROR(INDEX(PM_Subcategory,MATCH($B1680,PM_ID,0)),""))</f>
        <v/>
      </c>
      <c r="F1680" s="8">
        <f>IF($B1680="","",IFERROR(INDEX(PM_Brand,MATCH($B1680,PM_ID,0)),""))</f>
        <v/>
      </c>
      <c r="G1680" s="8">
        <f>IF($B1680="","",IFERROR(INDEX(PM_Model,MATCH($B1680,PM_ID,0)),""))</f>
        <v/>
      </c>
      <c r="H1680" s="5" t="n"/>
      <c r="I1680" s="10" t="n"/>
      <c r="J1680" s="9" t="n"/>
      <c r="K1680" s="5" t="n"/>
      <c r="L1680" s="5" t="n"/>
      <c r="M1680" s="5" t="n"/>
      <c r="N1680" s="5" t="n"/>
      <c r="O1680" s="8">
        <f>IF($B1680="","",IF(AND($A1680&lt;&gt;"",COUNTIF(INV_ID,$A1680)&gt;1),"⚠ this Unit ID already exists",IF(AND($H1680&lt;&gt;"",COUNTIF(INV_Serial,$H1680)&gt;1),"⚠ this serial already exists",IF(COUNTIFS(INV_Product,$B1680,INV_No,$C1680)&gt;1,"⚠ piece number reused",""))))</f>
        <v/>
      </c>
      <c r="P1680" s="5" t="n"/>
    </row>
    <row r="1681">
      <c r="A1681" s="8">
        <f>IF(OR($B1681="",$C1681=""),"",IFERROR(INDEX(PM_Short,MATCH($B1681,PM_ID,0))&amp;"-"&amp;TEXT($C1681,"00"),"?? no such product"))</f>
        <v/>
      </c>
      <c r="B1681" s="5" t="n"/>
      <c r="C1681" s="5" t="n"/>
      <c r="D1681" s="8">
        <f>IF($B1681="","",IFERROR(INDEX(PM_Category,MATCH($B1681,PM_ID,0)),""))</f>
        <v/>
      </c>
      <c r="E1681" s="8">
        <f>IF($B1681="","",IFERROR(INDEX(PM_Subcategory,MATCH($B1681,PM_ID,0)),""))</f>
        <v/>
      </c>
      <c r="F1681" s="8">
        <f>IF($B1681="","",IFERROR(INDEX(PM_Brand,MATCH($B1681,PM_ID,0)),""))</f>
        <v/>
      </c>
      <c r="G1681" s="8">
        <f>IF($B1681="","",IFERROR(INDEX(PM_Model,MATCH($B1681,PM_ID,0)),""))</f>
        <v/>
      </c>
      <c r="H1681" s="5" t="n"/>
      <c r="I1681" s="10" t="n"/>
      <c r="J1681" s="9" t="n"/>
      <c r="K1681" s="5" t="n"/>
      <c r="L1681" s="5" t="n"/>
      <c r="M1681" s="5" t="n"/>
      <c r="N1681" s="5" t="n"/>
      <c r="O1681" s="8">
        <f>IF($B1681="","",IF(AND($A1681&lt;&gt;"",COUNTIF(INV_ID,$A1681)&gt;1),"⚠ this Unit ID already exists",IF(AND($H1681&lt;&gt;"",COUNTIF(INV_Serial,$H1681)&gt;1),"⚠ this serial already exists",IF(COUNTIFS(INV_Product,$B1681,INV_No,$C1681)&gt;1,"⚠ piece number reused",""))))</f>
        <v/>
      </c>
      <c r="P1681" s="5" t="n"/>
    </row>
    <row r="1682">
      <c r="A1682" s="8">
        <f>IF(OR($B1682="",$C1682=""),"",IFERROR(INDEX(PM_Short,MATCH($B1682,PM_ID,0))&amp;"-"&amp;TEXT($C1682,"00"),"?? no such product"))</f>
        <v/>
      </c>
      <c r="B1682" s="5" t="n"/>
      <c r="C1682" s="5" t="n"/>
      <c r="D1682" s="8">
        <f>IF($B1682="","",IFERROR(INDEX(PM_Category,MATCH($B1682,PM_ID,0)),""))</f>
        <v/>
      </c>
      <c r="E1682" s="8">
        <f>IF($B1682="","",IFERROR(INDEX(PM_Subcategory,MATCH($B1682,PM_ID,0)),""))</f>
        <v/>
      </c>
      <c r="F1682" s="8">
        <f>IF($B1682="","",IFERROR(INDEX(PM_Brand,MATCH($B1682,PM_ID,0)),""))</f>
        <v/>
      </c>
      <c r="G1682" s="8">
        <f>IF($B1682="","",IFERROR(INDEX(PM_Model,MATCH($B1682,PM_ID,0)),""))</f>
        <v/>
      </c>
      <c r="H1682" s="5" t="n"/>
      <c r="I1682" s="10" t="n"/>
      <c r="J1682" s="9" t="n"/>
      <c r="K1682" s="5" t="n"/>
      <c r="L1682" s="5" t="n"/>
      <c r="M1682" s="5" t="n"/>
      <c r="N1682" s="5" t="n"/>
      <c r="O1682" s="8">
        <f>IF($B1682="","",IF(AND($A1682&lt;&gt;"",COUNTIF(INV_ID,$A1682)&gt;1),"⚠ this Unit ID already exists",IF(AND($H1682&lt;&gt;"",COUNTIF(INV_Serial,$H1682)&gt;1),"⚠ this serial already exists",IF(COUNTIFS(INV_Product,$B1682,INV_No,$C1682)&gt;1,"⚠ piece number reused",""))))</f>
        <v/>
      </c>
      <c r="P1682" s="5" t="n"/>
    </row>
    <row r="1683">
      <c r="A1683" s="8">
        <f>IF(OR($B1683="",$C1683=""),"",IFERROR(INDEX(PM_Short,MATCH($B1683,PM_ID,0))&amp;"-"&amp;TEXT($C1683,"00"),"?? no such product"))</f>
        <v/>
      </c>
      <c r="B1683" s="5" t="n"/>
      <c r="C1683" s="5" t="n"/>
      <c r="D1683" s="8">
        <f>IF($B1683="","",IFERROR(INDEX(PM_Category,MATCH($B1683,PM_ID,0)),""))</f>
        <v/>
      </c>
      <c r="E1683" s="8">
        <f>IF($B1683="","",IFERROR(INDEX(PM_Subcategory,MATCH($B1683,PM_ID,0)),""))</f>
        <v/>
      </c>
      <c r="F1683" s="8">
        <f>IF($B1683="","",IFERROR(INDEX(PM_Brand,MATCH($B1683,PM_ID,0)),""))</f>
        <v/>
      </c>
      <c r="G1683" s="8">
        <f>IF($B1683="","",IFERROR(INDEX(PM_Model,MATCH($B1683,PM_ID,0)),""))</f>
        <v/>
      </c>
      <c r="H1683" s="5" t="n"/>
      <c r="I1683" s="10" t="n"/>
      <c r="J1683" s="9" t="n"/>
      <c r="K1683" s="5" t="n"/>
      <c r="L1683" s="5" t="n"/>
      <c r="M1683" s="5" t="n"/>
      <c r="N1683" s="5" t="n"/>
      <c r="O1683" s="8">
        <f>IF($B1683="","",IF(AND($A1683&lt;&gt;"",COUNTIF(INV_ID,$A1683)&gt;1),"⚠ this Unit ID already exists",IF(AND($H1683&lt;&gt;"",COUNTIF(INV_Serial,$H1683)&gt;1),"⚠ this serial already exists",IF(COUNTIFS(INV_Product,$B1683,INV_No,$C1683)&gt;1,"⚠ piece number reused",""))))</f>
        <v/>
      </c>
      <c r="P1683" s="5" t="n"/>
    </row>
    <row r="1684">
      <c r="A1684" s="8">
        <f>IF(OR($B1684="",$C1684=""),"",IFERROR(INDEX(PM_Short,MATCH($B1684,PM_ID,0))&amp;"-"&amp;TEXT($C1684,"00"),"?? no such product"))</f>
        <v/>
      </c>
      <c r="B1684" s="5" t="n"/>
      <c r="C1684" s="5" t="n"/>
      <c r="D1684" s="8">
        <f>IF($B1684="","",IFERROR(INDEX(PM_Category,MATCH($B1684,PM_ID,0)),""))</f>
        <v/>
      </c>
      <c r="E1684" s="8">
        <f>IF($B1684="","",IFERROR(INDEX(PM_Subcategory,MATCH($B1684,PM_ID,0)),""))</f>
        <v/>
      </c>
      <c r="F1684" s="8">
        <f>IF($B1684="","",IFERROR(INDEX(PM_Brand,MATCH($B1684,PM_ID,0)),""))</f>
        <v/>
      </c>
      <c r="G1684" s="8">
        <f>IF($B1684="","",IFERROR(INDEX(PM_Model,MATCH($B1684,PM_ID,0)),""))</f>
        <v/>
      </c>
      <c r="H1684" s="5" t="n"/>
      <c r="I1684" s="10" t="n"/>
      <c r="J1684" s="9" t="n"/>
      <c r="K1684" s="5" t="n"/>
      <c r="L1684" s="5" t="n"/>
      <c r="M1684" s="5" t="n"/>
      <c r="N1684" s="5" t="n"/>
      <c r="O1684" s="8">
        <f>IF($B1684="","",IF(AND($A1684&lt;&gt;"",COUNTIF(INV_ID,$A1684)&gt;1),"⚠ this Unit ID already exists",IF(AND($H1684&lt;&gt;"",COUNTIF(INV_Serial,$H1684)&gt;1),"⚠ this serial already exists",IF(COUNTIFS(INV_Product,$B1684,INV_No,$C1684)&gt;1,"⚠ piece number reused",""))))</f>
        <v/>
      </c>
      <c r="P1684" s="5" t="n"/>
    </row>
    <row r="1685">
      <c r="A1685" s="8">
        <f>IF(OR($B1685="",$C1685=""),"",IFERROR(INDEX(PM_Short,MATCH($B1685,PM_ID,0))&amp;"-"&amp;TEXT($C1685,"00"),"?? no such product"))</f>
        <v/>
      </c>
      <c r="B1685" s="5" t="n"/>
      <c r="C1685" s="5" t="n"/>
      <c r="D1685" s="8">
        <f>IF($B1685="","",IFERROR(INDEX(PM_Category,MATCH($B1685,PM_ID,0)),""))</f>
        <v/>
      </c>
      <c r="E1685" s="8">
        <f>IF($B1685="","",IFERROR(INDEX(PM_Subcategory,MATCH($B1685,PM_ID,0)),""))</f>
        <v/>
      </c>
      <c r="F1685" s="8">
        <f>IF($B1685="","",IFERROR(INDEX(PM_Brand,MATCH($B1685,PM_ID,0)),""))</f>
        <v/>
      </c>
      <c r="G1685" s="8">
        <f>IF($B1685="","",IFERROR(INDEX(PM_Model,MATCH($B1685,PM_ID,0)),""))</f>
        <v/>
      </c>
      <c r="H1685" s="5" t="n"/>
      <c r="I1685" s="10" t="n"/>
      <c r="J1685" s="9" t="n"/>
      <c r="K1685" s="5" t="n"/>
      <c r="L1685" s="5" t="n"/>
      <c r="M1685" s="5" t="n"/>
      <c r="N1685" s="5" t="n"/>
      <c r="O1685" s="8">
        <f>IF($B1685="","",IF(AND($A1685&lt;&gt;"",COUNTIF(INV_ID,$A1685)&gt;1),"⚠ this Unit ID already exists",IF(AND($H1685&lt;&gt;"",COUNTIF(INV_Serial,$H1685)&gt;1),"⚠ this serial already exists",IF(COUNTIFS(INV_Product,$B1685,INV_No,$C1685)&gt;1,"⚠ piece number reused",""))))</f>
        <v/>
      </c>
      <c r="P1685" s="5" t="n"/>
    </row>
    <row r="1686">
      <c r="A1686" s="8">
        <f>IF(OR($B1686="",$C1686=""),"",IFERROR(INDEX(PM_Short,MATCH($B1686,PM_ID,0))&amp;"-"&amp;TEXT($C1686,"00"),"?? no such product"))</f>
        <v/>
      </c>
      <c r="B1686" s="5" t="n"/>
      <c r="C1686" s="5" t="n"/>
      <c r="D1686" s="8">
        <f>IF($B1686="","",IFERROR(INDEX(PM_Category,MATCH($B1686,PM_ID,0)),""))</f>
        <v/>
      </c>
      <c r="E1686" s="8">
        <f>IF($B1686="","",IFERROR(INDEX(PM_Subcategory,MATCH($B1686,PM_ID,0)),""))</f>
        <v/>
      </c>
      <c r="F1686" s="8">
        <f>IF($B1686="","",IFERROR(INDEX(PM_Brand,MATCH($B1686,PM_ID,0)),""))</f>
        <v/>
      </c>
      <c r="G1686" s="8">
        <f>IF($B1686="","",IFERROR(INDEX(PM_Model,MATCH($B1686,PM_ID,0)),""))</f>
        <v/>
      </c>
      <c r="H1686" s="5" t="n"/>
      <c r="I1686" s="10" t="n"/>
      <c r="J1686" s="9" t="n"/>
      <c r="K1686" s="5" t="n"/>
      <c r="L1686" s="5" t="n"/>
      <c r="M1686" s="5" t="n"/>
      <c r="N1686" s="5" t="n"/>
      <c r="O1686" s="8">
        <f>IF($B1686="","",IF(AND($A1686&lt;&gt;"",COUNTIF(INV_ID,$A1686)&gt;1),"⚠ this Unit ID already exists",IF(AND($H1686&lt;&gt;"",COUNTIF(INV_Serial,$H1686)&gt;1),"⚠ this serial already exists",IF(COUNTIFS(INV_Product,$B1686,INV_No,$C1686)&gt;1,"⚠ piece number reused",""))))</f>
        <v/>
      </c>
      <c r="P1686" s="5" t="n"/>
    </row>
    <row r="1687">
      <c r="A1687" s="8">
        <f>IF(OR($B1687="",$C1687=""),"",IFERROR(INDEX(PM_Short,MATCH($B1687,PM_ID,0))&amp;"-"&amp;TEXT($C1687,"00"),"?? no such product"))</f>
        <v/>
      </c>
      <c r="B1687" s="5" t="n"/>
      <c r="C1687" s="5" t="n"/>
      <c r="D1687" s="8">
        <f>IF($B1687="","",IFERROR(INDEX(PM_Category,MATCH($B1687,PM_ID,0)),""))</f>
        <v/>
      </c>
      <c r="E1687" s="8">
        <f>IF($B1687="","",IFERROR(INDEX(PM_Subcategory,MATCH($B1687,PM_ID,0)),""))</f>
        <v/>
      </c>
      <c r="F1687" s="8">
        <f>IF($B1687="","",IFERROR(INDEX(PM_Brand,MATCH($B1687,PM_ID,0)),""))</f>
        <v/>
      </c>
      <c r="G1687" s="8">
        <f>IF($B1687="","",IFERROR(INDEX(PM_Model,MATCH($B1687,PM_ID,0)),""))</f>
        <v/>
      </c>
      <c r="H1687" s="5" t="n"/>
      <c r="I1687" s="10" t="n"/>
      <c r="J1687" s="9" t="n"/>
      <c r="K1687" s="5" t="n"/>
      <c r="L1687" s="5" t="n"/>
      <c r="M1687" s="5" t="n"/>
      <c r="N1687" s="5" t="n"/>
      <c r="O1687" s="8">
        <f>IF($B1687="","",IF(AND($A1687&lt;&gt;"",COUNTIF(INV_ID,$A1687)&gt;1),"⚠ this Unit ID already exists",IF(AND($H1687&lt;&gt;"",COUNTIF(INV_Serial,$H1687)&gt;1),"⚠ this serial already exists",IF(COUNTIFS(INV_Product,$B1687,INV_No,$C1687)&gt;1,"⚠ piece number reused",""))))</f>
        <v/>
      </c>
      <c r="P1687" s="5" t="n"/>
    </row>
    <row r="1688">
      <c r="A1688" s="8">
        <f>IF(OR($B1688="",$C1688=""),"",IFERROR(INDEX(PM_Short,MATCH($B1688,PM_ID,0))&amp;"-"&amp;TEXT($C1688,"00"),"?? no such product"))</f>
        <v/>
      </c>
      <c r="B1688" s="5" t="n"/>
      <c r="C1688" s="5" t="n"/>
      <c r="D1688" s="8">
        <f>IF($B1688="","",IFERROR(INDEX(PM_Category,MATCH($B1688,PM_ID,0)),""))</f>
        <v/>
      </c>
      <c r="E1688" s="8">
        <f>IF($B1688="","",IFERROR(INDEX(PM_Subcategory,MATCH($B1688,PM_ID,0)),""))</f>
        <v/>
      </c>
      <c r="F1688" s="8">
        <f>IF($B1688="","",IFERROR(INDEX(PM_Brand,MATCH($B1688,PM_ID,0)),""))</f>
        <v/>
      </c>
      <c r="G1688" s="8">
        <f>IF($B1688="","",IFERROR(INDEX(PM_Model,MATCH($B1688,PM_ID,0)),""))</f>
        <v/>
      </c>
      <c r="H1688" s="5" t="n"/>
      <c r="I1688" s="10" t="n"/>
      <c r="J1688" s="9" t="n"/>
      <c r="K1688" s="5" t="n"/>
      <c r="L1688" s="5" t="n"/>
      <c r="M1688" s="5" t="n"/>
      <c r="N1688" s="5" t="n"/>
      <c r="O1688" s="8">
        <f>IF($B1688="","",IF(AND($A1688&lt;&gt;"",COUNTIF(INV_ID,$A1688)&gt;1),"⚠ this Unit ID already exists",IF(AND($H1688&lt;&gt;"",COUNTIF(INV_Serial,$H1688)&gt;1),"⚠ this serial already exists",IF(COUNTIFS(INV_Product,$B1688,INV_No,$C1688)&gt;1,"⚠ piece number reused",""))))</f>
        <v/>
      </c>
      <c r="P1688" s="5" t="n"/>
    </row>
    <row r="1689">
      <c r="A1689" s="8">
        <f>IF(OR($B1689="",$C1689=""),"",IFERROR(INDEX(PM_Short,MATCH($B1689,PM_ID,0))&amp;"-"&amp;TEXT($C1689,"00"),"?? no such product"))</f>
        <v/>
      </c>
      <c r="B1689" s="5" t="n"/>
      <c r="C1689" s="5" t="n"/>
      <c r="D1689" s="8">
        <f>IF($B1689="","",IFERROR(INDEX(PM_Category,MATCH($B1689,PM_ID,0)),""))</f>
        <v/>
      </c>
      <c r="E1689" s="8">
        <f>IF($B1689="","",IFERROR(INDEX(PM_Subcategory,MATCH($B1689,PM_ID,0)),""))</f>
        <v/>
      </c>
      <c r="F1689" s="8">
        <f>IF($B1689="","",IFERROR(INDEX(PM_Brand,MATCH($B1689,PM_ID,0)),""))</f>
        <v/>
      </c>
      <c r="G1689" s="8">
        <f>IF($B1689="","",IFERROR(INDEX(PM_Model,MATCH($B1689,PM_ID,0)),""))</f>
        <v/>
      </c>
      <c r="H1689" s="5" t="n"/>
      <c r="I1689" s="10" t="n"/>
      <c r="J1689" s="9" t="n"/>
      <c r="K1689" s="5" t="n"/>
      <c r="L1689" s="5" t="n"/>
      <c r="M1689" s="5" t="n"/>
      <c r="N1689" s="5" t="n"/>
      <c r="O1689" s="8">
        <f>IF($B1689="","",IF(AND($A1689&lt;&gt;"",COUNTIF(INV_ID,$A1689)&gt;1),"⚠ this Unit ID already exists",IF(AND($H1689&lt;&gt;"",COUNTIF(INV_Serial,$H1689)&gt;1),"⚠ this serial already exists",IF(COUNTIFS(INV_Product,$B1689,INV_No,$C1689)&gt;1,"⚠ piece number reused",""))))</f>
        <v/>
      </c>
      <c r="P1689" s="5" t="n"/>
    </row>
    <row r="1690">
      <c r="A1690" s="8">
        <f>IF(OR($B1690="",$C1690=""),"",IFERROR(INDEX(PM_Short,MATCH($B1690,PM_ID,0))&amp;"-"&amp;TEXT($C1690,"00"),"?? no such product"))</f>
        <v/>
      </c>
      <c r="B1690" s="5" t="n"/>
      <c r="C1690" s="5" t="n"/>
      <c r="D1690" s="8">
        <f>IF($B1690="","",IFERROR(INDEX(PM_Category,MATCH($B1690,PM_ID,0)),""))</f>
        <v/>
      </c>
      <c r="E1690" s="8">
        <f>IF($B1690="","",IFERROR(INDEX(PM_Subcategory,MATCH($B1690,PM_ID,0)),""))</f>
        <v/>
      </c>
      <c r="F1690" s="8">
        <f>IF($B1690="","",IFERROR(INDEX(PM_Brand,MATCH($B1690,PM_ID,0)),""))</f>
        <v/>
      </c>
      <c r="G1690" s="8">
        <f>IF($B1690="","",IFERROR(INDEX(PM_Model,MATCH($B1690,PM_ID,0)),""))</f>
        <v/>
      </c>
      <c r="H1690" s="5" t="n"/>
      <c r="I1690" s="10" t="n"/>
      <c r="J1690" s="9" t="n"/>
      <c r="K1690" s="5" t="n"/>
      <c r="L1690" s="5" t="n"/>
      <c r="M1690" s="5" t="n"/>
      <c r="N1690" s="5" t="n"/>
      <c r="O1690" s="8">
        <f>IF($B1690="","",IF(AND($A1690&lt;&gt;"",COUNTIF(INV_ID,$A1690)&gt;1),"⚠ this Unit ID already exists",IF(AND($H1690&lt;&gt;"",COUNTIF(INV_Serial,$H1690)&gt;1),"⚠ this serial already exists",IF(COUNTIFS(INV_Product,$B1690,INV_No,$C1690)&gt;1,"⚠ piece number reused",""))))</f>
        <v/>
      </c>
      <c r="P1690" s="5" t="n"/>
    </row>
    <row r="1691">
      <c r="A1691" s="8">
        <f>IF(OR($B1691="",$C1691=""),"",IFERROR(INDEX(PM_Short,MATCH($B1691,PM_ID,0))&amp;"-"&amp;TEXT($C1691,"00"),"?? no such product"))</f>
        <v/>
      </c>
      <c r="B1691" s="5" t="n"/>
      <c r="C1691" s="5" t="n"/>
      <c r="D1691" s="8">
        <f>IF($B1691="","",IFERROR(INDEX(PM_Category,MATCH($B1691,PM_ID,0)),""))</f>
        <v/>
      </c>
      <c r="E1691" s="8">
        <f>IF($B1691="","",IFERROR(INDEX(PM_Subcategory,MATCH($B1691,PM_ID,0)),""))</f>
        <v/>
      </c>
      <c r="F1691" s="8">
        <f>IF($B1691="","",IFERROR(INDEX(PM_Brand,MATCH($B1691,PM_ID,0)),""))</f>
        <v/>
      </c>
      <c r="G1691" s="8">
        <f>IF($B1691="","",IFERROR(INDEX(PM_Model,MATCH($B1691,PM_ID,0)),""))</f>
        <v/>
      </c>
      <c r="H1691" s="5" t="n"/>
      <c r="I1691" s="10" t="n"/>
      <c r="J1691" s="9" t="n"/>
      <c r="K1691" s="5" t="n"/>
      <c r="L1691" s="5" t="n"/>
      <c r="M1691" s="5" t="n"/>
      <c r="N1691" s="5" t="n"/>
      <c r="O1691" s="8">
        <f>IF($B1691="","",IF(AND($A1691&lt;&gt;"",COUNTIF(INV_ID,$A1691)&gt;1),"⚠ this Unit ID already exists",IF(AND($H1691&lt;&gt;"",COUNTIF(INV_Serial,$H1691)&gt;1),"⚠ this serial already exists",IF(COUNTIFS(INV_Product,$B1691,INV_No,$C1691)&gt;1,"⚠ piece number reused",""))))</f>
        <v/>
      </c>
      <c r="P1691" s="5" t="n"/>
    </row>
    <row r="1692">
      <c r="A1692" s="8">
        <f>IF(OR($B1692="",$C1692=""),"",IFERROR(INDEX(PM_Short,MATCH($B1692,PM_ID,0))&amp;"-"&amp;TEXT($C1692,"00"),"?? no such product"))</f>
        <v/>
      </c>
      <c r="B1692" s="5" t="n"/>
      <c r="C1692" s="5" t="n"/>
      <c r="D1692" s="8">
        <f>IF($B1692="","",IFERROR(INDEX(PM_Category,MATCH($B1692,PM_ID,0)),""))</f>
        <v/>
      </c>
      <c r="E1692" s="8">
        <f>IF($B1692="","",IFERROR(INDEX(PM_Subcategory,MATCH($B1692,PM_ID,0)),""))</f>
        <v/>
      </c>
      <c r="F1692" s="8">
        <f>IF($B1692="","",IFERROR(INDEX(PM_Brand,MATCH($B1692,PM_ID,0)),""))</f>
        <v/>
      </c>
      <c r="G1692" s="8">
        <f>IF($B1692="","",IFERROR(INDEX(PM_Model,MATCH($B1692,PM_ID,0)),""))</f>
        <v/>
      </c>
      <c r="H1692" s="5" t="n"/>
      <c r="I1692" s="10" t="n"/>
      <c r="J1692" s="9" t="n"/>
      <c r="K1692" s="5" t="n"/>
      <c r="L1692" s="5" t="n"/>
      <c r="M1692" s="5" t="n"/>
      <c r="N1692" s="5" t="n"/>
      <c r="O1692" s="8">
        <f>IF($B1692="","",IF(AND($A1692&lt;&gt;"",COUNTIF(INV_ID,$A1692)&gt;1),"⚠ this Unit ID already exists",IF(AND($H1692&lt;&gt;"",COUNTIF(INV_Serial,$H1692)&gt;1),"⚠ this serial already exists",IF(COUNTIFS(INV_Product,$B1692,INV_No,$C1692)&gt;1,"⚠ piece number reused",""))))</f>
        <v/>
      </c>
      <c r="P1692" s="5" t="n"/>
    </row>
    <row r="1693">
      <c r="A1693" s="8">
        <f>IF(OR($B1693="",$C1693=""),"",IFERROR(INDEX(PM_Short,MATCH($B1693,PM_ID,0))&amp;"-"&amp;TEXT($C1693,"00"),"?? no such product"))</f>
        <v/>
      </c>
      <c r="B1693" s="5" t="n"/>
      <c r="C1693" s="5" t="n"/>
      <c r="D1693" s="8">
        <f>IF($B1693="","",IFERROR(INDEX(PM_Category,MATCH($B1693,PM_ID,0)),""))</f>
        <v/>
      </c>
      <c r="E1693" s="8">
        <f>IF($B1693="","",IFERROR(INDEX(PM_Subcategory,MATCH($B1693,PM_ID,0)),""))</f>
        <v/>
      </c>
      <c r="F1693" s="8">
        <f>IF($B1693="","",IFERROR(INDEX(PM_Brand,MATCH($B1693,PM_ID,0)),""))</f>
        <v/>
      </c>
      <c r="G1693" s="8">
        <f>IF($B1693="","",IFERROR(INDEX(PM_Model,MATCH($B1693,PM_ID,0)),""))</f>
        <v/>
      </c>
      <c r="H1693" s="5" t="n"/>
      <c r="I1693" s="10" t="n"/>
      <c r="J1693" s="9" t="n"/>
      <c r="K1693" s="5" t="n"/>
      <c r="L1693" s="5" t="n"/>
      <c r="M1693" s="5" t="n"/>
      <c r="N1693" s="5" t="n"/>
      <c r="O1693" s="8">
        <f>IF($B1693="","",IF(AND($A1693&lt;&gt;"",COUNTIF(INV_ID,$A1693)&gt;1),"⚠ this Unit ID already exists",IF(AND($H1693&lt;&gt;"",COUNTIF(INV_Serial,$H1693)&gt;1),"⚠ this serial already exists",IF(COUNTIFS(INV_Product,$B1693,INV_No,$C1693)&gt;1,"⚠ piece number reused",""))))</f>
        <v/>
      </c>
      <c r="P1693" s="5" t="n"/>
    </row>
    <row r="1694">
      <c r="A1694" s="8">
        <f>IF(OR($B1694="",$C1694=""),"",IFERROR(INDEX(PM_Short,MATCH($B1694,PM_ID,0))&amp;"-"&amp;TEXT($C1694,"00"),"?? no such product"))</f>
        <v/>
      </c>
      <c r="B1694" s="5" t="n"/>
      <c r="C1694" s="5" t="n"/>
      <c r="D1694" s="8">
        <f>IF($B1694="","",IFERROR(INDEX(PM_Category,MATCH($B1694,PM_ID,0)),""))</f>
        <v/>
      </c>
      <c r="E1694" s="8">
        <f>IF($B1694="","",IFERROR(INDEX(PM_Subcategory,MATCH($B1694,PM_ID,0)),""))</f>
        <v/>
      </c>
      <c r="F1694" s="8">
        <f>IF($B1694="","",IFERROR(INDEX(PM_Brand,MATCH($B1694,PM_ID,0)),""))</f>
        <v/>
      </c>
      <c r="G1694" s="8">
        <f>IF($B1694="","",IFERROR(INDEX(PM_Model,MATCH($B1694,PM_ID,0)),""))</f>
        <v/>
      </c>
      <c r="H1694" s="5" t="n"/>
      <c r="I1694" s="10" t="n"/>
      <c r="J1694" s="9" t="n"/>
      <c r="K1694" s="5" t="n"/>
      <c r="L1694" s="5" t="n"/>
      <c r="M1694" s="5" t="n"/>
      <c r="N1694" s="5" t="n"/>
      <c r="O1694" s="8">
        <f>IF($B1694="","",IF(AND($A1694&lt;&gt;"",COUNTIF(INV_ID,$A1694)&gt;1),"⚠ this Unit ID already exists",IF(AND($H1694&lt;&gt;"",COUNTIF(INV_Serial,$H1694)&gt;1),"⚠ this serial already exists",IF(COUNTIFS(INV_Product,$B1694,INV_No,$C1694)&gt;1,"⚠ piece number reused",""))))</f>
        <v/>
      </c>
      <c r="P1694" s="5" t="n"/>
    </row>
    <row r="1695">
      <c r="A1695" s="8">
        <f>IF(OR($B1695="",$C1695=""),"",IFERROR(INDEX(PM_Short,MATCH($B1695,PM_ID,0))&amp;"-"&amp;TEXT($C1695,"00"),"?? no such product"))</f>
        <v/>
      </c>
      <c r="B1695" s="5" t="n"/>
      <c r="C1695" s="5" t="n"/>
      <c r="D1695" s="8">
        <f>IF($B1695="","",IFERROR(INDEX(PM_Category,MATCH($B1695,PM_ID,0)),""))</f>
        <v/>
      </c>
      <c r="E1695" s="8">
        <f>IF($B1695="","",IFERROR(INDEX(PM_Subcategory,MATCH($B1695,PM_ID,0)),""))</f>
        <v/>
      </c>
      <c r="F1695" s="8">
        <f>IF($B1695="","",IFERROR(INDEX(PM_Brand,MATCH($B1695,PM_ID,0)),""))</f>
        <v/>
      </c>
      <c r="G1695" s="8">
        <f>IF($B1695="","",IFERROR(INDEX(PM_Model,MATCH($B1695,PM_ID,0)),""))</f>
        <v/>
      </c>
      <c r="H1695" s="5" t="n"/>
      <c r="I1695" s="10" t="n"/>
      <c r="J1695" s="9" t="n"/>
      <c r="K1695" s="5" t="n"/>
      <c r="L1695" s="5" t="n"/>
      <c r="M1695" s="5" t="n"/>
      <c r="N1695" s="5" t="n"/>
      <c r="O1695" s="8">
        <f>IF($B1695="","",IF(AND($A1695&lt;&gt;"",COUNTIF(INV_ID,$A1695)&gt;1),"⚠ this Unit ID already exists",IF(AND($H1695&lt;&gt;"",COUNTIF(INV_Serial,$H1695)&gt;1),"⚠ this serial already exists",IF(COUNTIFS(INV_Product,$B1695,INV_No,$C1695)&gt;1,"⚠ piece number reused",""))))</f>
        <v/>
      </c>
      <c r="P1695" s="5" t="n"/>
    </row>
    <row r="1696">
      <c r="A1696" s="8">
        <f>IF(OR($B1696="",$C1696=""),"",IFERROR(INDEX(PM_Short,MATCH($B1696,PM_ID,0))&amp;"-"&amp;TEXT($C1696,"00"),"?? no such product"))</f>
        <v/>
      </c>
      <c r="B1696" s="5" t="n"/>
      <c r="C1696" s="5" t="n"/>
      <c r="D1696" s="8">
        <f>IF($B1696="","",IFERROR(INDEX(PM_Category,MATCH($B1696,PM_ID,0)),""))</f>
        <v/>
      </c>
      <c r="E1696" s="8">
        <f>IF($B1696="","",IFERROR(INDEX(PM_Subcategory,MATCH($B1696,PM_ID,0)),""))</f>
        <v/>
      </c>
      <c r="F1696" s="8">
        <f>IF($B1696="","",IFERROR(INDEX(PM_Brand,MATCH($B1696,PM_ID,0)),""))</f>
        <v/>
      </c>
      <c r="G1696" s="8">
        <f>IF($B1696="","",IFERROR(INDEX(PM_Model,MATCH($B1696,PM_ID,0)),""))</f>
        <v/>
      </c>
      <c r="H1696" s="5" t="n"/>
      <c r="I1696" s="10" t="n"/>
      <c r="J1696" s="9" t="n"/>
      <c r="K1696" s="5" t="n"/>
      <c r="L1696" s="5" t="n"/>
      <c r="M1696" s="5" t="n"/>
      <c r="N1696" s="5" t="n"/>
      <c r="O1696" s="8">
        <f>IF($B1696="","",IF(AND($A1696&lt;&gt;"",COUNTIF(INV_ID,$A1696)&gt;1),"⚠ this Unit ID already exists",IF(AND($H1696&lt;&gt;"",COUNTIF(INV_Serial,$H1696)&gt;1),"⚠ this serial already exists",IF(COUNTIFS(INV_Product,$B1696,INV_No,$C1696)&gt;1,"⚠ piece number reused",""))))</f>
        <v/>
      </c>
      <c r="P1696" s="5" t="n"/>
    </row>
    <row r="1697">
      <c r="A1697" s="8">
        <f>IF(OR($B1697="",$C1697=""),"",IFERROR(INDEX(PM_Short,MATCH($B1697,PM_ID,0))&amp;"-"&amp;TEXT($C1697,"00"),"?? no such product"))</f>
        <v/>
      </c>
      <c r="B1697" s="5" t="n"/>
      <c r="C1697" s="5" t="n"/>
      <c r="D1697" s="8">
        <f>IF($B1697="","",IFERROR(INDEX(PM_Category,MATCH($B1697,PM_ID,0)),""))</f>
        <v/>
      </c>
      <c r="E1697" s="8">
        <f>IF($B1697="","",IFERROR(INDEX(PM_Subcategory,MATCH($B1697,PM_ID,0)),""))</f>
        <v/>
      </c>
      <c r="F1697" s="8">
        <f>IF($B1697="","",IFERROR(INDEX(PM_Brand,MATCH($B1697,PM_ID,0)),""))</f>
        <v/>
      </c>
      <c r="G1697" s="8">
        <f>IF($B1697="","",IFERROR(INDEX(PM_Model,MATCH($B1697,PM_ID,0)),""))</f>
        <v/>
      </c>
      <c r="H1697" s="5" t="n"/>
      <c r="I1697" s="10" t="n"/>
      <c r="J1697" s="9" t="n"/>
      <c r="K1697" s="5" t="n"/>
      <c r="L1697" s="5" t="n"/>
      <c r="M1697" s="5" t="n"/>
      <c r="N1697" s="5" t="n"/>
      <c r="O1697" s="8">
        <f>IF($B1697="","",IF(AND($A1697&lt;&gt;"",COUNTIF(INV_ID,$A1697)&gt;1),"⚠ this Unit ID already exists",IF(AND($H1697&lt;&gt;"",COUNTIF(INV_Serial,$H1697)&gt;1),"⚠ this serial already exists",IF(COUNTIFS(INV_Product,$B1697,INV_No,$C1697)&gt;1,"⚠ piece number reused",""))))</f>
        <v/>
      </c>
      <c r="P1697" s="5" t="n"/>
    </row>
    <row r="1698">
      <c r="A1698" s="8">
        <f>IF(OR($B1698="",$C1698=""),"",IFERROR(INDEX(PM_Short,MATCH($B1698,PM_ID,0))&amp;"-"&amp;TEXT($C1698,"00"),"?? no such product"))</f>
        <v/>
      </c>
      <c r="B1698" s="5" t="n"/>
      <c r="C1698" s="5" t="n"/>
      <c r="D1698" s="8">
        <f>IF($B1698="","",IFERROR(INDEX(PM_Category,MATCH($B1698,PM_ID,0)),""))</f>
        <v/>
      </c>
      <c r="E1698" s="8">
        <f>IF($B1698="","",IFERROR(INDEX(PM_Subcategory,MATCH($B1698,PM_ID,0)),""))</f>
        <v/>
      </c>
      <c r="F1698" s="8">
        <f>IF($B1698="","",IFERROR(INDEX(PM_Brand,MATCH($B1698,PM_ID,0)),""))</f>
        <v/>
      </c>
      <c r="G1698" s="8">
        <f>IF($B1698="","",IFERROR(INDEX(PM_Model,MATCH($B1698,PM_ID,0)),""))</f>
        <v/>
      </c>
      <c r="H1698" s="5" t="n"/>
      <c r="I1698" s="10" t="n"/>
      <c r="J1698" s="9" t="n"/>
      <c r="K1698" s="5" t="n"/>
      <c r="L1698" s="5" t="n"/>
      <c r="M1698" s="5" t="n"/>
      <c r="N1698" s="5" t="n"/>
      <c r="O1698" s="8">
        <f>IF($B1698="","",IF(AND($A1698&lt;&gt;"",COUNTIF(INV_ID,$A1698)&gt;1),"⚠ this Unit ID already exists",IF(AND($H1698&lt;&gt;"",COUNTIF(INV_Serial,$H1698)&gt;1),"⚠ this serial already exists",IF(COUNTIFS(INV_Product,$B1698,INV_No,$C1698)&gt;1,"⚠ piece number reused",""))))</f>
        <v/>
      </c>
      <c r="P1698" s="5" t="n"/>
    </row>
    <row r="1699">
      <c r="A1699" s="8">
        <f>IF(OR($B1699="",$C1699=""),"",IFERROR(INDEX(PM_Short,MATCH($B1699,PM_ID,0))&amp;"-"&amp;TEXT($C1699,"00"),"?? no such product"))</f>
        <v/>
      </c>
      <c r="B1699" s="5" t="n"/>
      <c r="C1699" s="5" t="n"/>
      <c r="D1699" s="8">
        <f>IF($B1699="","",IFERROR(INDEX(PM_Category,MATCH($B1699,PM_ID,0)),""))</f>
        <v/>
      </c>
      <c r="E1699" s="8">
        <f>IF($B1699="","",IFERROR(INDEX(PM_Subcategory,MATCH($B1699,PM_ID,0)),""))</f>
        <v/>
      </c>
      <c r="F1699" s="8">
        <f>IF($B1699="","",IFERROR(INDEX(PM_Brand,MATCH($B1699,PM_ID,0)),""))</f>
        <v/>
      </c>
      <c r="G1699" s="8">
        <f>IF($B1699="","",IFERROR(INDEX(PM_Model,MATCH($B1699,PM_ID,0)),""))</f>
        <v/>
      </c>
      <c r="H1699" s="5" t="n"/>
      <c r="I1699" s="10" t="n"/>
      <c r="J1699" s="9" t="n"/>
      <c r="K1699" s="5" t="n"/>
      <c r="L1699" s="5" t="n"/>
      <c r="M1699" s="5" t="n"/>
      <c r="N1699" s="5" t="n"/>
      <c r="O1699" s="8">
        <f>IF($B1699="","",IF(AND($A1699&lt;&gt;"",COUNTIF(INV_ID,$A1699)&gt;1),"⚠ this Unit ID already exists",IF(AND($H1699&lt;&gt;"",COUNTIF(INV_Serial,$H1699)&gt;1),"⚠ this serial already exists",IF(COUNTIFS(INV_Product,$B1699,INV_No,$C1699)&gt;1,"⚠ piece number reused",""))))</f>
        <v/>
      </c>
      <c r="P1699" s="5" t="n"/>
    </row>
    <row r="1700">
      <c r="A1700" s="8">
        <f>IF(OR($B1700="",$C1700=""),"",IFERROR(INDEX(PM_Short,MATCH($B1700,PM_ID,0))&amp;"-"&amp;TEXT($C1700,"00"),"?? no such product"))</f>
        <v/>
      </c>
      <c r="B1700" s="5" t="n"/>
      <c r="C1700" s="5" t="n"/>
      <c r="D1700" s="8">
        <f>IF($B1700="","",IFERROR(INDEX(PM_Category,MATCH($B1700,PM_ID,0)),""))</f>
        <v/>
      </c>
      <c r="E1700" s="8">
        <f>IF($B1700="","",IFERROR(INDEX(PM_Subcategory,MATCH($B1700,PM_ID,0)),""))</f>
        <v/>
      </c>
      <c r="F1700" s="8">
        <f>IF($B1700="","",IFERROR(INDEX(PM_Brand,MATCH($B1700,PM_ID,0)),""))</f>
        <v/>
      </c>
      <c r="G1700" s="8">
        <f>IF($B1700="","",IFERROR(INDEX(PM_Model,MATCH($B1700,PM_ID,0)),""))</f>
        <v/>
      </c>
      <c r="H1700" s="5" t="n"/>
      <c r="I1700" s="10" t="n"/>
      <c r="J1700" s="9" t="n"/>
      <c r="K1700" s="5" t="n"/>
      <c r="L1700" s="5" t="n"/>
      <c r="M1700" s="5" t="n"/>
      <c r="N1700" s="5" t="n"/>
      <c r="O1700" s="8">
        <f>IF($B1700="","",IF(AND($A1700&lt;&gt;"",COUNTIF(INV_ID,$A1700)&gt;1),"⚠ this Unit ID already exists",IF(AND($H1700&lt;&gt;"",COUNTIF(INV_Serial,$H1700)&gt;1),"⚠ this serial already exists",IF(COUNTIFS(INV_Product,$B1700,INV_No,$C1700)&gt;1,"⚠ piece number reused",""))))</f>
        <v/>
      </c>
      <c r="P1700" s="5" t="n"/>
    </row>
    <row r="1701">
      <c r="A1701" s="8">
        <f>IF(OR($B1701="",$C1701=""),"",IFERROR(INDEX(PM_Short,MATCH($B1701,PM_ID,0))&amp;"-"&amp;TEXT($C1701,"00"),"?? no such product"))</f>
        <v/>
      </c>
      <c r="B1701" s="5" t="n"/>
      <c r="C1701" s="5" t="n"/>
      <c r="D1701" s="8">
        <f>IF($B1701="","",IFERROR(INDEX(PM_Category,MATCH($B1701,PM_ID,0)),""))</f>
        <v/>
      </c>
      <c r="E1701" s="8">
        <f>IF($B1701="","",IFERROR(INDEX(PM_Subcategory,MATCH($B1701,PM_ID,0)),""))</f>
        <v/>
      </c>
      <c r="F1701" s="8">
        <f>IF($B1701="","",IFERROR(INDEX(PM_Brand,MATCH($B1701,PM_ID,0)),""))</f>
        <v/>
      </c>
      <c r="G1701" s="8">
        <f>IF($B1701="","",IFERROR(INDEX(PM_Model,MATCH($B1701,PM_ID,0)),""))</f>
        <v/>
      </c>
      <c r="H1701" s="5" t="n"/>
      <c r="I1701" s="10" t="n"/>
      <c r="J1701" s="9" t="n"/>
      <c r="K1701" s="5" t="n"/>
      <c r="L1701" s="5" t="n"/>
      <c r="M1701" s="5" t="n"/>
      <c r="N1701" s="5" t="n"/>
      <c r="O1701" s="8">
        <f>IF($B1701="","",IF(AND($A1701&lt;&gt;"",COUNTIF(INV_ID,$A1701)&gt;1),"⚠ this Unit ID already exists",IF(AND($H1701&lt;&gt;"",COUNTIF(INV_Serial,$H1701)&gt;1),"⚠ this serial already exists",IF(COUNTIFS(INV_Product,$B1701,INV_No,$C1701)&gt;1,"⚠ piece number reused",""))))</f>
        <v/>
      </c>
      <c r="P1701" s="5" t="n"/>
    </row>
    <row r="1702">
      <c r="A1702" s="8">
        <f>IF(OR($B1702="",$C1702=""),"",IFERROR(INDEX(PM_Short,MATCH($B1702,PM_ID,0))&amp;"-"&amp;TEXT($C1702,"00"),"?? no such product"))</f>
        <v/>
      </c>
      <c r="B1702" s="5" t="n"/>
      <c r="C1702" s="5" t="n"/>
      <c r="D1702" s="8">
        <f>IF($B1702="","",IFERROR(INDEX(PM_Category,MATCH($B1702,PM_ID,0)),""))</f>
        <v/>
      </c>
      <c r="E1702" s="8">
        <f>IF($B1702="","",IFERROR(INDEX(PM_Subcategory,MATCH($B1702,PM_ID,0)),""))</f>
        <v/>
      </c>
      <c r="F1702" s="8">
        <f>IF($B1702="","",IFERROR(INDEX(PM_Brand,MATCH($B1702,PM_ID,0)),""))</f>
        <v/>
      </c>
      <c r="G1702" s="8">
        <f>IF($B1702="","",IFERROR(INDEX(PM_Model,MATCH($B1702,PM_ID,0)),""))</f>
        <v/>
      </c>
      <c r="H1702" s="5" t="n"/>
      <c r="I1702" s="10" t="n"/>
      <c r="J1702" s="9" t="n"/>
      <c r="K1702" s="5" t="n"/>
      <c r="L1702" s="5" t="n"/>
      <c r="M1702" s="5" t="n"/>
      <c r="N1702" s="5" t="n"/>
      <c r="O1702" s="8">
        <f>IF($B1702="","",IF(AND($A1702&lt;&gt;"",COUNTIF(INV_ID,$A1702)&gt;1),"⚠ this Unit ID already exists",IF(AND($H1702&lt;&gt;"",COUNTIF(INV_Serial,$H1702)&gt;1),"⚠ this serial already exists",IF(COUNTIFS(INV_Product,$B1702,INV_No,$C1702)&gt;1,"⚠ piece number reused",""))))</f>
        <v/>
      </c>
      <c r="P1702" s="5" t="n"/>
    </row>
    <row r="1703">
      <c r="A1703" s="8">
        <f>IF(OR($B1703="",$C1703=""),"",IFERROR(INDEX(PM_Short,MATCH($B1703,PM_ID,0))&amp;"-"&amp;TEXT($C1703,"00"),"?? no such product"))</f>
        <v/>
      </c>
      <c r="B1703" s="5" t="n"/>
      <c r="C1703" s="5" t="n"/>
      <c r="D1703" s="8">
        <f>IF($B1703="","",IFERROR(INDEX(PM_Category,MATCH($B1703,PM_ID,0)),""))</f>
        <v/>
      </c>
      <c r="E1703" s="8">
        <f>IF($B1703="","",IFERROR(INDEX(PM_Subcategory,MATCH($B1703,PM_ID,0)),""))</f>
        <v/>
      </c>
      <c r="F1703" s="8">
        <f>IF($B1703="","",IFERROR(INDEX(PM_Brand,MATCH($B1703,PM_ID,0)),""))</f>
        <v/>
      </c>
      <c r="G1703" s="8">
        <f>IF($B1703="","",IFERROR(INDEX(PM_Model,MATCH($B1703,PM_ID,0)),""))</f>
        <v/>
      </c>
      <c r="H1703" s="5" t="n"/>
      <c r="I1703" s="10" t="n"/>
      <c r="J1703" s="9" t="n"/>
      <c r="K1703" s="5" t="n"/>
      <c r="L1703" s="5" t="n"/>
      <c r="M1703" s="5" t="n"/>
      <c r="N1703" s="5" t="n"/>
      <c r="O1703" s="8">
        <f>IF($B1703="","",IF(AND($A1703&lt;&gt;"",COUNTIF(INV_ID,$A1703)&gt;1),"⚠ this Unit ID already exists",IF(AND($H1703&lt;&gt;"",COUNTIF(INV_Serial,$H1703)&gt;1),"⚠ this serial already exists",IF(COUNTIFS(INV_Product,$B1703,INV_No,$C1703)&gt;1,"⚠ piece number reused",""))))</f>
        <v/>
      </c>
      <c r="P1703" s="5" t="n"/>
    </row>
    <row r="1704">
      <c r="A1704" s="8">
        <f>IF(OR($B1704="",$C1704=""),"",IFERROR(INDEX(PM_Short,MATCH($B1704,PM_ID,0))&amp;"-"&amp;TEXT($C1704,"00"),"?? no such product"))</f>
        <v/>
      </c>
      <c r="B1704" s="5" t="n"/>
      <c r="C1704" s="5" t="n"/>
      <c r="D1704" s="8">
        <f>IF($B1704="","",IFERROR(INDEX(PM_Category,MATCH($B1704,PM_ID,0)),""))</f>
        <v/>
      </c>
      <c r="E1704" s="8">
        <f>IF($B1704="","",IFERROR(INDEX(PM_Subcategory,MATCH($B1704,PM_ID,0)),""))</f>
        <v/>
      </c>
      <c r="F1704" s="8">
        <f>IF($B1704="","",IFERROR(INDEX(PM_Brand,MATCH($B1704,PM_ID,0)),""))</f>
        <v/>
      </c>
      <c r="G1704" s="8">
        <f>IF($B1704="","",IFERROR(INDEX(PM_Model,MATCH($B1704,PM_ID,0)),""))</f>
        <v/>
      </c>
      <c r="H1704" s="5" t="n"/>
      <c r="I1704" s="10" t="n"/>
      <c r="J1704" s="9" t="n"/>
      <c r="K1704" s="5" t="n"/>
      <c r="L1704" s="5" t="n"/>
      <c r="M1704" s="5" t="n"/>
      <c r="N1704" s="5" t="n"/>
      <c r="O1704" s="8">
        <f>IF($B1704="","",IF(AND($A1704&lt;&gt;"",COUNTIF(INV_ID,$A1704)&gt;1),"⚠ this Unit ID already exists",IF(AND($H1704&lt;&gt;"",COUNTIF(INV_Serial,$H1704)&gt;1),"⚠ this serial already exists",IF(COUNTIFS(INV_Product,$B1704,INV_No,$C1704)&gt;1,"⚠ piece number reused",""))))</f>
        <v/>
      </c>
      <c r="P1704" s="5" t="n"/>
    </row>
    <row r="1705">
      <c r="A1705" s="8">
        <f>IF(OR($B1705="",$C1705=""),"",IFERROR(INDEX(PM_Short,MATCH($B1705,PM_ID,0))&amp;"-"&amp;TEXT($C1705,"00"),"?? no such product"))</f>
        <v/>
      </c>
      <c r="B1705" s="5" t="n"/>
      <c r="C1705" s="5" t="n"/>
      <c r="D1705" s="8">
        <f>IF($B1705="","",IFERROR(INDEX(PM_Category,MATCH($B1705,PM_ID,0)),""))</f>
        <v/>
      </c>
      <c r="E1705" s="8">
        <f>IF($B1705="","",IFERROR(INDEX(PM_Subcategory,MATCH($B1705,PM_ID,0)),""))</f>
        <v/>
      </c>
      <c r="F1705" s="8">
        <f>IF($B1705="","",IFERROR(INDEX(PM_Brand,MATCH($B1705,PM_ID,0)),""))</f>
        <v/>
      </c>
      <c r="G1705" s="8">
        <f>IF($B1705="","",IFERROR(INDEX(PM_Model,MATCH($B1705,PM_ID,0)),""))</f>
        <v/>
      </c>
      <c r="H1705" s="5" t="n"/>
      <c r="I1705" s="10" t="n"/>
      <c r="J1705" s="9" t="n"/>
      <c r="K1705" s="5" t="n"/>
      <c r="L1705" s="5" t="n"/>
      <c r="M1705" s="5" t="n"/>
      <c r="N1705" s="5" t="n"/>
      <c r="O1705" s="8">
        <f>IF($B1705="","",IF(AND($A1705&lt;&gt;"",COUNTIF(INV_ID,$A1705)&gt;1),"⚠ this Unit ID already exists",IF(AND($H1705&lt;&gt;"",COUNTIF(INV_Serial,$H1705)&gt;1),"⚠ this serial already exists",IF(COUNTIFS(INV_Product,$B1705,INV_No,$C1705)&gt;1,"⚠ piece number reused",""))))</f>
        <v/>
      </c>
      <c r="P1705" s="5" t="n"/>
    </row>
    <row r="1706">
      <c r="A1706" s="8">
        <f>IF(OR($B1706="",$C1706=""),"",IFERROR(INDEX(PM_Short,MATCH($B1706,PM_ID,0))&amp;"-"&amp;TEXT($C1706,"00"),"?? no such product"))</f>
        <v/>
      </c>
      <c r="B1706" s="5" t="n"/>
      <c r="C1706" s="5" t="n"/>
      <c r="D1706" s="8">
        <f>IF($B1706="","",IFERROR(INDEX(PM_Category,MATCH($B1706,PM_ID,0)),""))</f>
        <v/>
      </c>
      <c r="E1706" s="8">
        <f>IF($B1706="","",IFERROR(INDEX(PM_Subcategory,MATCH($B1706,PM_ID,0)),""))</f>
        <v/>
      </c>
      <c r="F1706" s="8">
        <f>IF($B1706="","",IFERROR(INDEX(PM_Brand,MATCH($B1706,PM_ID,0)),""))</f>
        <v/>
      </c>
      <c r="G1706" s="8">
        <f>IF($B1706="","",IFERROR(INDEX(PM_Model,MATCH($B1706,PM_ID,0)),""))</f>
        <v/>
      </c>
      <c r="H1706" s="5" t="n"/>
      <c r="I1706" s="10" t="n"/>
      <c r="J1706" s="9" t="n"/>
      <c r="K1706" s="5" t="n"/>
      <c r="L1706" s="5" t="n"/>
      <c r="M1706" s="5" t="n"/>
      <c r="N1706" s="5" t="n"/>
      <c r="O1706" s="8">
        <f>IF($B1706="","",IF(AND($A1706&lt;&gt;"",COUNTIF(INV_ID,$A1706)&gt;1),"⚠ this Unit ID already exists",IF(AND($H1706&lt;&gt;"",COUNTIF(INV_Serial,$H1706)&gt;1),"⚠ this serial already exists",IF(COUNTIFS(INV_Product,$B1706,INV_No,$C1706)&gt;1,"⚠ piece number reused",""))))</f>
        <v/>
      </c>
      <c r="P1706" s="5" t="n"/>
    </row>
    <row r="1707">
      <c r="A1707" s="8">
        <f>IF(OR($B1707="",$C1707=""),"",IFERROR(INDEX(PM_Short,MATCH($B1707,PM_ID,0))&amp;"-"&amp;TEXT($C1707,"00"),"?? no such product"))</f>
        <v/>
      </c>
      <c r="B1707" s="5" t="n"/>
      <c r="C1707" s="5" t="n"/>
      <c r="D1707" s="8">
        <f>IF($B1707="","",IFERROR(INDEX(PM_Category,MATCH($B1707,PM_ID,0)),""))</f>
        <v/>
      </c>
      <c r="E1707" s="8">
        <f>IF($B1707="","",IFERROR(INDEX(PM_Subcategory,MATCH($B1707,PM_ID,0)),""))</f>
        <v/>
      </c>
      <c r="F1707" s="8">
        <f>IF($B1707="","",IFERROR(INDEX(PM_Brand,MATCH($B1707,PM_ID,0)),""))</f>
        <v/>
      </c>
      <c r="G1707" s="8">
        <f>IF($B1707="","",IFERROR(INDEX(PM_Model,MATCH($B1707,PM_ID,0)),""))</f>
        <v/>
      </c>
      <c r="H1707" s="5" t="n"/>
      <c r="I1707" s="10" t="n"/>
      <c r="J1707" s="9" t="n"/>
      <c r="K1707" s="5" t="n"/>
      <c r="L1707" s="5" t="n"/>
      <c r="M1707" s="5" t="n"/>
      <c r="N1707" s="5" t="n"/>
      <c r="O1707" s="8">
        <f>IF($B1707="","",IF(AND($A1707&lt;&gt;"",COUNTIF(INV_ID,$A1707)&gt;1),"⚠ this Unit ID already exists",IF(AND($H1707&lt;&gt;"",COUNTIF(INV_Serial,$H1707)&gt;1),"⚠ this serial already exists",IF(COUNTIFS(INV_Product,$B1707,INV_No,$C1707)&gt;1,"⚠ piece number reused",""))))</f>
        <v/>
      </c>
      <c r="P1707" s="5" t="n"/>
    </row>
    <row r="1708">
      <c r="A1708" s="8">
        <f>IF(OR($B1708="",$C1708=""),"",IFERROR(INDEX(PM_Short,MATCH($B1708,PM_ID,0))&amp;"-"&amp;TEXT($C1708,"00"),"?? no such product"))</f>
        <v/>
      </c>
      <c r="B1708" s="5" t="n"/>
      <c r="C1708" s="5" t="n"/>
      <c r="D1708" s="8">
        <f>IF($B1708="","",IFERROR(INDEX(PM_Category,MATCH($B1708,PM_ID,0)),""))</f>
        <v/>
      </c>
      <c r="E1708" s="8">
        <f>IF($B1708="","",IFERROR(INDEX(PM_Subcategory,MATCH($B1708,PM_ID,0)),""))</f>
        <v/>
      </c>
      <c r="F1708" s="8">
        <f>IF($B1708="","",IFERROR(INDEX(PM_Brand,MATCH($B1708,PM_ID,0)),""))</f>
        <v/>
      </c>
      <c r="G1708" s="8">
        <f>IF($B1708="","",IFERROR(INDEX(PM_Model,MATCH($B1708,PM_ID,0)),""))</f>
        <v/>
      </c>
      <c r="H1708" s="5" t="n"/>
      <c r="I1708" s="10" t="n"/>
      <c r="J1708" s="9" t="n"/>
      <c r="K1708" s="5" t="n"/>
      <c r="L1708" s="5" t="n"/>
      <c r="M1708" s="5" t="n"/>
      <c r="N1708" s="5" t="n"/>
      <c r="O1708" s="8">
        <f>IF($B1708="","",IF(AND($A1708&lt;&gt;"",COUNTIF(INV_ID,$A1708)&gt;1),"⚠ this Unit ID already exists",IF(AND($H1708&lt;&gt;"",COUNTIF(INV_Serial,$H1708)&gt;1),"⚠ this serial already exists",IF(COUNTIFS(INV_Product,$B1708,INV_No,$C1708)&gt;1,"⚠ piece number reused",""))))</f>
        <v/>
      </c>
      <c r="P1708" s="5" t="n"/>
    </row>
    <row r="1709">
      <c r="A1709" s="8">
        <f>IF(OR($B1709="",$C1709=""),"",IFERROR(INDEX(PM_Short,MATCH($B1709,PM_ID,0))&amp;"-"&amp;TEXT($C1709,"00"),"?? no such product"))</f>
        <v/>
      </c>
      <c r="B1709" s="5" t="n"/>
      <c r="C1709" s="5" t="n"/>
      <c r="D1709" s="8">
        <f>IF($B1709="","",IFERROR(INDEX(PM_Category,MATCH($B1709,PM_ID,0)),""))</f>
        <v/>
      </c>
      <c r="E1709" s="8">
        <f>IF($B1709="","",IFERROR(INDEX(PM_Subcategory,MATCH($B1709,PM_ID,0)),""))</f>
        <v/>
      </c>
      <c r="F1709" s="8">
        <f>IF($B1709="","",IFERROR(INDEX(PM_Brand,MATCH($B1709,PM_ID,0)),""))</f>
        <v/>
      </c>
      <c r="G1709" s="8">
        <f>IF($B1709="","",IFERROR(INDEX(PM_Model,MATCH($B1709,PM_ID,0)),""))</f>
        <v/>
      </c>
      <c r="H1709" s="5" t="n"/>
      <c r="I1709" s="10" t="n"/>
      <c r="J1709" s="9" t="n"/>
      <c r="K1709" s="5" t="n"/>
      <c r="L1709" s="5" t="n"/>
      <c r="M1709" s="5" t="n"/>
      <c r="N1709" s="5" t="n"/>
      <c r="O1709" s="8">
        <f>IF($B1709="","",IF(AND($A1709&lt;&gt;"",COUNTIF(INV_ID,$A1709)&gt;1),"⚠ this Unit ID already exists",IF(AND($H1709&lt;&gt;"",COUNTIF(INV_Serial,$H1709)&gt;1),"⚠ this serial already exists",IF(COUNTIFS(INV_Product,$B1709,INV_No,$C1709)&gt;1,"⚠ piece number reused",""))))</f>
        <v/>
      </c>
      <c r="P1709" s="5" t="n"/>
    </row>
    <row r="1710">
      <c r="A1710" s="8">
        <f>IF(OR($B1710="",$C1710=""),"",IFERROR(INDEX(PM_Short,MATCH($B1710,PM_ID,0))&amp;"-"&amp;TEXT($C1710,"00"),"?? no such product"))</f>
        <v/>
      </c>
      <c r="B1710" s="5" t="n"/>
      <c r="C1710" s="5" t="n"/>
      <c r="D1710" s="8">
        <f>IF($B1710="","",IFERROR(INDEX(PM_Category,MATCH($B1710,PM_ID,0)),""))</f>
        <v/>
      </c>
      <c r="E1710" s="8">
        <f>IF($B1710="","",IFERROR(INDEX(PM_Subcategory,MATCH($B1710,PM_ID,0)),""))</f>
        <v/>
      </c>
      <c r="F1710" s="8">
        <f>IF($B1710="","",IFERROR(INDEX(PM_Brand,MATCH($B1710,PM_ID,0)),""))</f>
        <v/>
      </c>
      <c r="G1710" s="8">
        <f>IF($B1710="","",IFERROR(INDEX(PM_Model,MATCH($B1710,PM_ID,0)),""))</f>
        <v/>
      </c>
      <c r="H1710" s="5" t="n"/>
      <c r="I1710" s="10" t="n"/>
      <c r="J1710" s="9" t="n"/>
      <c r="K1710" s="5" t="n"/>
      <c r="L1710" s="5" t="n"/>
      <c r="M1710" s="5" t="n"/>
      <c r="N1710" s="5" t="n"/>
      <c r="O1710" s="8">
        <f>IF($B1710="","",IF(AND($A1710&lt;&gt;"",COUNTIF(INV_ID,$A1710)&gt;1),"⚠ this Unit ID already exists",IF(AND($H1710&lt;&gt;"",COUNTIF(INV_Serial,$H1710)&gt;1),"⚠ this serial already exists",IF(COUNTIFS(INV_Product,$B1710,INV_No,$C1710)&gt;1,"⚠ piece number reused",""))))</f>
        <v/>
      </c>
      <c r="P1710" s="5" t="n"/>
    </row>
    <row r="1711">
      <c r="A1711" s="8">
        <f>IF(OR($B1711="",$C1711=""),"",IFERROR(INDEX(PM_Short,MATCH($B1711,PM_ID,0))&amp;"-"&amp;TEXT($C1711,"00"),"?? no such product"))</f>
        <v/>
      </c>
      <c r="B1711" s="5" t="n"/>
      <c r="C1711" s="5" t="n"/>
      <c r="D1711" s="8">
        <f>IF($B1711="","",IFERROR(INDEX(PM_Category,MATCH($B1711,PM_ID,0)),""))</f>
        <v/>
      </c>
      <c r="E1711" s="8">
        <f>IF($B1711="","",IFERROR(INDEX(PM_Subcategory,MATCH($B1711,PM_ID,0)),""))</f>
        <v/>
      </c>
      <c r="F1711" s="8">
        <f>IF($B1711="","",IFERROR(INDEX(PM_Brand,MATCH($B1711,PM_ID,0)),""))</f>
        <v/>
      </c>
      <c r="G1711" s="8">
        <f>IF($B1711="","",IFERROR(INDEX(PM_Model,MATCH($B1711,PM_ID,0)),""))</f>
        <v/>
      </c>
      <c r="H1711" s="5" t="n"/>
      <c r="I1711" s="10" t="n"/>
      <c r="J1711" s="9" t="n"/>
      <c r="K1711" s="5" t="n"/>
      <c r="L1711" s="5" t="n"/>
      <c r="M1711" s="5" t="n"/>
      <c r="N1711" s="5" t="n"/>
      <c r="O1711" s="8">
        <f>IF($B1711="","",IF(AND($A1711&lt;&gt;"",COUNTIF(INV_ID,$A1711)&gt;1),"⚠ this Unit ID already exists",IF(AND($H1711&lt;&gt;"",COUNTIF(INV_Serial,$H1711)&gt;1),"⚠ this serial already exists",IF(COUNTIFS(INV_Product,$B1711,INV_No,$C1711)&gt;1,"⚠ piece number reused",""))))</f>
        <v/>
      </c>
      <c r="P1711" s="5" t="n"/>
    </row>
    <row r="1712">
      <c r="A1712" s="8">
        <f>IF(OR($B1712="",$C1712=""),"",IFERROR(INDEX(PM_Short,MATCH($B1712,PM_ID,0))&amp;"-"&amp;TEXT($C1712,"00"),"?? no such product"))</f>
        <v/>
      </c>
      <c r="B1712" s="5" t="n"/>
      <c r="C1712" s="5" t="n"/>
      <c r="D1712" s="8">
        <f>IF($B1712="","",IFERROR(INDEX(PM_Category,MATCH($B1712,PM_ID,0)),""))</f>
        <v/>
      </c>
      <c r="E1712" s="8">
        <f>IF($B1712="","",IFERROR(INDEX(PM_Subcategory,MATCH($B1712,PM_ID,0)),""))</f>
        <v/>
      </c>
      <c r="F1712" s="8">
        <f>IF($B1712="","",IFERROR(INDEX(PM_Brand,MATCH($B1712,PM_ID,0)),""))</f>
        <v/>
      </c>
      <c r="G1712" s="8">
        <f>IF($B1712="","",IFERROR(INDEX(PM_Model,MATCH($B1712,PM_ID,0)),""))</f>
        <v/>
      </c>
      <c r="H1712" s="5" t="n"/>
      <c r="I1712" s="10" t="n"/>
      <c r="J1712" s="9" t="n"/>
      <c r="K1712" s="5" t="n"/>
      <c r="L1712" s="5" t="n"/>
      <c r="M1712" s="5" t="n"/>
      <c r="N1712" s="5" t="n"/>
      <c r="O1712" s="8">
        <f>IF($B1712="","",IF(AND($A1712&lt;&gt;"",COUNTIF(INV_ID,$A1712)&gt;1),"⚠ this Unit ID already exists",IF(AND($H1712&lt;&gt;"",COUNTIF(INV_Serial,$H1712)&gt;1),"⚠ this serial already exists",IF(COUNTIFS(INV_Product,$B1712,INV_No,$C1712)&gt;1,"⚠ piece number reused",""))))</f>
        <v/>
      </c>
      <c r="P1712" s="5" t="n"/>
    </row>
    <row r="1713">
      <c r="A1713" s="8">
        <f>IF(OR($B1713="",$C1713=""),"",IFERROR(INDEX(PM_Short,MATCH($B1713,PM_ID,0))&amp;"-"&amp;TEXT($C1713,"00"),"?? no such product"))</f>
        <v/>
      </c>
      <c r="B1713" s="5" t="n"/>
      <c r="C1713" s="5" t="n"/>
      <c r="D1713" s="8">
        <f>IF($B1713="","",IFERROR(INDEX(PM_Category,MATCH($B1713,PM_ID,0)),""))</f>
        <v/>
      </c>
      <c r="E1713" s="8">
        <f>IF($B1713="","",IFERROR(INDEX(PM_Subcategory,MATCH($B1713,PM_ID,0)),""))</f>
        <v/>
      </c>
      <c r="F1713" s="8">
        <f>IF($B1713="","",IFERROR(INDEX(PM_Brand,MATCH($B1713,PM_ID,0)),""))</f>
        <v/>
      </c>
      <c r="G1713" s="8">
        <f>IF($B1713="","",IFERROR(INDEX(PM_Model,MATCH($B1713,PM_ID,0)),""))</f>
        <v/>
      </c>
      <c r="H1713" s="5" t="n"/>
      <c r="I1713" s="10" t="n"/>
      <c r="J1713" s="9" t="n"/>
      <c r="K1713" s="5" t="n"/>
      <c r="L1713" s="5" t="n"/>
      <c r="M1713" s="5" t="n"/>
      <c r="N1713" s="5" t="n"/>
      <c r="O1713" s="8">
        <f>IF($B1713="","",IF(AND($A1713&lt;&gt;"",COUNTIF(INV_ID,$A1713)&gt;1),"⚠ this Unit ID already exists",IF(AND($H1713&lt;&gt;"",COUNTIF(INV_Serial,$H1713)&gt;1),"⚠ this serial already exists",IF(COUNTIFS(INV_Product,$B1713,INV_No,$C1713)&gt;1,"⚠ piece number reused",""))))</f>
        <v/>
      </c>
      <c r="P1713" s="5" t="n"/>
    </row>
    <row r="1714">
      <c r="A1714" s="8">
        <f>IF(OR($B1714="",$C1714=""),"",IFERROR(INDEX(PM_Short,MATCH($B1714,PM_ID,0))&amp;"-"&amp;TEXT($C1714,"00"),"?? no such product"))</f>
        <v/>
      </c>
      <c r="B1714" s="5" t="n"/>
      <c r="C1714" s="5" t="n"/>
      <c r="D1714" s="8">
        <f>IF($B1714="","",IFERROR(INDEX(PM_Category,MATCH($B1714,PM_ID,0)),""))</f>
        <v/>
      </c>
      <c r="E1714" s="8">
        <f>IF($B1714="","",IFERROR(INDEX(PM_Subcategory,MATCH($B1714,PM_ID,0)),""))</f>
        <v/>
      </c>
      <c r="F1714" s="8">
        <f>IF($B1714="","",IFERROR(INDEX(PM_Brand,MATCH($B1714,PM_ID,0)),""))</f>
        <v/>
      </c>
      <c r="G1714" s="8">
        <f>IF($B1714="","",IFERROR(INDEX(PM_Model,MATCH($B1714,PM_ID,0)),""))</f>
        <v/>
      </c>
      <c r="H1714" s="5" t="n"/>
      <c r="I1714" s="10" t="n"/>
      <c r="J1714" s="9" t="n"/>
      <c r="K1714" s="5" t="n"/>
      <c r="L1714" s="5" t="n"/>
      <c r="M1714" s="5" t="n"/>
      <c r="N1714" s="5" t="n"/>
      <c r="O1714" s="8">
        <f>IF($B1714="","",IF(AND($A1714&lt;&gt;"",COUNTIF(INV_ID,$A1714)&gt;1),"⚠ this Unit ID already exists",IF(AND($H1714&lt;&gt;"",COUNTIF(INV_Serial,$H1714)&gt;1),"⚠ this serial already exists",IF(COUNTIFS(INV_Product,$B1714,INV_No,$C1714)&gt;1,"⚠ piece number reused",""))))</f>
        <v/>
      </c>
      <c r="P1714" s="5" t="n"/>
    </row>
    <row r="1715">
      <c r="A1715" s="8">
        <f>IF(OR($B1715="",$C1715=""),"",IFERROR(INDEX(PM_Short,MATCH($B1715,PM_ID,0))&amp;"-"&amp;TEXT($C1715,"00"),"?? no such product"))</f>
        <v/>
      </c>
      <c r="B1715" s="5" t="n"/>
      <c r="C1715" s="5" t="n"/>
      <c r="D1715" s="8">
        <f>IF($B1715="","",IFERROR(INDEX(PM_Category,MATCH($B1715,PM_ID,0)),""))</f>
        <v/>
      </c>
      <c r="E1715" s="8">
        <f>IF($B1715="","",IFERROR(INDEX(PM_Subcategory,MATCH($B1715,PM_ID,0)),""))</f>
        <v/>
      </c>
      <c r="F1715" s="8">
        <f>IF($B1715="","",IFERROR(INDEX(PM_Brand,MATCH($B1715,PM_ID,0)),""))</f>
        <v/>
      </c>
      <c r="G1715" s="8">
        <f>IF($B1715="","",IFERROR(INDEX(PM_Model,MATCH($B1715,PM_ID,0)),""))</f>
        <v/>
      </c>
      <c r="H1715" s="5" t="n"/>
      <c r="I1715" s="10" t="n"/>
      <c r="J1715" s="9" t="n"/>
      <c r="K1715" s="5" t="n"/>
      <c r="L1715" s="5" t="n"/>
      <c r="M1715" s="5" t="n"/>
      <c r="N1715" s="5" t="n"/>
      <c r="O1715" s="8">
        <f>IF($B1715="","",IF(AND($A1715&lt;&gt;"",COUNTIF(INV_ID,$A1715)&gt;1),"⚠ this Unit ID already exists",IF(AND($H1715&lt;&gt;"",COUNTIF(INV_Serial,$H1715)&gt;1),"⚠ this serial already exists",IF(COUNTIFS(INV_Product,$B1715,INV_No,$C1715)&gt;1,"⚠ piece number reused",""))))</f>
        <v/>
      </c>
      <c r="P1715" s="5" t="n"/>
    </row>
    <row r="1716">
      <c r="A1716" s="8">
        <f>IF(OR($B1716="",$C1716=""),"",IFERROR(INDEX(PM_Short,MATCH($B1716,PM_ID,0))&amp;"-"&amp;TEXT($C1716,"00"),"?? no such product"))</f>
        <v/>
      </c>
      <c r="B1716" s="5" t="n"/>
      <c r="C1716" s="5" t="n"/>
      <c r="D1716" s="8">
        <f>IF($B1716="","",IFERROR(INDEX(PM_Category,MATCH($B1716,PM_ID,0)),""))</f>
        <v/>
      </c>
      <c r="E1716" s="8">
        <f>IF($B1716="","",IFERROR(INDEX(PM_Subcategory,MATCH($B1716,PM_ID,0)),""))</f>
        <v/>
      </c>
      <c r="F1716" s="8">
        <f>IF($B1716="","",IFERROR(INDEX(PM_Brand,MATCH($B1716,PM_ID,0)),""))</f>
        <v/>
      </c>
      <c r="G1716" s="8">
        <f>IF($B1716="","",IFERROR(INDEX(PM_Model,MATCH($B1716,PM_ID,0)),""))</f>
        <v/>
      </c>
      <c r="H1716" s="5" t="n"/>
      <c r="I1716" s="10" t="n"/>
      <c r="J1716" s="9" t="n"/>
      <c r="K1716" s="5" t="n"/>
      <c r="L1716" s="5" t="n"/>
      <c r="M1716" s="5" t="n"/>
      <c r="N1716" s="5" t="n"/>
      <c r="O1716" s="8">
        <f>IF($B1716="","",IF(AND($A1716&lt;&gt;"",COUNTIF(INV_ID,$A1716)&gt;1),"⚠ this Unit ID already exists",IF(AND($H1716&lt;&gt;"",COUNTIF(INV_Serial,$H1716)&gt;1),"⚠ this serial already exists",IF(COUNTIFS(INV_Product,$B1716,INV_No,$C1716)&gt;1,"⚠ piece number reused",""))))</f>
        <v/>
      </c>
      <c r="P1716" s="5" t="n"/>
    </row>
    <row r="1717">
      <c r="A1717" s="8">
        <f>IF(OR($B1717="",$C1717=""),"",IFERROR(INDEX(PM_Short,MATCH($B1717,PM_ID,0))&amp;"-"&amp;TEXT($C1717,"00"),"?? no such product"))</f>
        <v/>
      </c>
      <c r="B1717" s="5" t="n"/>
      <c r="C1717" s="5" t="n"/>
      <c r="D1717" s="8">
        <f>IF($B1717="","",IFERROR(INDEX(PM_Category,MATCH($B1717,PM_ID,0)),""))</f>
        <v/>
      </c>
      <c r="E1717" s="8">
        <f>IF($B1717="","",IFERROR(INDEX(PM_Subcategory,MATCH($B1717,PM_ID,0)),""))</f>
        <v/>
      </c>
      <c r="F1717" s="8">
        <f>IF($B1717="","",IFERROR(INDEX(PM_Brand,MATCH($B1717,PM_ID,0)),""))</f>
        <v/>
      </c>
      <c r="G1717" s="8">
        <f>IF($B1717="","",IFERROR(INDEX(PM_Model,MATCH($B1717,PM_ID,0)),""))</f>
        <v/>
      </c>
      <c r="H1717" s="5" t="n"/>
      <c r="I1717" s="10" t="n"/>
      <c r="J1717" s="9" t="n"/>
      <c r="K1717" s="5" t="n"/>
      <c r="L1717" s="5" t="n"/>
      <c r="M1717" s="5" t="n"/>
      <c r="N1717" s="5" t="n"/>
      <c r="O1717" s="8">
        <f>IF($B1717="","",IF(AND($A1717&lt;&gt;"",COUNTIF(INV_ID,$A1717)&gt;1),"⚠ this Unit ID already exists",IF(AND($H1717&lt;&gt;"",COUNTIF(INV_Serial,$H1717)&gt;1),"⚠ this serial already exists",IF(COUNTIFS(INV_Product,$B1717,INV_No,$C1717)&gt;1,"⚠ piece number reused",""))))</f>
        <v/>
      </c>
      <c r="P1717" s="5" t="n"/>
    </row>
    <row r="1718">
      <c r="A1718" s="8">
        <f>IF(OR($B1718="",$C1718=""),"",IFERROR(INDEX(PM_Short,MATCH($B1718,PM_ID,0))&amp;"-"&amp;TEXT($C1718,"00"),"?? no such product"))</f>
        <v/>
      </c>
      <c r="B1718" s="5" t="n"/>
      <c r="C1718" s="5" t="n"/>
      <c r="D1718" s="8">
        <f>IF($B1718="","",IFERROR(INDEX(PM_Category,MATCH($B1718,PM_ID,0)),""))</f>
        <v/>
      </c>
      <c r="E1718" s="8">
        <f>IF($B1718="","",IFERROR(INDEX(PM_Subcategory,MATCH($B1718,PM_ID,0)),""))</f>
        <v/>
      </c>
      <c r="F1718" s="8">
        <f>IF($B1718="","",IFERROR(INDEX(PM_Brand,MATCH($B1718,PM_ID,0)),""))</f>
        <v/>
      </c>
      <c r="G1718" s="8">
        <f>IF($B1718="","",IFERROR(INDEX(PM_Model,MATCH($B1718,PM_ID,0)),""))</f>
        <v/>
      </c>
      <c r="H1718" s="5" t="n"/>
      <c r="I1718" s="10" t="n"/>
      <c r="J1718" s="9" t="n"/>
      <c r="K1718" s="5" t="n"/>
      <c r="L1718" s="5" t="n"/>
      <c r="M1718" s="5" t="n"/>
      <c r="N1718" s="5" t="n"/>
      <c r="O1718" s="8">
        <f>IF($B1718="","",IF(AND($A1718&lt;&gt;"",COUNTIF(INV_ID,$A1718)&gt;1),"⚠ this Unit ID already exists",IF(AND($H1718&lt;&gt;"",COUNTIF(INV_Serial,$H1718)&gt;1),"⚠ this serial already exists",IF(COUNTIFS(INV_Product,$B1718,INV_No,$C1718)&gt;1,"⚠ piece number reused",""))))</f>
        <v/>
      </c>
      <c r="P1718" s="5" t="n"/>
    </row>
    <row r="1719">
      <c r="A1719" s="8">
        <f>IF(OR($B1719="",$C1719=""),"",IFERROR(INDEX(PM_Short,MATCH($B1719,PM_ID,0))&amp;"-"&amp;TEXT($C1719,"00"),"?? no such product"))</f>
        <v/>
      </c>
      <c r="B1719" s="5" t="n"/>
      <c r="C1719" s="5" t="n"/>
      <c r="D1719" s="8">
        <f>IF($B1719="","",IFERROR(INDEX(PM_Category,MATCH($B1719,PM_ID,0)),""))</f>
        <v/>
      </c>
      <c r="E1719" s="8">
        <f>IF($B1719="","",IFERROR(INDEX(PM_Subcategory,MATCH($B1719,PM_ID,0)),""))</f>
        <v/>
      </c>
      <c r="F1719" s="8">
        <f>IF($B1719="","",IFERROR(INDEX(PM_Brand,MATCH($B1719,PM_ID,0)),""))</f>
        <v/>
      </c>
      <c r="G1719" s="8">
        <f>IF($B1719="","",IFERROR(INDEX(PM_Model,MATCH($B1719,PM_ID,0)),""))</f>
        <v/>
      </c>
      <c r="H1719" s="5" t="n"/>
      <c r="I1719" s="10" t="n"/>
      <c r="J1719" s="9" t="n"/>
      <c r="K1719" s="5" t="n"/>
      <c r="L1719" s="5" t="n"/>
      <c r="M1719" s="5" t="n"/>
      <c r="N1719" s="5" t="n"/>
      <c r="O1719" s="8">
        <f>IF($B1719="","",IF(AND($A1719&lt;&gt;"",COUNTIF(INV_ID,$A1719)&gt;1),"⚠ this Unit ID already exists",IF(AND($H1719&lt;&gt;"",COUNTIF(INV_Serial,$H1719)&gt;1),"⚠ this serial already exists",IF(COUNTIFS(INV_Product,$B1719,INV_No,$C1719)&gt;1,"⚠ piece number reused",""))))</f>
        <v/>
      </c>
      <c r="P1719" s="5" t="n"/>
    </row>
    <row r="1720">
      <c r="A1720" s="8">
        <f>IF(OR($B1720="",$C1720=""),"",IFERROR(INDEX(PM_Short,MATCH($B1720,PM_ID,0))&amp;"-"&amp;TEXT($C1720,"00"),"?? no such product"))</f>
        <v/>
      </c>
      <c r="B1720" s="5" t="n"/>
      <c r="C1720" s="5" t="n"/>
      <c r="D1720" s="8">
        <f>IF($B1720="","",IFERROR(INDEX(PM_Category,MATCH($B1720,PM_ID,0)),""))</f>
        <v/>
      </c>
      <c r="E1720" s="8">
        <f>IF($B1720="","",IFERROR(INDEX(PM_Subcategory,MATCH($B1720,PM_ID,0)),""))</f>
        <v/>
      </c>
      <c r="F1720" s="8">
        <f>IF($B1720="","",IFERROR(INDEX(PM_Brand,MATCH($B1720,PM_ID,0)),""))</f>
        <v/>
      </c>
      <c r="G1720" s="8">
        <f>IF($B1720="","",IFERROR(INDEX(PM_Model,MATCH($B1720,PM_ID,0)),""))</f>
        <v/>
      </c>
      <c r="H1720" s="5" t="n"/>
      <c r="I1720" s="10" t="n"/>
      <c r="J1720" s="9" t="n"/>
      <c r="K1720" s="5" t="n"/>
      <c r="L1720" s="5" t="n"/>
      <c r="M1720" s="5" t="n"/>
      <c r="N1720" s="5" t="n"/>
      <c r="O1720" s="8">
        <f>IF($B1720="","",IF(AND($A1720&lt;&gt;"",COUNTIF(INV_ID,$A1720)&gt;1),"⚠ this Unit ID already exists",IF(AND($H1720&lt;&gt;"",COUNTIF(INV_Serial,$H1720)&gt;1),"⚠ this serial already exists",IF(COUNTIFS(INV_Product,$B1720,INV_No,$C1720)&gt;1,"⚠ piece number reused",""))))</f>
        <v/>
      </c>
      <c r="P1720" s="5" t="n"/>
    </row>
    <row r="1721">
      <c r="A1721" s="8">
        <f>IF(OR($B1721="",$C1721=""),"",IFERROR(INDEX(PM_Short,MATCH($B1721,PM_ID,0))&amp;"-"&amp;TEXT($C1721,"00"),"?? no such product"))</f>
        <v/>
      </c>
      <c r="B1721" s="5" t="n"/>
      <c r="C1721" s="5" t="n"/>
      <c r="D1721" s="8">
        <f>IF($B1721="","",IFERROR(INDEX(PM_Category,MATCH($B1721,PM_ID,0)),""))</f>
        <v/>
      </c>
      <c r="E1721" s="8">
        <f>IF($B1721="","",IFERROR(INDEX(PM_Subcategory,MATCH($B1721,PM_ID,0)),""))</f>
        <v/>
      </c>
      <c r="F1721" s="8">
        <f>IF($B1721="","",IFERROR(INDEX(PM_Brand,MATCH($B1721,PM_ID,0)),""))</f>
        <v/>
      </c>
      <c r="G1721" s="8">
        <f>IF($B1721="","",IFERROR(INDEX(PM_Model,MATCH($B1721,PM_ID,0)),""))</f>
        <v/>
      </c>
      <c r="H1721" s="5" t="n"/>
      <c r="I1721" s="10" t="n"/>
      <c r="J1721" s="9" t="n"/>
      <c r="K1721" s="5" t="n"/>
      <c r="L1721" s="5" t="n"/>
      <c r="M1721" s="5" t="n"/>
      <c r="N1721" s="5" t="n"/>
      <c r="O1721" s="8">
        <f>IF($B1721="","",IF(AND($A1721&lt;&gt;"",COUNTIF(INV_ID,$A1721)&gt;1),"⚠ this Unit ID already exists",IF(AND($H1721&lt;&gt;"",COUNTIF(INV_Serial,$H1721)&gt;1),"⚠ this serial already exists",IF(COUNTIFS(INV_Product,$B1721,INV_No,$C1721)&gt;1,"⚠ piece number reused",""))))</f>
        <v/>
      </c>
      <c r="P1721" s="5" t="n"/>
    </row>
    <row r="1722">
      <c r="A1722" s="8">
        <f>IF(OR($B1722="",$C1722=""),"",IFERROR(INDEX(PM_Short,MATCH($B1722,PM_ID,0))&amp;"-"&amp;TEXT($C1722,"00"),"?? no such product"))</f>
        <v/>
      </c>
      <c r="B1722" s="5" t="n"/>
      <c r="C1722" s="5" t="n"/>
      <c r="D1722" s="8">
        <f>IF($B1722="","",IFERROR(INDEX(PM_Category,MATCH($B1722,PM_ID,0)),""))</f>
        <v/>
      </c>
      <c r="E1722" s="8">
        <f>IF($B1722="","",IFERROR(INDEX(PM_Subcategory,MATCH($B1722,PM_ID,0)),""))</f>
        <v/>
      </c>
      <c r="F1722" s="8">
        <f>IF($B1722="","",IFERROR(INDEX(PM_Brand,MATCH($B1722,PM_ID,0)),""))</f>
        <v/>
      </c>
      <c r="G1722" s="8">
        <f>IF($B1722="","",IFERROR(INDEX(PM_Model,MATCH($B1722,PM_ID,0)),""))</f>
        <v/>
      </c>
      <c r="H1722" s="5" t="n"/>
      <c r="I1722" s="10" t="n"/>
      <c r="J1722" s="9" t="n"/>
      <c r="K1722" s="5" t="n"/>
      <c r="L1722" s="5" t="n"/>
      <c r="M1722" s="5" t="n"/>
      <c r="N1722" s="5" t="n"/>
      <c r="O1722" s="8">
        <f>IF($B1722="","",IF(AND($A1722&lt;&gt;"",COUNTIF(INV_ID,$A1722)&gt;1),"⚠ this Unit ID already exists",IF(AND($H1722&lt;&gt;"",COUNTIF(INV_Serial,$H1722)&gt;1),"⚠ this serial already exists",IF(COUNTIFS(INV_Product,$B1722,INV_No,$C1722)&gt;1,"⚠ piece number reused",""))))</f>
        <v/>
      </c>
      <c r="P1722" s="5" t="n"/>
    </row>
    <row r="1723">
      <c r="A1723" s="8">
        <f>IF(OR($B1723="",$C1723=""),"",IFERROR(INDEX(PM_Short,MATCH($B1723,PM_ID,0))&amp;"-"&amp;TEXT($C1723,"00"),"?? no such product"))</f>
        <v/>
      </c>
      <c r="B1723" s="5" t="n"/>
      <c r="C1723" s="5" t="n"/>
      <c r="D1723" s="8">
        <f>IF($B1723="","",IFERROR(INDEX(PM_Category,MATCH($B1723,PM_ID,0)),""))</f>
        <v/>
      </c>
      <c r="E1723" s="8">
        <f>IF($B1723="","",IFERROR(INDEX(PM_Subcategory,MATCH($B1723,PM_ID,0)),""))</f>
        <v/>
      </c>
      <c r="F1723" s="8">
        <f>IF($B1723="","",IFERROR(INDEX(PM_Brand,MATCH($B1723,PM_ID,0)),""))</f>
        <v/>
      </c>
      <c r="G1723" s="8">
        <f>IF($B1723="","",IFERROR(INDEX(PM_Model,MATCH($B1723,PM_ID,0)),""))</f>
        <v/>
      </c>
      <c r="H1723" s="5" t="n"/>
      <c r="I1723" s="10" t="n"/>
      <c r="J1723" s="9" t="n"/>
      <c r="K1723" s="5" t="n"/>
      <c r="L1723" s="5" t="n"/>
      <c r="M1723" s="5" t="n"/>
      <c r="N1723" s="5" t="n"/>
      <c r="O1723" s="8">
        <f>IF($B1723="","",IF(AND($A1723&lt;&gt;"",COUNTIF(INV_ID,$A1723)&gt;1),"⚠ this Unit ID already exists",IF(AND($H1723&lt;&gt;"",COUNTIF(INV_Serial,$H1723)&gt;1),"⚠ this serial already exists",IF(COUNTIFS(INV_Product,$B1723,INV_No,$C1723)&gt;1,"⚠ piece number reused",""))))</f>
        <v/>
      </c>
      <c r="P1723" s="5" t="n"/>
    </row>
    <row r="1724">
      <c r="A1724" s="8">
        <f>IF(OR($B1724="",$C1724=""),"",IFERROR(INDEX(PM_Short,MATCH($B1724,PM_ID,0))&amp;"-"&amp;TEXT($C1724,"00"),"?? no such product"))</f>
        <v/>
      </c>
      <c r="B1724" s="5" t="n"/>
      <c r="C1724" s="5" t="n"/>
      <c r="D1724" s="8">
        <f>IF($B1724="","",IFERROR(INDEX(PM_Category,MATCH($B1724,PM_ID,0)),""))</f>
        <v/>
      </c>
      <c r="E1724" s="8">
        <f>IF($B1724="","",IFERROR(INDEX(PM_Subcategory,MATCH($B1724,PM_ID,0)),""))</f>
        <v/>
      </c>
      <c r="F1724" s="8">
        <f>IF($B1724="","",IFERROR(INDEX(PM_Brand,MATCH($B1724,PM_ID,0)),""))</f>
        <v/>
      </c>
      <c r="G1724" s="8">
        <f>IF($B1724="","",IFERROR(INDEX(PM_Model,MATCH($B1724,PM_ID,0)),""))</f>
        <v/>
      </c>
      <c r="H1724" s="5" t="n"/>
      <c r="I1724" s="10" t="n"/>
      <c r="J1724" s="9" t="n"/>
      <c r="K1724" s="5" t="n"/>
      <c r="L1724" s="5" t="n"/>
      <c r="M1724" s="5" t="n"/>
      <c r="N1724" s="5" t="n"/>
      <c r="O1724" s="8">
        <f>IF($B1724="","",IF(AND($A1724&lt;&gt;"",COUNTIF(INV_ID,$A1724)&gt;1),"⚠ this Unit ID already exists",IF(AND($H1724&lt;&gt;"",COUNTIF(INV_Serial,$H1724)&gt;1),"⚠ this serial already exists",IF(COUNTIFS(INV_Product,$B1724,INV_No,$C1724)&gt;1,"⚠ piece number reused",""))))</f>
        <v/>
      </c>
      <c r="P1724" s="5" t="n"/>
    </row>
    <row r="1725">
      <c r="A1725" s="8">
        <f>IF(OR($B1725="",$C1725=""),"",IFERROR(INDEX(PM_Short,MATCH($B1725,PM_ID,0))&amp;"-"&amp;TEXT($C1725,"00"),"?? no such product"))</f>
        <v/>
      </c>
      <c r="B1725" s="5" t="n"/>
      <c r="C1725" s="5" t="n"/>
      <c r="D1725" s="8">
        <f>IF($B1725="","",IFERROR(INDEX(PM_Category,MATCH($B1725,PM_ID,0)),""))</f>
        <v/>
      </c>
      <c r="E1725" s="8">
        <f>IF($B1725="","",IFERROR(INDEX(PM_Subcategory,MATCH($B1725,PM_ID,0)),""))</f>
        <v/>
      </c>
      <c r="F1725" s="8">
        <f>IF($B1725="","",IFERROR(INDEX(PM_Brand,MATCH($B1725,PM_ID,0)),""))</f>
        <v/>
      </c>
      <c r="G1725" s="8">
        <f>IF($B1725="","",IFERROR(INDEX(PM_Model,MATCH($B1725,PM_ID,0)),""))</f>
        <v/>
      </c>
      <c r="H1725" s="5" t="n"/>
      <c r="I1725" s="10" t="n"/>
      <c r="J1725" s="9" t="n"/>
      <c r="K1725" s="5" t="n"/>
      <c r="L1725" s="5" t="n"/>
      <c r="M1725" s="5" t="n"/>
      <c r="N1725" s="5" t="n"/>
      <c r="O1725" s="8">
        <f>IF($B1725="","",IF(AND($A1725&lt;&gt;"",COUNTIF(INV_ID,$A1725)&gt;1),"⚠ this Unit ID already exists",IF(AND($H1725&lt;&gt;"",COUNTIF(INV_Serial,$H1725)&gt;1),"⚠ this serial already exists",IF(COUNTIFS(INV_Product,$B1725,INV_No,$C1725)&gt;1,"⚠ piece number reused",""))))</f>
        <v/>
      </c>
      <c r="P1725" s="5" t="n"/>
    </row>
    <row r="1726">
      <c r="A1726" s="8">
        <f>IF(OR($B1726="",$C1726=""),"",IFERROR(INDEX(PM_Short,MATCH($B1726,PM_ID,0))&amp;"-"&amp;TEXT($C1726,"00"),"?? no such product"))</f>
        <v/>
      </c>
      <c r="B1726" s="5" t="n"/>
      <c r="C1726" s="5" t="n"/>
      <c r="D1726" s="8">
        <f>IF($B1726="","",IFERROR(INDEX(PM_Category,MATCH($B1726,PM_ID,0)),""))</f>
        <v/>
      </c>
      <c r="E1726" s="8">
        <f>IF($B1726="","",IFERROR(INDEX(PM_Subcategory,MATCH($B1726,PM_ID,0)),""))</f>
        <v/>
      </c>
      <c r="F1726" s="8">
        <f>IF($B1726="","",IFERROR(INDEX(PM_Brand,MATCH($B1726,PM_ID,0)),""))</f>
        <v/>
      </c>
      <c r="G1726" s="8">
        <f>IF($B1726="","",IFERROR(INDEX(PM_Model,MATCH($B1726,PM_ID,0)),""))</f>
        <v/>
      </c>
      <c r="H1726" s="5" t="n"/>
      <c r="I1726" s="10" t="n"/>
      <c r="J1726" s="9" t="n"/>
      <c r="K1726" s="5" t="n"/>
      <c r="L1726" s="5" t="n"/>
      <c r="M1726" s="5" t="n"/>
      <c r="N1726" s="5" t="n"/>
      <c r="O1726" s="8">
        <f>IF($B1726="","",IF(AND($A1726&lt;&gt;"",COUNTIF(INV_ID,$A1726)&gt;1),"⚠ this Unit ID already exists",IF(AND($H1726&lt;&gt;"",COUNTIF(INV_Serial,$H1726)&gt;1),"⚠ this serial already exists",IF(COUNTIFS(INV_Product,$B1726,INV_No,$C1726)&gt;1,"⚠ piece number reused",""))))</f>
        <v/>
      </c>
      <c r="P1726" s="5" t="n"/>
    </row>
    <row r="1727">
      <c r="A1727" s="8">
        <f>IF(OR($B1727="",$C1727=""),"",IFERROR(INDEX(PM_Short,MATCH($B1727,PM_ID,0))&amp;"-"&amp;TEXT($C1727,"00"),"?? no such product"))</f>
        <v/>
      </c>
      <c r="B1727" s="5" t="n"/>
      <c r="C1727" s="5" t="n"/>
      <c r="D1727" s="8">
        <f>IF($B1727="","",IFERROR(INDEX(PM_Category,MATCH($B1727,PM_ID,0)),""))</f>
        <v/>
      </c>
      <c r="E1727" s="8">
        <f>IF($B1727="","",IFERROR(INDEX(PM_Subcategory,MATCH($B1727,PM_ID,0)),""))</f>
        <v/>
      </c>
      <c r="F1727" s="8">
        <f>IF($B1727="","",IFERROR(INDEX(PM_Brand,MATCH($B1727,PM_ID,0)),""))</f>
        <v/>
      </c>
      <c r="G1727" s="8">
        <f>IF($B1727="","",IFERROR(INDEX(PM_Model,MATCH($B1727,PM_ID,0)),""))</f>
        <v/>
      </c>
      <c r="H1727" s="5" t="n"/>
      <c r="I1727" s="10" t="n"/>
      <c r="J1727" s="9" t="n"/>
      <c r="K1727" s="5" t="n"/>
      <c r="L1727" s="5" t="n"/>
      <c r="M1727" s="5" t="n"/>
      <c r="N1727" s="5" t="n"/>
      <c r="O1727" s="8">
        <f>IF($B1727="","",IF(AND($A1727&lt;&gt;"",COUNTIF(INV_ID,$A1727)&gt;1),"⚠ this Unit ID already exists",IF(AND($H1727&lt;&gt;"",COUNTIF(INV_Serial,$H1727)&gt;1),"⚠ this serial already exists",IF(COUNTIFS(INV_Product,$B1727,INV_No,$C1727)&gt;1,"⚠ piece number reused",""))))</f>
        <v/>
      </c>
      <c r="P1727" s="5" t="n"/>
    </row>
    <row r="1728">
      <c r="A1728" s="8">
        <f>IF(OR($B1728="",$C1728=""),"",IFERROR(INDEX(PM_Short,MATCH($B1728,PM_ID,0))&amp;"-"&amp;TEXT($C1728,"00"),"?? no such product"))</f>
        <v/>
      </c>
      <c r="B1728" s="5" t="n"/>
      <c r="C1728" s="5" t="n"/>
      <c r="D1728" s="8">
        <f>IF($B1728="","",IFERROR(INDEX(PM_Category,MATCH($B1728,PM_ID,0)),""))</f>
        <v/>
      </c>
      <c r="E1728" s="8">
        <f>IF($B1728="","",IFERROR(INDEX(PM_Subcategory,MATCH($B1728,PM_ID,0)),""))</f>
        <v/>
      </c>
      <c r="F1728" s="8">
        <f>IF($B1728="","",IFERROR(INDEX(PM_Brand,MATCH($B1728,PM_ID,0)),""))</f>
        <v/>
      </c>
      <c r="G1728" s="8">
        <f>IF($B1728="","",IFERROR(INDEX(PM_Model,MATCH($B1728,PM_ID,0)),""))</f>
        <v/>
      </c>
      <c r="H1728" s="5" t="n"/>
      <c r="I1728" s="10" t="n"/>
      <c r="J1728" s="9" t="n"/>
      <c r="K1728" s="5" t="n"/>
      <c r="L1728" s="5" t="n"/>
      <c r="M1728" s="5" t="n"/>
      <c r="N1728" s="5" t="n"/>
      <c r="O1728" s="8">
        <f>IF($B1728="","",IF(AND($A1728&lt;&gt;"",COUNTIF(INV_ID,$A1728)&gt;1),"⚠ this Unit ID already exists",IF(AND($H1728&lt;&gt;"",COUNTIF(INV_Serial,$H1728)&gt;1),"⚠ this serial already exists",IF(COUNTIFS(INV_Product,$B1728,INV_No,$C1728)&gt;1,"⚠ piece number reused",""))))</f>
        <v/>
      </c>
      <c r="P1728" s="5" t="n"/>
    </row>
    <row r="1729">
      <c r="A1729" s="8">
        <f>IF(OR($B1729="",$C1729=""),"",IFERROR(INDEX(PM_Short,MATCH($B1729,PM_ID,0))&amp;"-"&amp;TEXT($C1729,"00"),"?? no such product"))</f>
        <v/>
      </c>
      <c r="B1729" s="5" t="n"/>
      <c r="C1729" s="5" t="n"/>
      <c r="D1729" s="8">
        <f>IF($B1729="","",IFERROR(INDEX(PM_Category,MATCH($B1729,PM_ID,0)),""))</f>
        <v/>
      </c>
      <c r="E1729" s="8">
        <f>IF($B1729="","",IFERROR(INDEX(PM_Subcategory,MATCH($B1729,PM_ID,0)),""))</f>
        <v/>
      </c>
      <c r="F1729" s="8">
        <f>IF($B1729="","",IFERROR(INDEX(PM_Brand,MATCH($B1729,PM_ID,0)),""))</f>
        <v/>
      </c>
      <c r="G1729" s="8">
        <f>IF($B1729="","",IFERROR(INDEX(PM_Model,MATCH($B1729,PM_ID,0)),""))</f>
        <v/>
      </c>
      <c r="H1729" s="5" t="n"/>
      <c r="I1729" s="10" t="n"/>
      <c r="J1729" s="9" t="n"/>
      <c r="K1729" s="5" t="n"/>
      <c r="L1729" s="5" t="n"/>
      <c r="M1729" s="5" t="n"/>
      <c r="N1729" s="5" t="n"/>
      <c r="O1729" s="8">
        <f>IF($B1729="","",IF(AND($A1729&lt;&gt;"",COUNTIF(INV_ID,$A1729)&gt;1),"⚠ this Unit ID already exists",IF(AND($H1729&lt;&gt;"",COUNTIF(INV_Serial,$H1729)&gt;1),"⚠ this serial already exists",IF(COUNTIFS(INV_Product,$B1729,INV_No,$C1729)&gt;1,"⚠ piece number reused",""))))</f>
        <v/>
      </c>
      <c r="P1729" s="5" t="n"/>
    </row>
    <row r="1730">
      <c r="A1730" s="8">
        <f>IF(OR($B1730="",$C1730=""),"",IFERROR(INDEX(PM_Short,MATCH($B1730,PM_ID,0))&amp;"-"&amp;TEXT($C1730,"00"),"?? no such product"))</f>
        <v/>
      </c>
      <c r="B1730" s="5" t="n"/>
      <c r="C1730" s="5" t="n"/>
      <c r="D1730" s="8">
        <f>IF($B1730="","",IFERROR(INDEX(PM_Category,MATCH($B1730,PM_ID,0)),""))</f>
        <v/>
      </c>
      <c r="E1730" s="8">
        <f>IF($B1730="","",IFERROR(INDEX(PM_Subcategory,MATCH($B1730,PM_ID,0)),""))</f>
        <v/>
      </c>
      <c r="F1730" s="8">
        <f>IF($B1730="","",IFERROR(INDEX(PM_Brand,MATCH($B1730,PM_ID,0)),""))</f>
        <v/>
      </c>
      <c r="G1730" s="8">
        <f>IF($B1730="","",IFERROR(INDEX(PM_Model,MATCH($B1730,PM_ID,0)),""))</f>
        <v/>
      </c>
      <c r="H1730" s="5" t="n"/>
      <c r="I1730" s="10" t="n"/>
      <c r="J1730" s="9" t="n"/>
      <c r="K1730" s="5" t="n"/>
      <c r="L1730" s="5" t="n"/>
      <c r="M1730" s="5" t="n"/>
      <c r="N1730" s="5" t="n"/>
      <c r="O1730" s="8">
        <f>IF($B1730="","",IF(AND($A1730&lt;&gt;"",COUNTIF(INV_ID,$A1730)&gt;1),"⚠ this Unit ID already exists",IF(AND($H1730&lt;&gt;"",COUNTIF(INV_Serial,$H1730)&gt;1),"⚠ this serial already exists",IF(COUNTIFS(INV_Product,$B1730,INV_No,$C1730)&gt;1,"⚠ piece number reused",""))))</f>
        <v/>
      </c>
      <c r="P1730" s="5" t="n"/>
    </row>
    <row r="1731">
      <c r="A1731" s="8">
        <f>IF(OR($B1731="",$C1731=""),"",IFERROR(INDEX(PM_Short,MATCH($B1731,PM_ID,0))&amp;"-"&amp;TEXT($C1731,"00"),"?? no such product"))</f>
        <v/>
      </c>
      <c r="B1731" s="5" t="n"/>
      <c r="C1731" s="5" t="n"/>
      <c r="D1731" s="8">
        <f>IF($B1731="","",IFERROR(INDEX(PM_Category,MATCH($B1731,PM_ID,0)),""))</f>
        <v/>
      </c>
      <c r="E1731" s="8">
        <f>IF($B1731="","",IFERROR(INDEX(PM_Subcategory,MATCH($B1731,PM_ID,0)),""))</f>
        <v/>
      </c>
      <c r="F1731" s="8">
        <f>IF($B1731="","",IFERROR(INDEX(PM_Brand,MATCH($B1731,PM_ID,0)),""))</f>
        <v/>
      </c>
      <c r="G1731" s="8">
        <f>IF($B1731="","",IFERROR(INDEX(PM_Model,MATCH($B1731,PM_ID,0)),""))</f>
        <v/>
      </c>
      <c r="H1731" s="5" t="n"/>
      <c r="I1731" s="10" t="n"/>
      <c r="J1731" s="9" t="n"/>
      <c r="K1731" s="5" t="n"/>
      <c r="L1731" s="5" t="n"/>
      <c r="M1731" s="5" t="n"/>
      <c r="N1731" s="5" t="n"/>
      <c r="O1731" s="8">
        <f>IF($B1731="","",IF(AND($A1731&lt;&gt;"",COUNTIF(INV_ID,$A1731)&gt;1),"⚠ this Unit ID already exists",IF(AND($H1731&lt;&gt;"",COUNTIF(INV_Serial,$H1731)&gt;1),"⚠ this serial already exists",IF(COUNTIFS(INV_Product,$B1731,INV_No,$C1731)&gt;1,"⚠ piece number reused",""))))</f>
        <v/>
      </c>
      <c r="P1731" s="5" t="n"/>
    </row>
    <row r="1732">
      <c r="A1732" s="8">
        <f>IF(OR($B1732="",$C1732=""),"",IFERROR(INDEX(PM_Short,MATCH($B1732,PM_ID,0))&amp;"-"&amp;TEXT($C1732,"00"),"?? no such product"))</f>
        <v/>
      </c>
      <c r="B1732" s="5" t="n"/>
      <c r="C1732" s="5" t="n"/>
      <c r="D1732" s="8">
        <f>IF($B1732="","",IFERROR(INDEX(PM_Category,MATCH($B1732,PM_ID,0)),""))</f>
        <v/>
      </c>
      <c r="E1732" s="8">
        <f>IF($B1732="","",IFERROR(INDEX(PM_Subcategory,MATCH($B1732,PM_ID,0)),""))</f>
        <v/>
      </c>
      <c r="F1732" s="8">
        <f>IF($B1732="","",IFERROR(INDEX(PM_Brand,MATCH($B1732,PM_ID,0)),""))</f>
        <v/>
      </c>
      <c r="G1732" s="8">
        <f>IF($B1732="","",IFERROR(INDEX(PM_Model,MATCH($B1732,PM_ID,0)),""))</f>
        <v/>
      </c>
      <c r="H1732" s="5" t="n"/>
      <c r="I1732" s="10" t="n"/>
      <c r="J1732" s="9" t="n"/>
      <c r="K1732" s="5" t="n"/>
      <c r="L1732" s="5" t="n"/>
      <c r="M1732" s="5" t="n"/>
      <c r="N1732" s="5" t="n"/>
      <c r="O1732" s="8">
        <f>IF($B1732="","",IF(AND($A1732&lt;&gt;"",COUNTIF(INV_ID,$A1732)&gt;1),"⚠ this Unit ID already exists",IF(AND($H1732&lt;&gt;"",COUNTIF(INV_Serial,$H1732)&gt;1),"⚠ this serial already exists",IF(COUNTIFS(INV_Product,$B1732,INV_No,$C1732)&gt;1,"⚠ piece number reused",""))))</f>
        <v/>
      </c>
      <c r="P1732" s="5" t="n"/>
    </row>
    <row r="1733">
      <c r="A1733" s="8">
        <f>IF(OR($B1733="",$C1733=""),"",IFERROR(INDEX(PM_Short,MATCH($B1733,PM_ID,0))&amp;"-"&amp;TEXT($C1733,"00"),"?? no such product"))</f>
        <v/>
      </c>
      <c r="B1733" s="5" t="n"/>
      <c r="C1733" s="5" t="n"/>
      <c r="D1733" s="8">
        <f>IF($B1733="","",IFERROR(INDEX(PM_Category,MATCH($B1733,PM_ID,0)),""))</f>
        <v/>
      </c>
      <c r="E1733" s="8">
        <f>IF($B1733="","",IFERROR(INDEX(PM_Subcategory,MATCH($B1733,PM_ID,0)),""))</f>
        <v/>
      </c>
      <c r="F1733" s="8">
        <f>IF($B1733="","",IFERROR(INDEX(PM_Brand,MATCH($B1733,PM_ID,0)),""))</f>
        <v/>
      </c>
      <c r="G1733" s="8">
        <f>IF($B1733="","",IFERROR(INDEX(PM_Model,MATCH($B1733,PM_ID,0)),""))</f>
        <v/>
      </c>
      <c r="H1733" s="5" t="n"/>
      <c r="I1733" s="10" t="n"/>
      <c r="J1733" s="9" t="n"/>
      <c r="K1733" s="5" t="n"/>
      <c r="L1733" s="5" t="n"/>
      <c r="M1733" s="5" t="n"/>
      <c r="N1733" s="5" t="n"/>
      <c r="O1733" s="8">
        <f>IF($B1733="","",IF(AND($A1733&lt;&gt;"",COUNTIF(INV_ID,$A1733)&gt;1),"⚠ this Unit ID already exists",IF(AND($H1733&lt;&gt;"",COUNTIF(INV_Serial,$H1733)&gt;1),"⚠ this serial already exists",IF(COUNTIFS(INV_Product,$B1733,INV_No,$C1733)&gt;1,"⚠ piece number reused",""))))</f>
        <v/>
      </c>
      <c r="P1733" s="5" t="n"/>
    </row>
    <row r="1734">
      <c r="A1734" s="8">
        <f>IF(OR($B1734="",$C1734=""),"",IFERROR(INDEX(PM_Short,MATCH($B1734,PM_ID,0))&amp;"-"&amp;TEXT($C1734,"00"),"?? no such product"))</f>
        <v/>
      </c>
      <c r="B1734" s="5" t="n"/>
      <c r="C1734" s="5" t="n"/>
      <c r="D1734" s="8">
        <f>IF($B1734="","",IFERROR(INDEX(PM_Category,MATCH($B1734,PM_ID,0)),""))</f>
        <v/>
      </c>
      <c r="E1734" s="8">
        <f>IF($B1734="","",IFERROR(INDEX(PM_Subcategory,MATCH($B1734,PM_ID,0)),""))</f>
        <v/>
      </c>
      <c r="F1734" s="8">
        <f>IF($B1734="","",IFERROR(INDEX(PM_Brand,MATCH($B1734,PM_ID,0)),""))</f>
        <v/>
      </c>
      <c r="G1734" s="8">
        <f>IF($B1734="","",IFERROR(INDEX(PM_Model,MATCH($B1734,PM_ID,0)),""))</f>
        <v/>
      </c>
      <c r="H1734" s="5" t="n"/>
      <c r="I1734" s="10" t="n"/>
      <c r="J1734" s="9" t="n"/>
      <c r="K1734" s="5" t="n"/>
      <c r="L1734" s="5" t="n"/>
      <c r="M1734" s="5" t="n"/>
      <c r="N1734" s="5" t="n"/>
      <c r="O1734" s="8">
        <f>IF($B1734="","",IF(AND($A1734&lt;&gt;"",COUNTIF(INV_ID,$A1734)&gt;1),"⚠ this Unit ID already exists",IF(AND($H1734&lt;&gt;"",COUNTIF(INV_Serial,$H1734)&gt;1),"⚠ this serial already exists",IF(COUNTIFS(INV_Product,$B1734,INV_No,$C1734)&gt;1,"⚠ piece number reused",""))))</f>
        <v/>
      </c>
      <c r="P1734" s="5" t="n"/>
    </row>
    <row r="1735">
      <c r="A1735" s="8">
        <f>IF(OR($B1735="",$C1735=""),"",IFERROR(INDEX(PM_Short,MATCH($B1735,PM_ID,0))&amp;"-"&amp;TEXT($C1735,"00"),"?? no such product"))</f>
        <v/>
      </c>
      <c r="B1735" s="5" t="n"/>
      <c r="C1735" s="5" t="n"/>
      <c r="D1735" s="8">
        <f>IF($B1735="","",IFERROR(INDEX(PM_Category,MATCH($B1735,PM_ID,0)),""))</f>
        <v/>
      </c>
      <c r="E1735" s="8">
        <f>IF($B1735="","",IFERROR(INDEX(PM_Subcategory,MATCH($B1735,PM_ID,0)),""))</f>
        <v/>
      </c>
      <c r="F1735" s="8">
        <f>IF($B1735="","",IFERROR(INDEX(PM_Brand,MATCH($B1735,PM_ID,0)),""))</f>
        <v/>
      </c>
      <c r="G1735" s="8">
        <f>IF($B1735="","",IFERROR(INDEX(PM_Model,MATCH($B1735,PM_ID,0)),""))</f>
        <v/>
      </c>
      <c r="H1735" s="5" t="n"/>
      <c r="I1735" s="10" t="n"/>
      <c r="J1735" s="9" t="n"/>
      <c r="K1735" s="5" t="n"/>
      <c r="L1735" s="5" t="n"/>
      <c r="M1735" s="5" t="n"/>
      <c r="N1735" s="5" t="n"/>
      <c r="O1735" s="8">
        <f>IF($B1735="","",IF(AND($A1735&lt;&gt;"",COUNTIF(INV_ID,$A1735)&gt;1),"⚠ this Unit ID already exists",IF(AND($H1735&lt;&gt;"",COUNTIF(INV_Serial,$H1735)&gt;1),"⚠ this serial already exists",IF(COUNTIFS(INV_Product,$B1735,INV_No,$C1735)&gt;1,"⚠ piece number reused",""))))</f>
        <v/>
      </c>
      <c r="P1735" s="5" t="n"/>
    </row>
    <row r="1736">
      <c r="A1736" s="8">
        <f>IF(OR($B1736="",$C1736=""),"",IFERROR(INDEX(PM_Short,MATCH($B1736,PM_ID,0))&amp;"-"&amp;TEXT($C1736,"00"),"?? no such product"))</f>
        <v/>
      </c>
      <c r="B1736" s="5" t="n"/>
      <c r="C1736" s="5" t="n"/>
      <c r="D1736" s="8">
        <f>IF($B1736="","",IFERROR(INDEX(PM_Category,MATCH($B1736,PM_ID,0)),""))</f>
        <v/>
      </c>
      <c r="E1736" s="8">
        <f>IF($B1736="","",IFERROR(INDEX(PM_Subcategory,MATCH($B1736,PM_ID,0)),""))</f>
        <v/>
      </c>
      <c r="F1736" s="8">
        <f>IF($B1736="","",IFERROR(INDEX(PM_Brand,MATCH($B1736,PM_ID,0)),""))</f>
        <v/>
      </c>
      <c r="G1736" s="8">
        <f>IF($B1736="","",IFERROR(INDEX(PM_Model,MATCH($B1736,PM_ID,0)),""))</f>
        <v/>
      </c>
      <c r="H1736" s="5" t="n"/>
      <c r="I1736" s="10" t="n"/>
      <c r="J1736" s="9" t="n"/>
      <c r="K1736" s="5" t="n"/>
      <c r="L1736" s="5" t="n"/>
      <c r="M1736" s="5" t="n"/>
      <c r="N1736" s="5" t="n"/>
      <c r="O1736" s="8">
        <f>IF($B1736="","",IF(AND($A1736&lt;&gt;"",COUNTIF(INV_ID,$A1736)&gt;1),"⚠ this Unit ID already exists",IF(AND($H1736&lt;&gt;"",COUNTIF(INV_Serial,$H1736)&gt;1),"⚠ this serial already exists",IF(COUNTIFS(INV_Product,$B1736,INV_No,$C1736)&gt;1,"⚠ piece number reused",""))))</f>
        <v/>
      </c>
      <c r="P1736" s="5" t="n"/>
    </row>
    <row r="1737">
      <c r="A1737" s="8">
        <f>IF(OR($B1737="",$C1737=""),"",IFERROR(INDEX(PM_Short,MATCH($B1737,PM_ID,0))&amp;"-"&amp;TEXT($C1737,"00"),"?? no such product"))</f>
        <v/>
      </c>
      <c r="B1737" s="5" t="n"/>
      <c r="C1737" s="5" t="n"/>
      <c r="D1737" s="8">
        <f>IF($B1737="","",IFERROR(INDEX(PM_Category,MATCH($B1737,PM_ID,0)),""))</f>
        <v/>
      </c>
      <c r="E1737" s="8">
        <f>IF($B1737="","",IFERROR(INDEX(PM_Subcategory,MATCH($B1737,PM_ID,0)),""))</f>
        <v/>
      </c>
      <c r="F1737" s="8">
        <f>IF($B1737="","",IFERROR(INDEX(PM_Brand,MATCH($B1737,PM_ID,0)),""))</f>
        <v/>
      </c>
      <c r="G1737" s="8">
        <f>IF($B1737="","",IFERROR(INDEX(PM_Model,MATCH($B1737,PM_ID,0)),""))</f>
        <v/>
      </c>
      <c r="H1737" s="5" t="n"/>
      <c r="I1737" s="10" t="n"/>
      <c r="J1737" s="9" t="n"/>
      <c r="K1737" s="5" t="n"/>
      <c r="L1737" s="5" t="n"/>
      <c r="M1737" s="5" t="n"/>
      <c r="N1737" s="5" t="n"/>
      <c r="O1737" s="8">
        <f>IF($B1737="","",IF(AND($A1737&lt;&gt;"",COUNTIF(INV_ID,$A1737)&gt;1),"⚠ this Unit ID already exists",IF(AND($H1737&lt;&gt;"",COUNTIF(INV_Serial,$H1737)&gt;1),"⚠ this serial already exists",IF(COUNTIFS(INV_Product,$B1737,INV_No,$C1737)&gt;1,"⚠ piece number reused",""))))</f>
        <v/>
      </c>
      <c r="P1737" s="5" t="n"/>
    </row>
    <row r="1738">
      <c r="A1738" s="8">
        <f>IF(OR($B1738="",$C1738=""),"",IFERROR(INDEX(PM_Short,MATCH($B1738,PM_ID,0))&amp;"-"&amp;TEXT($C1738,"00"),"?? no such product"))</f>
        <v/>
      </c>
      <c r="B1738" s="5" t="n"/>
      <c r="C1738" s="5" t="n"/>
      <c r="D1738" s="8">
        <f>IF($B1738="","",IFERROR(INDEX(PM_Category,MATCH($B1738,PM_ID,0)),""))</f>
        <v/>
      </c>
      <c r="E1738" s="8">
        <f>IF($B1738="","",IFERROR(INDEX(PM_Subcategory,MATCH($B1738,PM_ID,0)),""))</f>
        <v/>
      </c>
      <c r="F1738" s="8">
        <f>IF($B1738="","",IFERROR(INDEX(PM_Brand,MATCH($B1738,PM_ID,0)),""))</f>
        <v/>
      </c>
      <c r="G1738" s="8">
        <f>IF($B1738="","",IFERROR(INDEX(PM_Model,MATCH($B1738,PM_ID,0)),""))</f>
        <v/>
      </c>
      <c r="H1738" s="5" t="n"/>
      <c r="I1738" s="10" t="n"/>
      <c r="J1738" s="9" t="n"/>
      <c r="K1738" s="5" t="n"/>
      <c r="L1738" s="5" t="n"/>
      <c r="M1738" s="5" t="n"/>
      <c r="N1738" s="5" t="n"/>
      <c r="O1738" s="8">
        <f>IF($B1738="","",IF(AND($A1738&lt;&gt;"",COUNTIF(INV_ID,$A1738)&gt;1),"⚠ this Unit ID already exists",IF(AND($H1738&lt;&gt;"",COUNTIF(INV_Serial,$H1738)&gt;1),"⚠ this serial already exists",IF(COUNTIFS(INV_Product,$B1738,INV_No,$C1738)&gt;1,"⚠ piece number reused",""))))</f>
        <v/>
      </c>
      <c r="P1738" s="5" t="n"/>
    </row>
    <row r="1739">
      <c r="A1739" s="8">
        <f>IF(OR($B1739="",$C1739=""),"",IFERROR(INDEX(PM_Short,MATCH($B1739,PM_ID,0))&amp;"-"&amp;TEXT($C1739,"00"),"?? no such product"))</f>
        <v/>
      </c>
      <c r="B1739" s="5" t="n"/>
      <c r="C1739" s="5" t="n"/>
      <c r="D1739" s="8">
        <f>IF($B1739="","",IFERROR(INDEX(PM_Category,MATCH($B1739,PM_ID,0)),""))</f>
        <v/>
      </c>
      <c r="E1739" s="8">
        <f>IF($B1739="","",IFERROR(INDEX(PM_Subcategory,MATCH($B1739,PM_ID,0)),""))</f>
        <v/>
      </c>
      <c r="F1739" s="8">
        <f>IF($B1739="","",IFERROR(INDEX(PM_Brand,MATCH($B1739,PM_ID,0)),""))</f>
        <v/>
      </c>
      <c r="G1739" s="8">
        <f>IF($B1739="","",IFERROR(INDEX(PM_Model,MATCH($B1739,PM_ID,0)),""))</f>
        <v/>
      </c>
      <c r="H1739" s="5" t="n"/>
      <c r="I1739" s="10" t="n"/>
      <c r="J1739" s="9" t="n"/>
      <c r="K1739" s="5" t="n"/>
      <c r="L1739" s="5" t="n"/>
      <c r="M1739" s="5" t="n"/>
      <c r="N1739" s="5" t="n"/>
      <c r="O1739" s="8">
        <f>IF($B1739="","",IF(AND($A1739&lt;&gt;"",COUNTIF(INV_ID,$A1739)&gt;1),"⚠ this Unit ID already exists",IF(AND($H1739&lt;&gt;"",COUNTIF(INV_Serial,$H1739)&gt;1),"⚠ this serial already exists",IF(COUNTIFS(INV_Product,$B1739,INV_No,$C1739)&gt;1,"⚠ piece number reused",""))))</f>
        <v/>
      </c>
      <c r="P1739" s="5" t="n"/>
    </row>
    <row r="1740">
      <c r="A1740" s="8">
        <f>IF(OR($B1740="",$C1740=""),"",IFERROR(INDEX(PM_Short,MATCH($B1740,PM_ID,0))&amp;"-"&amp;TEXT($C1740,"00"),"?? no such product"))</f>
        <v/>
      </c>
      <c r="B1740" s="5" t="n"/>
      <c r="C1740" s="5" t="n"/>
      <c r="D1740" s="8">
        <f>IF($B1740="","",IFERROR(INDEX(PM_Category,MATCH($B1740,PM_ID,0)),""))</f>
        <v/>
      </c>
      <c r="E1740" s="8">
        <f>IF($B1740="","",IFERROR(INDEX(PM_Subcategory,MATCH($B1740,PM_ID,0)),""))</f>
        <v/>
      </c>
      <c r="F1740" s="8">
        <f>IF($B1740="","",IFERROR(INDEX(PM_Brand,MATCH($B1740,PM_ID,0)),""))</f>
        <v/>
      </c>
      <c r="G1740" s="8">
        <f>IF($B1740="","",IFERROR(INDEX(PM_Model,MATCH($B1740,PM_ID,0)),""))</f>
        <v/>
      </c>
      <c r="H1740" s="5" t="n"/>
      <c r="I1740" s="10" t="n"/>
      <c r="J1740" s="9" t="n"/>
      <c r="K1740" s="5" t="n"/>
      <c r="L1740" s="5" t="n"/>
      <c r="M1740" s="5" t="n"/>
      <c r="N1740" s="5" t="n"/>
      <c r="O1740" s="8">
        <f>IF($B1740="","",IF(AND($A1740&lt;&gt;"",COUNTIF(INV_ID,$A1740)&gt;1),"⚠ this Unit ID already exists",IF(AND($H1740&lt;&gt;"",COUNTIF(INV_Serial,$H1740)&gt;1),"⚠ this serial already exists",IF(COUNTIFS(INV_Product,$B1740,INV_No,$C1740)&gt;1,"⚠ piece number reused",""))))</f>
        <v/>
      </c>
      <c r="P1740" s="5" t="n"/>
    </row>
    <row r="1741">
      <c r="A1741" s="8">
        <f>IF(OR($B1741="",$C1741=""),"",IFERROR(INDEX(PM_Short,MATCH($B1741,PM_ID,0))&amp;"-"&amp;TEXT($C1741,"00"),"?? no such product"))</f>
        <v/>
      </c>
      <c r="B1741" s="5" t="n"/>
      <c r="C1741" s="5" t="n"/>
      <c r="D1741" s="8">
        <f>IF($B1741="","",IFERROR(INDEX(PM_Category,MATCH($B1741,PM_ID,0)),""))</f>
        <v/>
      </c>
      <c r="E1741" s="8">
        <f>IF($B1741="","",IFERROR(INDEX(PM_Subcategory,MATCH($B1741,PM_ID,0)),""))</f>
        <v/>
      </c>
      <c r="F1741" s="8">
        <f>IF($B1741="","",IFERROR(INDEX(PM_Brand,MATCH($B1741,PM_ID,0)),""))</f>
        <v/>
      </c>
      <c r="G1741" s="8">
        <f>IF($B1741="","",IFERROR(INDEX(PM_Model,MATCH($B1741,PM_ID,0)),""))</f>
        <v/>
      </c>
      <c r="H1741" s="5" t="n"/>
      <c r="I1741" s="10" t="n"/>
      <c r="J1741" s="9" t="n"/>
      <c r="K1741" s="5" t="n"/>
      <c r="L1741" s="5" t="n"/>
      <c r="M1741" s="5" t="n"/>
      <c r="N1741" s="5" t="n"/>
      <c r="O1741" s="8">
        <f>IF($B1741="","",IF(AND($A1741&lt;&gt;"",COUNTIF(INV_ID,$A1741)&gt;1),"⚠ this Unit ID already exists",IF(AND($H1741&lt;&gt;"",COUNTIF(INV_Serial,$H1741)&gt;1),"⚠ this serial already exists",IF(COUNTIFS(INV_Product,$B1741,INV_No,$C1741)&gt;1,"⚠ piece number reused",""))))</f>
        <v/>
      </c>
      <c r="P1741" s="5" t="n"/>
    </row>
    <row r="1742">
      <c r="A1742" s="8">
        <f>IF(OR($B1742="",$C1742=""),"",IFERROR(INDEX(PM_Short,MATCH($B1742,PM_ID,0))&amp;"-"&amp;TEXT($C1742,"00"),"?? no such product"))</f>
        <v/>
      </c>
      <c r="B1742" s="5" t="n"/>
      <c r="C1742" s="5" t="n"/>
      <c r="D1742" s="8">
        <f>IF($B1742="","",IFERROR(INDEX(PM_Category,MATCH($B1742,PM_ID,0)),""))</f>
        <v/>
      </c>
      <c r="E1742" s="8">
        <f>IF($B1742="","",IFERROR(INDEX(PM_Subcategory,MATCH($B1742,PM_ID,0)),""))</f>
        <v/>
      </c>
      <c r="F1742" s="8">
        <f>IF($B1742="","",IFERROR(INDEX(PM_Brand,MATCH($B1742,PM_ID,0)),""))</f>
        <v/>
      </c>
      <c r="G1742" s="8">
        <f>IF($B1742="","",IFERROR(INDEX(PM_Model,MATCH($B1742,PM_ID,0)),""))</f>
        <v/>
      </c>
      <c r="H1742" s="5" t="n"/>
      <c r="I1742" s="10" t="n"/>
      <c r="J1742" s="9" t="n"/>
      <c r="K1742" s="5" t="n"/>
      <c r="L1742" s="5" t="n"/>
      <c r="M1742" s="5" t="n"/>
      <c r="N1742" s="5" t="n"/>
      <c r="O1742" s="8">
        <f>IF($B1742="","",IF(AND($A1742&lt;&gt;"",COUNTIF(INV_ID,$A1742)&gt;1),"⚠ this Unit ID already exists",IF(AND($H1742&lt;&gt;"",COUNTIF(INV_Serial,$H1742)&gt;1),"⚠ this serial already exists",IF(COUNTIFS(INV_Product,$B1742,INV_No,$C1742)&gt;1,"⚠ piece number reused",""))))</f>
        <v/>
      </c>
      <c r="P1742" s="5" t="n"/>
    </row>
    <row r="1743">
      <c r="A1743" s="8">
        <f>IF(OR($B1743="",$C1743=""),"",IFERROR(INDEX(PM_Short,MATCH($B1743,PM_ID,0))&amp;"-"&amp;TEXT($C1743,"00"),"?? no such product"))</f>
        <v/>
      </c>
      <c r="B1743" s="5" t="n"/>
      <c r="C1743" s="5" t="n"/>
      <c r="D1743" s="8">
        <f>IF($B1743="","",IFERROR(INDEX(PM_Category,MATCH($B1743,PM_ID,0)),""))</f>
        <v/>
      </c>
      <c r="E1743" s="8">
        <f>IF($B1743="","",IFERROR(INDEX(PM_Subcategory,MATCH($B1743,PM_ID,0)),""))</f>
        <v/>
      </c>
      <c r="F1743" s="8">
        <f>IF($B1743="","",IFERROR(INDEX(PM_Brand,MATCH($B1743,PM_ID,0)),""))</f>
        <v/>
      </c>
      <c r="G1743" s="8">
        <f>IF($B1743="","",IFERROR(INDEX(PM_Model,MATCH($B1743,PM_ID,0)),""))</f>
        <v/>
      </c>
      <c r="H1743" s="5" t="n"/>
      <c r="I1743" s="10" t="n"/>
      <c r="J1743" s="9" t="n"/>
      <c r="K1743" s="5" t="n"/>
      <c r="L1743" s="5" t="n"/>
      <c r="M1743" s="5" t="n"/>
      <c r="N1743" s="5" t="n"/>
      <c r="O1743" s="8">
        <f>IF($B1743="","",IF(AND($A1743&lt;&gt;"",COUNTIF(INV_ID,$A1743)&gt;1),"⚠ this Unit ID already exists",IF(AND($H1743&lt;&gt;"",COUNTIF(INV_Serial,$H1743)&gt;1),"⚠ this serial already exists",IF(COUNTIFS(INV_Product,$B1743,INV_No,$C1743)&gt;1,"⚠ piece number reused",""))))</f>
        <v/>
      </c>
      <c r="P1743" s="5" t="n"/>
    </row>
    <row r="1744">
      <c r="A1744" s="8">
        <f>IF(OR($B1744="",$C1744=""),"",IFERROR(INDEX(PM_Short,MATCH($B1744,PM_ID,0))&amp;"-"&amp;TEXT($C1744,"00"),"?? no such product"))</f>
        <v/>
      </c>
      <c r="B1744" s="5" t="n"/>
      <c r="C1744" s="5" t="n"/>
      <c r="D1744" s="8">
        <f>IF($B1744="","",IFERROR(INDEX(PM_Category,MATCH($B1744,PM_ID,0)),""))</f>
        <v/>
      </c>
      <c r="E1744" s="8">
        <f>IF($B1744="","",IFERROR(INDEX(PM_Subcategory,MATCH($B1744,PM_ID,0)),""))</f>
        <v/>
      </c>
      <c r="F1744" s="8">
        <f>IF($B1744="","",IFERROR(INDEX(PM_Brand,MATCH($B1744,PM_ID,0)),""))</f>
        <v/>
      </c>
      <c r="G1744" s="8">
        <f>IF($B1744="","",IFERROR(INDEX(PM_Model,MATCH($B1744,PM_ID,0)),""))</f>
        <v/>
      </c>
      <c r="H1744" s="5" t="n"/>
      <c r="I1744" s="10" t="n"/>
      <c r="J1744" s="9" t="n"/>
      <c r="K1744" s="5" t="n"/>
      <c r="L1744" s="5" t="n"/>
      <c r="M1744" s="5" t="n"/>
      <c r="N1744" s="5" t="n"/>
      <c r="O1744" s="8">
        <f>IF($B1744="","",IF(AND($A1744&lt;&gt;"",COUNTIF(INV_ID,$A1744)&gt;1),"⚠ this Unit ID already exists",IF(AND($H1744&lt;&gt;"",COUNTIF(INV_Serial,$H1744)&gt;1),"⚠ this serial already exists",IF(COUNTIFS(INV_Product,$B1744,INV_No,$C1744)&gt;1,"⚠ piece number reused",""))))</f>
        <v/>
      </c>
      <c r="P1744" s="5" t="n"/>
    </row>
    <row r="1745">
      <c r="A1745" s="8">
        <f>IF(OR($B1745="",$C1745=""),"",IFERROR(INDEX(PM_Short,MATCH($B1745,PM_ID,0))&amp;"-"&amp;TEXT($C1745,"00"),"?? no such product"))</f>
        <v/>
      </c>
      <c r="B1745" s="5" t="n"/>
      <c r="C1745" s="5" t="n"/>
      <c r="D1745" s="8">
        <f>IF($B1745="","",IFERROR(INDEX(PM_Category,MATCH($B1745,PM_ID,0)),""))</f>
        <v/>
      </c>
      <c r="E1745" s="8">
        <f>IF($B1745="","",IFERROR(INDEX(PM_Subcategory,MATCH($B1745,PM_ID,0)),""))</f>
        <v/>
      </c>
      <c r="F1745" s="8">
        <f>IF($B1745="","",IFERROR(INDEX(PM_Brand,MATCH($B1745,PM_ID,0)),""))</f>
        <v/>
      </c>
      <c r="G1745" s="8">
        <f>IF($B1745="","",IFERROR(INDEX(PM_Model,MATCH($B1745,PM_ID,0)),""))</f>
        <v/>
      </c>
      <c r="H1745" s="5" t="n"/>
      <c r="I1745" s="10" t="n"/>
      <c r="J1745" s="9" t="n"/>
      <c r="K1745" s="5" t="n"/>
      <c r="L1745" s="5" t="n"/>
      <c r="M1745" s="5" t="n"/>
      <c r="N1745" s="5" t="n"/>
      <c r="O1745" s="8">
        <f>IF($B1745="","",IF(AND($A1745&lt;&gt;"",COUNTIF(INV_ID,$A1745)&gt;1),"⚠ this Unit ID already exists",IF(AND($H1745&lt;&gt;"",COUNTIF(INV_Serial,$H1745)&gt;1),"⚠ this serial already exists",IF(COUNTIFS(INV_Product,$B1745,INV_No,$C1745)&gt;1,"⚠ piece number reused",""))))</f>
        <v/>
      </c>
      <c r="P1745" s="5" t="n"/>
    </row>
    <row r="1746">
      <c r="A1746" s="8">
        <f>IF(OR($B1746="",$C1746=""),"",IFERROR(INDEX(PM_Short,MATCH($B1746,PM_ID,0))&amp;"-"&amp;TEXT($C1746,"00"),"?? no such product"))</f>
        <v/>
      </c>
      <c r="B1746" s="5" t="n"/>
      <c r="C1746" s="5" t="n"/>
      <c r="D1746" s="8">
        <f>IF($B1746="","",IFERROR(INDEX(PM_Category,MATCH($B1746,PM_ID,0)),""))</f>
        <v/>
      </c>
      <c r="E1746" s="8">
        <f>IF($B1746="","",IFERROR(INDEX(PM_Subcategory,MATCH($B1746,PM_ID,0)),""))</f>
        <v/>
      </c>
      <c r="F1746" s="8">
        <f>IF($B1746="","",IFERROR(INDEX(PM_Brand,MATCH($B1746,PM_ID,0)),""))</f>
        <v/>
      </c>
      <c r="G1746" s="8">
        <f>IF($B1746="","",IFERROR(INDEX(PM_Model,MATCH($B1746,PM_ID,0)),""))</f>
        <v/>
      </c>
      <c r="H1746" s="5" t="n"/>
      <c r="I1746" s="10" t="n"/>
      <c r="J1746" s="9" t="n"/>
      <c r="K1746" s="5" t="n"/>
      <c r="L1746" s="5" t="n"/>
      <c r="M1746" s="5" t="n"/>
      <c r="N1746" s="5" t="n"/>
      <c r="O1746" s="8">
        <f>IF($B1746="","",IF(AND($A1746&lt;&gt;"",COUNTIF(INV_ID,$A1746)&gt;1),"⚠ this Unit ID already exists",IF(AND($H1746&lt;&gt;"",COUNTIF(INV_Serial,$H1746)&gt;1),"⚠ this serial already exists",IF(COUNTIFS(INV_Product,$B1746,INV_No,$C1746)&gt;1,"⚠ piece number reused",""))))</f>
        <v/>
      </c>
      <c r="P1746" s="5" t="n"/>
    </row>
    <row r="1747">
      <c r="A1747" s="8">
        <f>IF(OR($B1747="",$C1747=""),"",IFERROR(INDEX(PM_Short,MATCH($B1747,PM_ID,0))&amp;"-"&amp;TEXT($C1747,"00"),"?? no such product"))</f>
        <v/>
      </c>
      <c r="B1747" s="5" t="n"/>
      <c r="C1747" s="5" t="n"/>
      <c r="D1747" s="8">
        <f>IF($B1747="","",IFERROR(INDEX(PM_Category,MATCH($B1747,PM_ID,0)),""))</f>
        <v/>
      </c>
      <c r="E1747" s="8">
        <f>IF($B1747="","",IFERROR(INDEX(PM_Subcategory,MATCH($B1747,PM_ID,0)),""))</f>
        <v/>
      </c>
      <c r="F1747" s="8">
        <f>IF($B1747="","",IFERROR(INDEX(PM_Brand,MATCH($B1747,PM_ID,0)),""))</f>
        <v/>
      </c>
      <c r="G1747" s="8">
        <f>IF($B1747="","",IFERROR(INDEX(PM_Model,MATCH($B1747,PM_ID,0)),""))</f>
        <v/>
      </c>
      <c r="H1747" s="5" t="n"/>
      <c r="I1747" s="10" t="n"/>
      <c r="J1747" s="9" t="n"/>
      <c r="K1747" s="5" t="n"/>
      <c r="L1747" s="5" t="n"/>
      <c r="M1747" s="5" t="n"/>
      <c r="N1747" s="5" t="n"/>
      <c r="O1747" s="8">
        <f>IF($B1747="","",IF(AND($A1747&lt;&gt;"",COUNTIF(INV_ID,$A1747)&gt;1),"⚠ this Unit ID already exists",IF(AND($H1747&lt;&gt;"",COUNTIF(INV_Serial,$H1747)&gt;1),"⚠ this serial already exists",IF(COUNTIFS(INV_Product,$B1747,INV_No,$C1747)&gt;1,"⚠ piece number reused",""))))</f>
        <v/>
      </c>
      <c r="P1747" s="5" t="n"/>
    </row>
    <row r="1748">
      <c r="A1748" s="8">
        <f>IF(OR($B1748="",$C1748=""),"",IFERROR(INDEX(PM_Short,MATCH($B1748,PM_ID,0))&amp;"-"&amp;TEXT($C1748,"00"),"?? no such product"))</f>
        <v/>
      </c>
      <c r="B1748" s="5" t="n"/>
      <c r="C1748" s="5" t="n"/>
      <c r="D1748" s="8">
        <f>IF($B1748="","",IFERROR(INDEX(PM_Category,MATCH($B1748,PM_ID,0)),""))</f>
        <v/>
      </c>
      <c r="E1748" s="8">
        <f>IF($B1748="","",IFERROR(INDEX(PM_Subcategory,MATCH($B1748,PM_ID,0)),""))</f>
        <v/>
      </c>
      <c r="F1748" s="8">
        <f>IF($B1748="","",IFERROR(INDEX(PM_Brand,MATCH($B1748,PM_ID,0)),""))</f>
        <v/>
      </c>
      <c r="G1748" s="8">
        <f>IF($B1748="","",IFERROR(INDEX(PM_Model,MATCH($B1748,PM_ID,0)),""))</f>
        <v/>
      </c>
      <c r="H1748" s="5" t="n"/>
      <c r="I1748" s="10" t="n"/>
      <c r="J1748" s="9" t="n"/>
      <c r="K1748" s="5" t="n"/>
      <c r="L1748" s="5" t="n"/>
      <c r="M1748" s="5" t="n"/>
      <c r="N1748" s="5" t="n"/>
      <c r="O1748" s="8">
        <f>IF($B1748="","",IF(AND($A1748&lt;&gt;"",COUNTIF(INV_ID,$A1748)&gt;1),"⚠ this Unit ID already exists",IF(AND($H1748&lt;&gt;"",COUNTIF(INV_Serial,$H1748)&gt;1),"⚠ this serial already exists",IF(COUNTIFS(INV_Product,$B1748,INV_No,$C1748)&gt;1,"⚠ piece number reused",""))))</f>
        <v/>
      </c>
      <c r="P1748" s="5" t="n"/>
    </row>
    <row r="1749">
      <c r="A1749" s="8">
        <f>IF(OR($B1749="",$C1749=""),"",IFERROR(INDEX(PM_Short,MATCH($B1749,PM_ID,0))&amp;"-"&amp;TEXT($C1749,"00"),"?? no such product"))</f>
        <v/>
      </c>
      <c r="B1749" s="5" t="n"/>
      <c r="C1749" s="5" t="n"/>
      <c r="D1749" s="8">
        <f>IF($B1749="","",IFERROR(INDEX(PM_Category,MATCH($B1749,PM_ID,0)),""))</f>
        <v/>
      </c>
      <c r="E1749" s="8">
        <f>IF($B1749="","",IFERROR(INDEX(PM_Subcategory,MATCH($B1749,PM_ID,0)),""))</f>
        <v/>
      </c>
      <c r="F1749" s="8">
        <f>IF($B1749="","",IFERROR(INDEX(PM_Brand,MATCH($B1749,PM_ID,0)),""))</f>
        <v/>
      </c>
      <c r="G1749" s="8">
        <f>IF($B1749="","",IFERROR(INDEX(PM_Model,MATCH($B1749,PM_ID,0)),""))</f>
        <v/>
      </c>
      <c r="H1749" s="5" t="n"/>
      <c r="I1749" s="10" t="n"/>
      <c r="J1749" s="9" t="n"/>
      <c r="K1749" s="5" t="n"/>
      <c r="L1749" s="5" t="n"/>
      <c r="M1749" s="5" t="n"/>
      <c r="N1749" s="5" t="n"/>
      <c r="O1749" s="8">
        <f>IF($B1749="","",IF(AND($A1749&lt;&gt;"",COUNTIF(INV_ID,$A1749)&gt;1),"⚠ this Unit ID already exists",IF(AND($H1749&lt;&gt;"",COUNTIF(INV_Serial,$H1749)&gt;1),"⚠ this serial already exists",IF(COUNTIFS(INV_Product,$B1749,INV_No,$C1749)&gt;1,"⚠ piece number reused",""))))</f>
        <v/>
      </c>
      <c r="P1749" s="5" t="n"/>
    </row>
    <row r="1750">
      <c r="A1750" s="8">
        <f>IF(OR($B1750="",$C1750=""),"",IFERROR(INDEX(PM_Short,MATCH($B1750,PM_ID,0))&amp;"-"&amp;TEXT($C1750,"00"),"?? no such product"))</f>
        <v/>
      </c>
      <c r="B1750" s="5" t="n"/>
      <c r="C1750" s="5" t="n"/>
      <c r="D1750" s="8">
        <f>IF($B1750="","",IFERROR(INDEX(PM_Category,MATCH($B1750,PM_ID,0)),""))</f>
        <v/>
      </c>
      <c r="E1750" s="8">
        <f>IF($B1750="","",IFERROR(INDEX(PM_Subcategory,MATCH($B1750,PM_ID,0)),""))</f>
        <v/>
      </c>
      <c r="F1750" s="8">
        <f>IF($B1750="","",IFERROR(INDEX(PM_Brand,MATCH($B1750,PM_ID,0)),""))</f>
        <v/>
      </c>
      <c r="G1750" s="8">
        <f>IF($B1750="","",IFERROR(INDEX(PM_Model,MATCH($B1750,PM_ID,0)),""))</f>
        <v/>
      </c>
      <c r="H1750" s="5" t="n"/>
      <c r="I1750" s="10" t="n"/>
      <c r="J1750" s="9" t="n"/>
      <c r="K1750" s="5" t="n"/>
      <c r="L1750" s="5" t="n"/>
      <c r="M1750" s="5" t="n"/>
      <c r="N1750" s="5" t="n"/>
      <c r="O1750" s="8">
        <f>IF($B1750="","",IF(AND($A1750&lt;&gt;"",COUNTIF(INV_ID,$A1750)&gt;1),"⚠ this Unit ID already exists",IF(AND($H1750&lt;&gt;"",COUNTIF(INV_Serial,$H1750)&gt;1),"⚠ this serial already exists",IF(COUNTIFS(INV_Product,$B1750,INV_No,$C1750)&gt;1,"⚠ piece number reused",""))))</f>
        <v/>
      </c>
      <c r="P1750" s="5" t="n"/>
    </row>
    <row r="1751">
      <c r="A1751" s="8">
        <f>IF(OR($B1751="",$C1751=""),"",IFERROR(INDEX(PM_Short,MATCH($B1751,PM_ID,0))&amp;"-"&amp;TEXT($C1751,"00"),"?? no such product"))</f>
        <v/>
      </c>
      <c r="B1751" s="5" t="n"/>
      <c r="C1751" s="5" t="n"/>
      <c r="D1751" s="8">
        <f>IF($B1751="","",IFERROR(INDEX(PM_Category,MATCH($B1751,PM_ID,0)),""))</f>
        <v/>
      </c>
      <c r="E1751" s="8">
        <f>IF($B1751="","",IFERROR(INDEX(PM_Subcategory,MATCH($B1751,PM_ID,0)),""))</f>
        <v/>
      </c>
      <c r="F1751" s="8">
        <f>IF($B1751="","",IFERROR(INDEX(PM_Brand,MATCH($B1751,PM_ID,0)),""))</f>
        <v/>
      </c>
      <c r="G1751" s="8">
        <f>IF($B1751="","",IFERROR(INDEX(PM_Model,MATCH($B1751,PM_ID,0)),""))</f>
        <v/>
      </c>
      <c r="H1751" s="5" t="n"/>
      <c r="I1751" s="10" t="n"/>
      <c r="J1751" s="9" t="n"/>
      <c r="K1751" s="5" t="n"/>
      <c r="L1751" s="5" t="n"/>
      <c r="M1751" s="5" t="n"/>
      <c r="N1751" s="5" t="n"/>
      <c r="O1751" s="8">
        <f>IF($B1751="","",IF(AND($A1751&lt;&gt;"",COUNTIF(INV_ID,$A1751)&gt;1),"⚠ this Unit ID already exists",IF(AND($H1751&lt;&gt;"",COUNTIF(INV_Serial,$H1751)&gt;1),"⚠ this serial already exists",IF(COUNTIFS(INV_Product,$B1751,INV_No,$C1751)&gt;1,"⚠ piece number reused",""))))</f>
        <v/>
      </c>
      <c r="P1751" s="5" t="n"/>
    </row>
    <row r="1752">
      <c r="A1752" s="8">
        <f>IF(OR($B1752="",$C1752=""),"",IFERROR(INDEX(PM_Short,MATCH($B1752,PM_ID,0))&amp;"-"&amp;TEXT($C1752,"00"),"?? no such product"))</f>
        <v/>
      </c>
      <c r="B1752" s="5" t="n"/>
      <c r="C1752" s="5" t="n"/>
      <c r="D1752" s="8">
        <f>IF($B1752="","",IFERROR(INDEX(PM_Category,MATCH($B1752,PM_ID,0)),""))</f>
        <v/>
      </c>
      <c r="E1752" s="8">
        <f>IF($B1752="","",IFERROR(INDEX(PM_Subcategory,MATCH($B1752,PM_ID,0)),""))</f>
        <v/>
      </c>
      <c r="F1752" s="8">
        <f>IF($B1752="","",IFERROR(INDEX(PM_Brand,MATCH($B1752,PM_ID,0)),""))</f>
        <v/>
      </c>
      <c r="G1752" s="8">
        <f>IF($B1752="","",IFERROR(INDEX(PM_Model,MATCH($B1752,PM_ID,0)),""))</f>
        <v/>
      </c>
      <c r="H1752" s="5" t="n"/>
      <c r="I1752" s="10" t="n"/>
      <c r="J1752" s="9" t="n"/>
      <c r="K1752" s="5" t="n"/>
      <c r="L1752" s="5" t="n"/>
      <c r="M1752" s="5" t="n"/>
      <c r="N1752" s="5" t="n"/>
      <c r="O1752" s="8">
        <f>IF($B1752="","",IF(AND($A1752&lt;&gt;"",COUNTIF(INV_ID,$A1752)&gt;1),"⚠ this Unit ID already exists",IF(AND($H1752&lt;&gt;"",COUNTIF(INV_Serial,$H1752)&gt;1),"⚠ this serial already exists",IF(COUNTIFS(INV_Product,$B1752,INV_No,$C1752)&gt;1,"⚠ piece number reused",""))))</f>
        <v/>
      </c>
      <c r="P1752" s="5" t="n"/>
    </row>
    <row r="1753">
      <c r="A1753" s="8">
        <f>IF(OR($B1753="",$C1753=""),"",IFERROR(INDEX(PM_Short,MATCH($B1753,PM_ID,0))&amp;"-"&amp;TEXT($C1753,"00"),"?? no such product"))</f>
        <v/>
      </c>
      <c r="B1753" s="5" t="n"/>
      <c r="C1753" s="5" t="n"/>
      <c r="D1753" s="8">
        <f>IF($B1753="","",IFERROR(INDEX(PM_Category,MATCH($B1753,PM_ID,0)),""))</f>
        <v/>
      </c>
      <c r="E1753" s="8">
        <f>IF($B1753="","",IFERROR(INDEX(PM_Subcategory,MATCH($B1753,PM_ID,0)),""))</f>
        <v/>
      </c>
      <c r="F1753" s="8">
        <f>IF($B1753="","",IFERROR(INDEX(PM_Brand,MATCH($B1753,PM_ID,0)),""))</f>
        <v/>
      </c>
      <c r="G1753" s="8">
        <f>IF($B1753="","",IFERROR(INDEX(PM_Model,MATCH($B1753,PM_ID,0)),""))</f>
        <v/>
      </c>
      <c r="H1753" s="5" t="n"/>
      <c r="I1753" s="10" t="n"/>
      <c r="J1753" s="9" t="n"/>
      <c r="K1753" s="5" t="n"/>
      <c r="L1753" s="5" t="n"/>
      <c r="M1753" s="5" t="n"/>
      <c r="N1753" s="5" t="n"/>
      <c r="O1753" s="8">
        <f>IF($B1753="","",IF(AND($A1753&lt;&gt;"",COUNTIF(INV_ID,$A1753)&gt;1),"⚠ this Unit ID already exists",IF(AND($H1753&lt;&gt;"",COUNTIF(INV_Serial,$H1753)&gt;1),"⚠ this serial already exists",IF(COUNTIFS(INV_Product,$B1753,INV_No,$C1753)&gt;1,"⚠ piece number reused",""))))</f>
        <v/>
      </c>
      <c r="P1753" s="5" t="n"/>
    </row>
    <row r="1754">
      <c r="A1754" s="8">
        <f>IF(OR($B1754="",$C1754=""),"",IFERROR(INDEX(PM_Short,MATCH($B1754,PM_ID,0))&amp;"-"&amp;TEXT($C1754,"00"),"?? no such product"))</f>
        <v/>
      </c>
      <c r="B1754" s="5" t="n"/>
      <c r="C1754" s="5" t="n"/>
      <c r="D1754" s="8">
        <f>IF($B1754="","",IFERROR(INDEX(PM_Category,MATCH($B1754,PM_ID,0)),""))</f>
        <v/>
      </c>
      <c r="E1754" s="8">
        <f>IF($B1754="","",IFERROR(INDEX(PM_Subcategory,MATCH($B1754,PM_ID,0)),""))</f>
        <v/>
      </c>
      <c r="F1754" s="8">
        <f>IF($B1754="","",IFERROR(INDEX(PM_Brand,MATCH($B1754,PM_ID,0)),""))</f>
        <v/>
      </c>
      <c r="G1754" s="8">
        <f>IF($B1754="","",IFERROR(INDEX(PM_Model,MATCH($B1754,PM_ID,0)),""))</f>
        <v/>
      </c>
      <c r="H1754" s="5" t="n"/>
      <c r="I1754" s="10" t="n"/>
      <c r="J1754" s="9" t="n"/>
      <c r="K1754" s="5" t="n"/>
      <c r="L1754" s="5" t="n"/>
      <c r="M1754" s="5" t="n"/>
      <c r="N1754" s="5" t="n"/>
      <c r="O1754" s="8">
        <f>IF($B1754="","",IF(AND($A1754&lt;&gt;"",COUNTIF(INV_ID,$A1754)&gt;1),"⚠ this Unit ID already exists",IF(AND($H1754&lt;&gt;"",COUNTIF(INV_Serial,$H1754)&gt;1),"⚠ this serial already exists",IF(COUNTIFS(INV_Product,$B1754,INV_No,$C1754)&gt;1,"⚠ piece number reused",""))))</f>
        <v/>
      </c>
      <c r="P1754" s="5" t="n"/>
    </row>
    <row r="1755">
      <c r="A1755" s="8">
        <f>IF(OR($B1755="",$C1755=""),"",IFERROR(INDEX(PM_Short,MATCH($B1755,PM_ID,0))&amp;"-"&amp;TEXT($C1755,"00"),"?? no such product"))</f>
        <v/>
      </c>
      <c r="B1755" s="5" t="n"/>
      <c r="C1755" s="5" t="n"/>
      <c r="D1755" s="8">
        <f>IF($B1755="","",IFERROR(INDEX(PM_Category,MATCH($B1755,PM_ID,0)),""))</f>
        <v/>
      </c>
      <c r="E1755" s="8">
        <f>IF($B1755="","",IFERROR(INDEX(PM_Subcategory,MATCH($B1755,PM_ID,0)),""))</f>
        <v/>
      </c>
      <c r="F1755" s="8">
        <f>IF($B1755="","",IFERROR(INDEX(PM_Brand,MATCH($B1755,PM_ID,0)),""))</f>
        <v/>
      </c>
      <c r="G1755" s="8">
        <f>IF($B1755="","",IFERROR(INDEX(PM_Model,MATCH($B1755,PM_ID,0)),""))</f>
        <v/>
      </c>
      <c r="H1755" s="5" t="n"/>
      <c r="I1755" s="10" t="n"/>
      <c r="J1755" s="9" t="n"/>
      <c r="K1755" s="5" t="n"/>
      <c r="L1755" s="5" t="n"/>
      <c r="M1755" s="5" t="n"/>
      <c r="N1755" s="5" t="n"/>
      <c r="O1755" s="8">
        <f>IF($B1755="","",IF(AND($A1755&lt;&gt;"",COUNTIF(INV_ID,$A1755)&gt;1),"⚠ this Unit ID already exists",IF(AND($H1755&lt;&gt;"",COUNTIF(INV_Serial,$H1755)&gt;1),"⚠ this serial already exists",IF(COUNTIFS(INV_Product,$B1755,INV_No,$C1755)&gt;1,"⚠ piece number reused",""))))</f>
        <v/>
      </c>
      <c r="P1755" s="5" t="n"/>
    </row>
    <row r="1756">
      <c r="A1756" s="8">
        <f>IF(OR($B1756="",$C1756=""),"",IFERROR(INDEX(PM_Short,MATCH($B1756,PM_ID,0))&amp;"-"&amp;TEXT($C1756,"00"),"?? no such product"))</f>
        <v/>
      </c>
      <c r="B1756" s="5" t="n"/>
      <c r="C1756" s="5" t="n"/>
      <c r="D1756" s="8">
        <f>IF($B1756="","",IFERROR(INDEX(PM_Category,MATCH($B1756,PM_ID,0)),""))</f>
        <v/>
      </c>
      <c r="E1756" s="8">
        <f>IF($B1756="","",IFERROR(INDEX(PM_Subcategory,MATCH($B1756,PM_ID,0)),""))</f>
        <v/>
      </c>
      <c r="F1756" s="8">
        <f>IF($B1756="","",IFERROR(INDEX(PM_Brand,MATCH($B1756,PM_ID,0)),""))</f>
        <v/>
      </c>
      <c r="G1756" s="8">
        <f>IF($B1756="","",IFERROR(INDEX(PM_Model,MATCH($B1756,PM_ID,0)),""))</f>
        <v/>
      </c>
      <c r="H1756" s="5" t="n"/>
      <c r="I1756" s="10" t="n"/>
      <c r="J1756" s="9" t="n"/>
      <c r="K1756" s="5" t="n"/>
      <c r="L1756" s="5" t="n"/>
      <c r="M1756" s="5" t="n"/>
      <c r="N1756" s="5" t="n"/>
      <c r="O1756" s="8">
        <f>IF($B1756="","",IF(AND($A1756&lt;&gt;"",COUNTIF(INV_ID,$A1756)&gt;1),"⚠ this Unit ID already exists",IF(AND($H1756&lt;&gt;"",COUNTIF(INV_Serial,$H1756)&gt;1),"⚠ this serial already exists",IF(COUNTIFS(INV_Product,$B1756,INV_No,$C1756)&gt;1,"⚠ piece number reused",""))))</f>
        <v/>
      </c>
      <c r="P1756" s="5" t="n"/>
    </row>
    <row r="1757">
      <c r="A1757" s="8">
        <f>IF(OR($B1757="",$C1757=""),"",IFERROR(INDEX(PM_Short,MATCH($B1757,PM_ID,0))&amp;"-"&amp;TEXT($C1757,"00"),"?? no such product"))</f>
        <v/>
      </c>
      <c r="B1757" s="5" t="n"/>
      <c r="C1757" s="5" t="n"/>
      <c r="D1757" s="8">
        <f>IF($B1757="","",IFERROR(INDEX(PM_Category,MATCH($B1757,PM_ID,0)),""))</f>
        <v/>
      </c>
      <c r="E1757" s="8">
        <f>IF($B1757="","",IFERROR(INDEX(PM_Subcategory,MATCH($B1757,PM_ID,0)),""))</f>
        <v/>
      </c>
      <c r="F1757" s="8">
        <f>IF($B1757="","",IFERROR(INDEX(PM_Brand,MATCH($B1757,PM_ID,0)),""))</f>
        <v/>
      </c>
      <c r="G1757" s="8">
        <f>IF($B1757="","",IFERROR(INDEX(PM_Model,MATCH($B1757,PM_ID,0)),""))</f>
        <v/>
      </c>
      <c r="H1757" s="5" t="n"/>
      <c r="I1757" s="10" t="n"/>
      <c r="J1757" s="9" t="n"/>
      <c r="K1757" s="5" t="n"/>
      <c r="L1757" s="5" t="n"/>
      <c r="M1757" s="5" t="n"/>
      <c r="N1757" s="5" t="n"/>
      <c r="O1757" s="8">
        <f>IF($B1757="","",IF(AND($A1757&lt;&gt;"",COUNTIF(INV_ID,$A1757)&gt;1),"⚠ this Unit ID already exists",IF(AND($H1757&lt;&gt;"",COUNTIF(INV_Serial,$H1757)&gt;1),"⚠ this serial already exists",IF(COUNTIFS(INV_Product,$B1757,INV_No,$C1757)&gt;1,"⚠ piece number reused",""))))</f>
        <v/>
      </c>
      <c r="P1757" s="5" t="n"/>
    </row>
    <row r="1758">
      <c r="A1758" s="8">
        <f>IF(OR($B1758="",$C1758=""),"",IFERROR(INDEX(PM_Short,MATCH($B1758,PM_ID,0))&amp;"-"&amp;TEXT($C1758,"00"),"?? no such product"))</f>
        <v/>
      </c>
      <c r="B1758" s="5" t="n"/>
      <c r="C1758" s="5" t="n"/>
      <c r="D1758" s="8">
        <f>IF($B1758="","",IFERROR(INDEX(PM_Category,MATCH($B1758,PM_ID,0)),""))</f>
        <v/>
      </c>
      <c r="E1758" s="8">
        <f>IF($B1758="","",IFERROR(INDEX(PM_Subcategory,MATCH($B1758,PM_ID,0)),""))</f>
        <v/>
      </c>
      <c r="F1758" s="8">
        <f>IF($B1758="","",IFERROR(INDEX(PM_Brand,MATCH($B1758,PM_ID,0)),""))</f>
        <v/>
      </c>
      <c r="G1758" s="8">
        <f>IF($B1758="","",IFERROR(INDEX(PM_Model,MATCH($B1758,PM_ID,0)),""))</f>
        <v/>
      </c>
      <c r="H1758" s="5" t="n"/>
      <c r="I1758" s="10" t="n"/>
      <c r="J1758" s="9" t="n"/>
      <c r="K1758" s="5" t="n"/>
      <c r="L1758" s="5" t="n"/>
      <c r="M1758" s="5" t="n"/>
      <c r="N1758" s="5" t="n"/>
      <c r="O1758" s="8">
        <f>IF($B1758="","",IF(AND($A1758&lt;&gt;"",COUNTIF(INV_ID,$A1758)&gt;1),"⚠ this Unit ID already exists",IF(AND($H1758&lt;&gt;"",COUNTIF(INV_Serial,$H1758)&gt;1),"⚠ this serial already exists",IF(COUNTIFS(INV_Product,$B1758,INV_No,$C1758)&gt;1,"⚠ piece number reused",""))))</f>
        <v/>
      </c>
      <c r="P1758" s="5" t="n"/>
    </row>
    <row r="1759">
      <c r="A1759" s="8">
        <f>IF(OR($B1759="",$C1759=""),"",IFERROR(INDEX(PM_Short,MATCH($B1759,PM_ID,0))&amp;"-"&amp;TEXT($C1759,"00"),"?? no such product"))</f>
        <v/>
      </c>
      <c r="B1759" s="5" t="n"/>
      <c r="C1759" s="5" t="n"/>
      <c r="D1759" s="8">
        <f>IF($B1759="","",IFERROR(INDEX(PM_Category,MATCH($B1759,PM_ID,0)),""))</f>
        <v/>
      </c>
      <c r="E1759" s="8">
        <f>IF($B1759="","",IFERROR(INDEX(PM_Subcategory,MATCH($B1759,PM_ID,0)),""))</f>
        <v/>
      </c>
      <c r="F1759" s="8">
        <f>IF($B1759="","",IFERROR(INDEX(PM_Brand,MATCH($B1759,PM_ID,0)),""))</f>
        <v/>
      </c>
      <c r="G1759" s="8">
        <f>IF($B1759="","",IFERROR(INDEX(PM_Model,MATCH($B1759,PM_ID,0)),""))</f>
        <v/>
      </c>
      <c r="H1759" s="5" t="n"/>
      <c r="I1759" s="10" t="n"/>
      <c r="J1759" s="9" t="n"/>
      <c r="K1759" s="5" t="n"/>
      <c r="L1759" s="5" t="n"/>
      <c r="M1759" s="5" t="n"/>
      <c r="N1759" s="5" t="n"/>
      <c r="O1759" s="8">
        <f>IF($B1759="","",IF(AND($A1759&lt;&gt;"",COUNTIF(INV_ID,$A1759)&gt;1),"⚠ this Unit ID already exists",IF(AND($H1759&lt;&gt;"",COUNTIF(INV_Serial,$H1759)&gt;1),"⚠ this serial already exists",IF(COUNTIFS(INV_Product,$B1759,INV_No,$C1759)&gt;1,"⚠ piece number reused",""))))</f>
        <v/>
      </c>
      <c r="P1759" s="5" t="n"/>
    </row>
    <row r="1760">
      <c r="A1760" s="8">
        <f>IF(OR($B1760="",$C1760=""),"",IFERROR(INDEX(PM_Short,MATCH($B1760,PM_ID,0))&amp;"-"&amp;TEXT($C1760,"00"),"?? no such product"))</f>
        <v/>
      </c>
      <c r="B1760" s="5" t="n"/>
      <c r="C1760" s="5" t="n"/>
      <c r="D1760" s="8">
        <f>IF($B1760="","",IFERROR(INDEX(PM_Category,MATCH($B1760,PM_ID,0)),""))</f>
        <v/>
      </c>
      <c r="E1760" s="8">
        <f>IF($B1760="","",IFERROR(INDEX(PM_Subcategory,MATCH($B1760,PM_ID,0)),""))</f>
        <v/>
      </c>
      <c r="F1760" s="8">
        <f>IF($B1760="","",IFERROR(INDEX(PM_Brand,MATCH($B1760,PM_ID,0)),""))</f>
        <v/>
      </c>
      <c r="G1760" s="8">
        <f>IF($B1760="","",IFERROR(INDEX(PM_Model,MATCH($B1760,PM_ID,0)),""))</f>
        <v/>
      </c>
      <c r="H1760" s="5" t="n"/>
      <c r="I1760" s="10" t="n"/>
      <c r="J1760" s="9" t="n"/>
      <c r="K1760" s="5" t="n"/>
      <c r="L1760" s="5" t="n"/>
      <c r="M1760" s="5" t="n"/>
      <c r="N1760" s="5" t="n"/>
      <c r="O1760" s="8">
        <f>IF($B1760="","",IF(AND($A1760&lt;&gt;"",COUNTIF(INV_ID,$A1760)&gt;1),"⚠ this Unit ID already exists",IF(AND($H1760&lt;&gt;"",COUNTIF(INV_Serial,$H1760)&gt;1),"⚠ this serial already exists",IF(COUNTIFS(INV_Product,$B1760,INV_No,$C1760)&gt;1,"⚠ piece number reused",""))))</f>
        <v/>
      </c>
      <c r="P1760" s="5" t="n"/>
    </row>
    <row r="1761">
      <c r="A1761" s="8">
        <f>IF(OR($B1761="",$C1761=""),"",IFERROR(INDEX(PM_Short,MATCH($B1761,PM_ID,0))&amp;"-"&amp;TEXT($C1761,"00"),"?? no such product"))</f>
        <v/>
      </c>
      <c r="B1761" s="5" t="n"/>
      <c r="C1761" s="5" t="n"/>
      <c r="D1761" s="8">
        <f>IF($B1761="","",IFERROR(INDEX(PM_Category,MATCH($B1761,PM_ID,0)),""))</f>
        <v/>
      </c>
      <c r="E1761" s="8">
        <f>IF($B1761="","",IFERROR(INDEX(PM_Subcategory,MATCH($B1761,PM_ID,0)),""))</f>
        <v/>
      </c>
      <c r="F1761" s="8">
        <f>IF($B1761="","",IFERROR(INDEX(PM_Brand,MATCH($B1761,PM_ID,0)),""))</f>
        <v/>
      </c>
      <c r="G1761" s="8">
        <f>IF($B1761="","",IFERROR(INDEX(PM_Model,MATCH($B1761,PM_ID,0)),""))</f>
        <v/>
      </c>
      <c r="H1761" s="5" t="n"/>
      <c r="I1761" s="10" t="n"/>
      <c r="J1761" s="9" t="n"/>
      <c r="K1761" s="5" t="n"/>
      <c r="L1761" s="5" t="n"/>
      <c r="M1761" s="5" t="n"/>
      <c r="N1761" s="5" t="n"/>
      <c r="O1761" s="8">
        <f>IF($B1761="","",IF(AND($A1761&lt;&gt;"",COUNTIF(INV_ID,$A1761)&gt;1),"⚠ this Unit ID already exists",IF(AND($H1761&lt;&gt;"",COUNTIF(INV_Serial,$H1761)&gt;1),"⚠ this serial already exists",IF(COUNTIFS(INV_Product,$B1761,INV_No,$C1761)&gt;1,"⚠ piece number reused",""))))</f>
        <v/>
      </c>
      <c r="P1761" s="5" t="n"/>
    </row>
    <row r="1762">
      <c r="A1762" s="8">
        <f>IF(OR($B1762="",$C1762=""),"",IFERROR(INDEX(PM_Short,MATCH($B1762,PM_ID,0))&amp;"-"&amp;TEXT($C1762,"00"),"?? no such product"))</f>
        <v/>
      </c>
      <c r="B1762" s="5" t="n"/>
      <c r="C1762" s="5" t="n"/>
      <c r="D1762" s="8">
        <f>IF($B1762="","",IFERROR(INDEX(PM_Category,MATCH($B1762,PM_ID,0)),""))</f>
        <v/>
      </c>
      <c r="E1762" s="8">
        <f>IF($B1762="","",IFERROR(INDEX(PM_Subcategory,MATCH($B1762,PM_ID,0)),""))</f>
        <v/>
      </c>
      <c r="F1762" s="8">
        <f>IF($B1762="","",IFERROR(INDEX(PM_Brand,MATCH($B1762,PM_ID,0)),""))</f>
        <v/>
      </c>
      <c r="G1762" s="8">
        <f>IF($B1762="","",IFERROR(INDEX(PM_Model,MATCH($B1762,PM_ID,0)),""))</f>
        <v/>
      </c>
      <c r="H1762" s="5" t="n"/>
      <c r="I1762" s="10" t="n"/>
      <c r="J1762" s="9" t="n"/>
      <c r="K1762" s="5" t="n"/>
      <c r="L1762" s="5" t="n"/>
      <c r="M1762" s="5" t="n"/>
      <c r="N1762" s="5" t="n"/>
      <c r="O1762" s="8">
        <f>IF($B1762="","",IF(AND($A1762&lt;&gt;"",COUNTIF(INV_ID,$A1762)&gt;1),"⚠ this Unit ID already exists",IF(AND($H1762&lt;&gt;"",COUNTIF(INV_Serial,$H1762)&gt;1),"⚠ this serial already exists",IF(COUNTIFS(INV_Product,$B1762,INV_No,$C1762)&gt;1,"⚠ piece number reused",""))))</f>
        <v/>
      </c>
      <c r="P1762" s="5" t="n"/>
    </row>
    <row r="1763">
      <c r="A1763" s="8">
        <f>IF(OR($B1763="",$C1763=""),"",IFERROR(INDEX(PM_Short,MATCH($B1763,PM_ID,0))&amp;"-"&amp;TEXT($C1763,"00"),"?? no such product"))</f>
        <v/>
      </c>
      <c r="B1763" s="5" t="n"/>
      <c r="C1763" s="5" t="n"/>
      <c r="D1763" s="8">
        <f>IF($B1763="","",IFERROR(INDEX(PM_Category,MATCH($B1763,PM_ID,0)),""))</f>
        <v/>
      </c>
      <c r="E1763" s="8">
        <f>IF($B1763="","",IFERROR(INDEX(PM_Subcategory,MATCH($B1763,PM_ID,0)),""))</f>
        <v/>
      </c>
      <c r="F1763" s="8">
        <f>IF($B1763="","",IFERROR(INDEX(PM_Brand,MATCH($B1763,PM_ID,0)),""))</f>
        <v/>
      </c>
      <c r="G1763" s="8">
        <f>IF($B1763="","",IFERROR(INDEX(PM_Model,MATCH($B1763,PM_ID,0)),""))</f>
        <v/>
      </c>
      <c r="H1763" s="5" t="n"/>
      <c r="I1763" s="10" t="n"/>
      <c r="J1763" s="9" t="n"/>
      <c r="K1763" s="5" t="n"/>
      <c r="L1763" s="5" t="n"/>
      <c r="M1763" s="5" t="n"/>
      <c r="N1763" s="5" t="n"/>
      <c r="O1763" s="8">
        <f>IF($B1763="","",IF(AND($A1763&lt;&gt;"",COUNTIF(INV_ID,$A1763)&gt;1),"⚠ this Unit ID already exists",IF(AND($H1763&lt;&gt;"",COUNTIF(INV_Serial,$H1763)&gt;1),"⚠ this serial already exists",IF(COUNTIFS(INV_Product,$B1763,INV_No,$C1763)&gt;1,"⚠ piece number reused",""))))</f>
        <v/>
      </c>
      <c r="P1763" s="5" t="n"/>
    </row>
    <row r="1764">
      <c r="A1764" s="8">
        <f>IF(OR($B1764="",$C1764=""),"",IFERROR(INDEX(PM_Short,MATCH($B1764,PM_ID,0))&amp;"-"&amp;TEXT($C1764,"00"),"?? no such product"))</f>
        <v/>
      </c>
      <c r="B1764" s="5" t="n"/>
      <c r="C1764" s="5" t="n"/>
      <c r="D1764" s="8">
        <f>IF($B1764="","",IFERROR(INDEX(PM_Category,MATCH($B1764,PM_ID,0)),""))</f>
        <v/>
      </c>
      <c r="E1764" s="8">
        <f>IF($B1764="","",IFERROR(INDEX(PM_Subcategory,MATCH($B1764,PM_ID,0)),""))</f>
        <v/>
      </c>
      <c r="F1764" s="8">
        <f>IF($B1764="","",IFERROR(INDEX(PM_Brand,MATCH($B1764,PM_ID,0)),""))</f>
        <v/>
      </c>
      <c r="G1764" s="8">
        <f>IF($B1764="","",IFERROR(INDEX(PM_Model,MATCH($B1764,PM_ID,0)),""))</f>
        <v/>
      </c>
      <c r="H1764" s="5" t="n"/>
      <c r="I1764" s="10" t="n"/>
      <c r="J1764" s="9" t="n"/>
      <c r="K1764" s="5" t="n"/>
      <c r="L1764" s="5" t="n"/>
      <c r="M1764" s="5" t="n"/>
      <c r="N1764" s="5" t="n"/>
      <c r="O1764" s="8">
        <f>IF($B1764="","",IF(AND($A1764&lt;&gt;"",COUNTIF(INV_ID,$A1764)&gt;1),"⚠ this Unit ID already exists",IF(AND($H1764&lt;&gt;"",COUNTIF(INV_Serial,$H1764)&gt;1),"⚠ this serial already exists",IF(COUNTIFS(INV_Product,$B1764,INV_No,$C1764)&gt;1,"⚠ piece number reused",""))))</f>
        <v/>
      </c>
      <c r="P1764" s="5" t="n"/>
    </row>
    <row r="1765">
      <c r="A1765" s="8">
        <f>IF(OR($B1765="",$C1765=""),"",IFERROR(INDEX(PM_Short,MATCH($B1765,PM_ID,0))&amp;"-"&amp;TEXT($C1765,"00"),"?? no such product"))</f>
        <v/>
      </c>
      <c r="B1765" s="5" t="n"/>
      <c r="C1765" s="5" t="n"/>
      <c r="D1765" s="8">
        <f>IF($B1765="","",IFERROR(INDEX(PM_Category,MATCH($B1765,PM_ID,0)),""))</f>
        <v/>
      </c>
      <c r="E1765" s="8">
        <f>IF($B1765="","",IFERROR(INDEX(PM_Subcategory,MATCH($B1765,PM_ID,0)),""))</f>
        <v/>
      </c>
      <c r="F1765" s="8">
        <f>IF($B1765="","",IFERROR(INDEX(PM_Brand,MATCH($B1765,PM_ID,0)),""))</f>
        <v/>
      </c>
      <c r="G1765" s="8">
        <f>IF($B1765="","",IFERROR(INDEX(PM_Model,MATCH($B1765,PM_ID,0)),""))</f>
        <v/>
      </c>
      <c r="H1765" s="5" t="n"/>
      <c r="I1765" s="10" t="n"/>
      <c r="J1765" s="9" t="n"/>
      <c r="K1765" s="5" t="n"/>
      <c r="L1765" s="5" t="n"/>
      <c r="M1765" s="5" t="n"/>
      <c r="N1765" s="5" t="n"/>
      <c r="O1765" s="8">
        <f>IF($B1765="","",IF(AND($A1765&lt;&gt;"",COUNTIF(INV_ID,$A1765)&gt;1),"⚠ this Unit ID already exists",IF(AND($H1765&lt;&gt;"",COUNTIF(INV_Serial,$H1765)&gt;1),"⚠ this serial already exists",IF(COUNTIFS(INV_Product,$B1765,INV_No,$C1765)&gt;1,"⚠ piece number reused",""))))</f>
        <v/>
      </c>
      <c r="P1765" s="5" t="n"/>
    </row>
    <row r="1766">
      <c r="A1766" s="8">
        <f>IF(OR($B1766="",$C1766=""),"",IFERROR(INDEX(PM_Short,MATCH($B1766,PM_ID,0))&amp;"-"&amp;TEXT($C1766,"00"),"?? no such product"))</f>
        <v/>
      </c>
      <c r="B1766" s="5" t="n"/>
      <c r="C1766" s="5" t="n"/>
      <c r="D1766" s="8">
        <f>IF($B1766="","",IFERROR(INDEX(PM_Category,MATCH($B1766,PM_ID,0)),""))</f>
        <v/>
      </c>
      <c r="E1766" s="8">
        <f>IF($B1766="","",IFERROR(INDEX(PM_Subcategory,MATCH($B1766,PM_ID,0)),""))</f>
        <v/>
      </c>
      <c r="F1766" s="8">
        <f>IF($B1766="","",IFERROR(INDEX(PM_Brand,MATCH($B1766,PM_ID,0)),""))</f>
        <v/>
      </c>
      <c r="G1766" s="8">
        <f>IF($B1766="","",IFERROR(INDEX(PM_Model,MATCH($B1766,PM_ID,0)),""))</f>
        <v/>
      </c>
      <c r="H1766" s="5" t="n"/>
      <c r="I1766" s="10" t="n"/>
      <c r="J1766" s="9" t="n"/>
      <c r="K1766" s="5" t="n"/>
      <c r="L1766" s="5" t="n"/>
      <c r="M1766" s="5" t="n"/>
      <c r="N1766" s="5" t="n"/>
      <c r="O1766" s="8">
        <f>IF($B1766="","",IF(AND($A1766&lt;&gt;"",COUNTIF(INV_ID,$A1766)&gt;1),"⚠ this Unit ID already exists",IF(AND($H1766&lt;&gt;"",COUNTIF(INV_Serial,$H1766)&gt;1),"⚠ this serial already exists",IF(COUNTIFS(INV_Product,$B1766,INV_No,$C1766)&gt;1,"⚠ piece number reused",""))))</f>
        <v/>
      </c>
      <c r="P1766" s="5" t="n"/>
    </row>
    <row r="1767">
      <c r="A1767" s="8">
        <f>IF(OR($B1767="",$C1767=""),"",IFERROR(INDEX(PM_Short,MATCH($B1767,PM_ID,0))&amp;"-"&amp;TEXT($C1767,"00"),"?? no such product"))</f>
        <v/>
      </c>
      <c r="B1767" s="5" t="n"/>
      <c r="C1767" s="5" t="n"/>
      <c r="D1767" s="8">
        <f>IF($B1767="","",IFERROR(INDEX(PM_Category,MATCH($B1767,PM_ID,0)),""))</f>
        <v/>
      </c>
      <c r="E1767" s="8">
        <f>IF($B1767="","",IFERROR(INDEX(PM_Subcategory,MATCH($B1767,PM_ID,0)),""))</f>
        <v/>
      </c>
      <c r="F1767" s="8">
        <f>IF($B1767="","",IFERROR(INDEX(PM_Brand,MATCH($B1767,PM_ID,0)),""))</f>
        <v/>
      </c>
      <c r="G1767" s="8">
        <f>IF($B1767="","",IFERROR(INDEX(PM_Model,MATCH($B1767,PM_ID,0)),""))</f>
        <v/>
      </c>
      <c r="H1767" s="5" t="n"/>
      <c r="I1767" s="10" t="n"/>
      <c r="J1767" s="9" t="n"/>
      <c r="K1767" s="5" t="n"/>
      <c r="L1767" s="5" t="n"/>
      <c r="M1767" s="5" t="n"/>
      <c r="N1767" s="5" t="n"/>
      <c r="O1767" s="8">
        <f>IF($B1767="","",IF(AND($A1767&lt;&gt;"",COUNTIF(INV_ID,$A1767)&gt;1),"⚠ this Unit ID already exists",IF(AND($H1767&lt;&gt;"",COUNTIF(INV_Serial,$H1767)&gt;1),"⚠ this serial already exists",IF(COUNTIFS(INV_Product,$B1767,INV_No,$C1767)&gt;1,"⚠ piece number reused",""))))</f>
        <v/>
      </c>
      <c r="P1767" s="5" t="n"/>
    </row>
    <row r="1768">
      <c r="A1768" s="8">
        <f>IF(OR($B1768="",$C1768=""),"",IFERROR(INDEX(PM_Short,MATCH($B1768,PM_ID,0))&amp;"-"&amp;TEXT($C1768,"00"),"?? no such product"))</f>
        <v/>
      </c>
      <c r="B1768" s="5" t="n"/>
      <c r="C1768" s="5" t="n"/>
      <c r="D1768" s="8">
        <f>IF($B1768="","",IFERROR(INDEX(PM_Category,MATCH($B1768,PM_ID,0)),""))</f>
        <v/>
      </c>
      <c r="E1768" s="8">
        <f>IF($B1768="","",IFERROR(INDEX(PM_Subcategory,MATCH($B1768,PM_ID,0)),""))</f>
        <v/>
      </c>
      <c r="F1768" s="8">
        <f>IF($B1768="","",IFERROR(INDEX(PM_Brand,MATCH($B1768,PM_ID,0)),""))</f>
        <v/>
      </c>
      <c r="G1768" s="8">
        <f>IF($B1768="","",IFERROR(INDEX(PM_Model,MATCH($B1768,PM_ID,0)),""))</f>
        <v/>
      </c>
      <c r="H1768" s="5" t="n"/>
      <c r="I1768" s="10" t="n"/>
      <c r="J1768" s="9" t="n"/>
      <c r="K1768" s="5" t="n"/>
      <c r="L1768" s="5" t="n"/>
      <c r="M1768" s="5" t="n"/>
      <c r="N1768" s="5" t="n"/>
      <c r="O1768" s="8">
        <f>IF($B1768="","",IF(AND($A1768&lt;&gt;"",COUNTIF(INV_ID,$A1768)&gt;1),"⚠ this Unit ID already exists",IF(AND($H1768&lt;&gt;"",COUNTIF(INV_Serial,$H1768)&gt;1),"⚠ this serial already exists",IF(COUNTIFS(INV_Product,$B1768,INV_No,$C1768)&gt;1,"⚠ piece number reused",""))))</f>
        <v/>
      </c>
      <c r="P1768" s="5" t="n"/>
    </row>
    <row r="1769">
      <c r="A1769" s="8">
        <f>IF(OR($B1769="",$C1769=""),"",IFERROR(INDEX(PM_Short,MATCH($B1769,PM_ID,0))&amp;"-"&amp;TEXT($C1769,"00"),"?? no such product"))</f>
        <v/>
      </c>
      <c r="B1769" s="5" t="n"/>
      <c r="C1769" s="5" t="n"/>
      <c r="D1769" s="8">
        <f>IF($B1769="","",IFERROR(INDEX(PM_Category,MATCH($B1769,PM_ID,0)),""))</f>
        <v/>
      </c>
      <c r="E1769" s="8">
        <f>IF($B1769="","",IFERROR(INDEX(PM_Subcategory,MATCH($B1769,PM_ID,0)),""))</f>
        <v/>
      </c>
      <c r="F1769" s="8">
        <f>IF($B1769="","",IFERROR(INDEX(PM_Brand,MATCH($B1769,PM_ID,0)),""))</f>
        <v/>
      </c>
      <c r="G1769" s="8">
        <f>IF($B1769="","",IFERROR(INDEX(PM_Model,MATCH($B1769,PM_ID,0)),""))</f>
        <v/>
      </c>
      <c r="H1769" s="5" t="n"/>
      <c r="I1769" s="10" t="n"/>
      <c r="J1769" s="9" t="n"/>
      <c r="K1769" s="5" t="n"/>
      <c r="L1769" s="5" t="n"/>
      <c r="M1769" s="5" t="n"/>
      <c r="N1769" s="5" t="n"/>
      <c r="O1769" s="8">
        <f>IF($B1769="","",IF(AND($A1769&lt;&gt;"",COUNTIF(INV_ID,$A1769)&gt;1),"⚠ this Unit ID already exists",IF(AND($H1769&lt;&gt;"",COUNTIF(INV_Serial,$H1769)&gt;1),"⚠ this serial already exists",IF(COUNTIFS(INV_Product,$B1769,INV_No,$C1769)&gt;1,"⚠ piece number reused",""))))</f>
        <v/>
      </c>
      <c r="P1769" s="5" t="n"/>
    </row>
    <row r="1770">
      <c r="A1770" s="8">
        <f>IF(OR($B1770="",$C1770=""),"",IFERROR(INDEX(PM_Short,MATCH($B1770,PM_ID,0))&amp;"-"&amp;TEXT($C1770,"00"),"?? no such product"))</f>
        <v/>
      </c>
      <c r="B1770" s="5" t="n"/>
      <c r="C1770" s="5" t="n"/>
      <c r="D1770" s="8">
        <f>IF($B1770="","",IFERROR(INDEX(PM_Category,MATCH($B1770,PM_ID,0)),""))</f>
        <v/>
      </c>
      <c r="E1770" s="8">
        <f>IF($B1770="","",IFERROR(INDEX(PM_Subcategory,MATCH($B1770,PM_ID,0)),""))</f>
        <v/>
      </c>
      <c r="F1770" s="8">
        <f>IF($B1770="","",IFERROR(INDEX(PM_Brand,MATCH($B1770,PM_ID,0)),""))</f>
        <v/>
      </c>
      <c r="G1770" s="8">
        <f>IF($B1770="","",IFERROR(INDEX(PM_Model,MATCH($B1770,PM_ID,0)),""))</f>
        <v/>
      </c>
      <c r="H1770" s="5" t="n"/>
      <c r="I1770" s="10" t="n"/>
      <c r="J1770" s="9" t="n"/>
      <c r="K1770" s="5" t="n"/>
      <c r="L1770" s="5" t="n"/>
      <c r="M1770" s="5" t="n"/>
      <c r="N1770" s="5" t="n"/>
      <c r="O1770" s="8">
        <f>IF($B1770="","",IF(AND($A1770&lt;&gt;"",COUNTIF(INV_ID,$A1770)&gt;1),"⚠ this Unit ID already exists",IF(AND($H1770&lt;&gt;"",COUNTIF(INV_Serial,$H1770)&gt;1),"⚠ this serial already exists",IF(COUNTIFS(INV_Product,$B1770,INV_No,$C1770)&gt;1,"⚠ piece number reused",""))))</f>
        <v/>
      </c>
      <c r="P1770" s="5" t="n"/>
    </row>
    <row r="1771">
      <c r="A1771" s="8">
        <f>IF(OR($B1771="",$C1771=""),"",IFERROR(INDEX(PM_Short,MATCH($B1771,PM_ID,0))&amp;"-"&amp;TEXT($C1771,"00"),"?? no such product"))</f>
        <v/>
      </c>
      <c r="B1771" s="5" t="n"/>
      <c r="C1771" s="5" t="n"/>
      <c r="D1771" s="8">
        <f>IF($B1771="","",IFERROR(INDEX(PM_Category,MATCH($B1771,PM_ID,0)),""))</f>
        <v/>
      </c>
      <c r="E1771" s="8">
        <f>IF($B1771="","",IFERROR(INDEX(PM_Subcategory,MATCH($B1771,PM_ID,0)),""))</f>
        <v/>
      </c>
      <c r="F1771" s="8">
        <f>IF($B1771="","",IFERROR(INDEX(PM_Brand,MATCH($B1771,PM_ID,0)),""))</f>
        <v/>
      </c>
      <c r="G1771" s="8">
        <f>IF($B1771="","",IFERROR(INDEX(PM_Model,MATCH($B1771,PM_ID,0)),""))</f>
        <v/>
      </c>
      <c r="H1771" s="5" t="n"/>
      <c r="I1771" s="10" t="n"/>
      <c r="J1771" s="9" t="n"/>
      <c r="K1771" s="5" t="n"/>
      <c r="L1771" s="5" t="n"/>
      <c r="M1771" s="5" t="n"/>
      <c r="N1771" s="5" t="n"/>
      <c r="O1771" s="8">
        <f>IF($B1771="","",IF(AND($A1771&lt;&gt;"",COUNTIF(INV_ID,$A1771)&gt;1),"⚠ this Unit ID already exists",IF(AND($H1771&lt;&gt;"",COUNTIF(INV_Serial,$H1771)&gt;1),"⚠ this serial already exists",IF(COUNTIFS(INV_Product,$B1771,INV_No,$C1771)&gt;1,"⚠ piece number reused",""))))</f>
        <v/>
      </c>
      <c r="P1771" s="5" t="n"/>
    </row>
    <row r="1772">
      <c r="A1772" s="8">
        <f>IF(OR($B1772="",$C1772=""),"",IFERROR(INDEX(PM_Short,MATCH($B1772,PM_ID,0))&amp;"-"&amp;TEXT($C1772,"00"),"?? no such product"))</f>
        <v/>
      </c>
      <c r="B1772" s="5" t="n"/>
      <c r="C1772" s="5" t="n"/>
      <c r="D1772" s="8">
        <f>IF($B1772="","",IFERROR(INDEX(PM_Category,MATCH($B1772,PM_ID,0)),""))</f>
        <v/>
      </c>
      <c r="E1772" s="8">
        <f>IF($B1772="","",IFERROR(INDEX(PM_Subcategory,MATCH($B1772,PM_ID,0)),""))</f>
        <v/>
      </c>
      <c r="F1772" s="8">
        <f>IF($B1772="","",IFERROR(INDEX(PM_Brand,MATCH($B1772,PM_ID,0)),""))</f>
        <v/>
      </c>
      <c r="G1772" s="8">
        <f>IF($B1772="","",IFERROR(INDEX(PM_Model,MATCH($B1772,PM_ID,0)),""))</f>
        <v/>
      </c>
      <c r="H1772" s="5" t="n"/>
      <c r="I1772" s="10" t="n"/>
      <c r="J1772" s="9" t="n"/>
      <c r="K1772" s="5" t="n"/>
      <c r="L1772" s="5" t="n"/>
      <c r="M1772" s="5" t="n"/>
      <c r="N1772" s="5" t="n"/>
      <c r="O1772" s="8">
        <f>IF($B1772="","",IF(AND($A1772&lt;&gt;"",COUNTIF(INV_ID,$A1772)&gt;1),"⚠ this Unit ID already exists",IF(AND($H1772&lt;&gt;"",COUNTIF(INV_Serial,$H1772)&gt;1),"⚠ this serial already exists",IF(COUNTIFS(INV_Product,$B1772,INV_No,$C1772)&gt;1,"⚠ piece number reused",""))))</f>
        <v/>
      </c>
      <c r="P1772" s="5" t="n"/>
    </row>
    <row r="1773">
      <c r="A1773" s="8">
        <f>IF(OR($B1773="",$C1773=""),"",IFERROR(INDEX(PM_Short,MATCH($B1773,PM_ID,0))&amp;"-"&amp;TEXT($C1773,"00"),"?? no such product"))</f>
        <v/>
      </c>
      <c r="B1773" s="5" t="n"/>
      <c r="C1773" s="5" t="n"/>
      <c r="D1773" s="8">
        <f>IF($B1773="","",IFERROR(INDEX(PM_Category,MATCH($B1773,PM_ID,0)),""))</f>
        <v/>
      </c>
      <c r="E1773" s="8">
        <f>IF($B1773="","",IFERROR(INDEX(PM_Subcategory,MATCH($B1773,PM_ID,0)),""))</f>
        <v/>
      </c>
      <c r="F1773" s="8">
        <f>IF($B1773="","",IFERROR(INDEX(PM_Brand,MATCH($B1773,PM_ID,0)),""))</f>
        <v/>
      </c>
      <c r="G1773" s="8">
        <f>IF($B1773="","",IFERROR(INDEX(PM_Model,MATCH($B1773,PM_ID,0)),""))</f>
        <v/>
      </c>
      <c r="H1773" s="5" t="n"/>
      <c r="I1773" s="10" t="n"/>
      <c r="J1773" s="9" t="n"/>
      <c r="K1773" s="5" t="n"/>
      <c r="L1773" s="5" t="n"/>
      <c r="M1773" s="5" t="n"/>
      <c r="N1773" s="5" t="n"/>
      <c r="O1773" s="8">
        <f>IF($B1773="","",IF(AND($A1773&lt;&gt;"",COUNTIF(INV_ID,$A1773)&gt;1),"⚠ this Unit ID already exists",IF(AND($H1773&lt;&gt;"",COUNTIF(INV_Serial,$H1773)&gt;1),"⚠ this serial already exists",IF(COUNTIFS(INV_Product,$B1773,INV_No,$C1773)&gt;1,"⚠ piece number reused",""))))</f>
        <v/>
      </c>
      <c r="P1773" s="5" t="n"/>
    </row>
    <row r="1774">
      <c r="A1774" s="8">
        <f>IF(OR($B1774="",$C1774=""),"",IFERROR(INDEX(PM_Short,MATCH($B1774,PM_ID,0))&amp;"-"&amp;TEXT($C1774,"00"),"?? no such product"))</f>
        <v/>
      </c>
      <c r="B1774" s="5" t="n"/>
      <c r="C1774" s="5" t="n"/>
      <c r="D1774" s="8">
        <f>IF($B1774="","",IFERROR(INDEX(PM_Category,MATCH($B1774,PM_ID,0)),""))</f>
        <v/>
      </c>
      <c r="E1774" s="8">
        <f>IF($B1774="","",IFERROR(INDEX(PM_Subcategory,MATCH($B1774,PM_ID,0)),""))</f>
        <v/>
      </c>
      <c r="F1774" s="8">
        <f>IF($B1774="","",IFERROR(INDEX(PM_Brand,MATCH($B1774,PM_ID,0)),""))</f>
        <v/>
      </c>
      <c r="G1774" s="8">
        <f>IF($B1774="","",IFERROR(INDEX(PM_Model,MATCH($B1774,PM_ID,0)),""))</f>
        <v/>
      </c>
      <c r="H1774" s="5" t="n"/>
      <c r="I1774" s="10" t="n"/>
      <c r="J1774" s="9" t="n"/>
      <c r="K1774" s="5" t="n"/>
      <c r="L1774" s="5" t="n"/>
      <c r="M1774" s="5" t="n"/>
      <c r="N1774" s="5" t="n"/>
      <c r="O1774" s="8">
        <f>IF($B1774="","",IF(AND($A1774&lt;&gt;"",COUNTIF(INV_ID,$A1774)&gt;1),"⚠ this Unit ID already exists",IF(AND($H1774&lt;&gt;"",COUNTIF(INV_Serial,$H1774)&gt;1),"⚠ this serial already exists",IF(COUNTIFS(INV_Product,$B1774,INV_No,$C1774)&gt;1,"⚠ piece number reused",""))))</f>
        <v/>
      </c>
      <c r="P1774" s="5" t="n"/>
    </row>
    <row r="1775">
      <c r="A1775" s="8">
        <f>IF(OR($B1775="",$C1775=""),"",IFERROR(INDEX(PM_Short,MATCH($B1775,PM_ID,0))&amp;"-"&amp;TEXT($C1775,"00"),"?? no such product"))</f>
        <v/>
      </c>
      <c r="B1775" s="5" t="n"/>
      <c r="C1775" s="5" t="n"/>
      <c r="D1775" s="8">
        <f>IF($B1775="","",IFERROR(INDEX(PM_Category,MATCH($B1775,PM_ID,0)),""))</f>
        <v/>
      </c>
      <c r="E1775" s="8">
        <f>IF($B1775="","",IFERROR(INDEX(PM_Subcategory,MATCH($B1775,PM_ID,0)),""))</f>
        <v/>
      </c>
      <c r="F1775" s="8">
        <f>IF($B1775="","",IFERROR(INDEX(PM_Brand,MATCH($B1775,PM_ID,0)),""))</f>
        <v/>
      </c>
      <c r="G1775" s="8">
        <f>IF($B1775="","",IFERROR(INDEX(PM_Model,MATCH($B1775,PM_ID,0)),""))</f>
        <v/>
      </c>
      <c r="H1775" s="5" t="n"/>
      <c r="I1775" s="10" t="n"/>
      <c r="J1775" s="9" t="n"/>
      <c r="K1775" s="5" t="n"/>
      <c r="L1775" s="5" t="n"/>
      <c r="M1775" s="5" t="n"/>
      <c r="N1775" s="5" t="n"/>
      <c r="O1775" s="8">
        <f>IF($B1775="","",IF(AND($A1775&lt;&gt;"",COUNTIF(INV_ID,$A1775)&gt;1),"⚠ this Unit ID already exists",IF(AND($H1775&lt;&gt;"",COUNTIF(INV_Serial,$H1775)&gt;1),"⚠ this serial already exists",IF(COUNTIFS(INV_Product,$B1775,INV_No,$C1775)&gt;1,"⚠ piece number reused",""))))</f>
        <v/>
      </c>
      <c r="P1775" s="5" t="n"/>
    </row>
    <row r="1776">
      <c r="A1776" s="8">
        <f>IF(OR($B1776="",$C1776=""),"",IFERROR(INDEX(PM_Short,MATCH($B1776,PM_ID,0))&amp;"-"&amp;TEXT($C1776,"00"),"?? no such product"))</f>
        <v/>
      </c>
      <c r="B1776" s="5" t="n"/>
      <c r="C1776" s="5" t="n"/>
      <c r="D1776" s="8">
        <f>IF($B1776="","",IFERROR(INDEX(PM_Category,MATCH($B1776,PM_ID,0)),""))</f>
        <v/>
      </c>
      <c r="E1776" s="8">
        <f>IF($B1776="","",IFERROR(INDEX(PM_Subcategory,MATCH($B1776,PM_ID,0)),""))</f>
        <v/>
      </c>
      <c r="F1776" s="8">
        <f>IF($B1776="","",IFERROR(INDEX(PM_Brand,MATCH($B1776,PM_ID,0)),""))</f>
        <v/>
      </c>
      <c r="G1776" s="8">
        <f>IF($B1776="","",IFERROR(INDEX(PM_Model,MATCH($B1776,PM_ID,0)),""))</f>
        <v/>
      </c>
      <c r="H1776" s="5" t="n"/>
      <c r="I1776" s="10" t="n"/>
      <c r="J1776" s="9" t="n"/>
      <c r="K1776" s="5" t="n"/>
      <c r="L1776" s="5" t="n"/>
      <c r="M1776" s="5" t="n"/>
      <c r="N1776" s="5" t="n"/>
      <c r="O1776" s="8">
        <f>IF($B1776="","",IF(AND($A1776&lt;&gt;"",COUNTIF(INV_ID,$A1776)&gt;1),"⚠ this Unit ID already exists",IF(AND($H1776&lt;&gt;"",COUNTIF(INV_Serial,$H1776)&gt;1),"⚠ this serial already exists",IF(COUNTIFS(INV_Product,$B1776,INV_No,$C1776)&gt;1,"⚠ piece number reused",""))))</f>
        <v/>
      </c>
      <c r="P1776" s="5" t="n"/>
    </row>
    <row r="1777">
      <c r="A1777" s="8">
        <f>IF(OR($B1777="",$C1777=""),"",IFERROR(INDEX(PM_Short,MATCH($B1777,PM_ID,0))&amp;"-"&amp;TEXT($C1777,"00"),"?? no such product"))</f>
        <v/>
      </c>
      <c r="B1777" s="5" t="n"/>
      <c r="C1777" s="5" t="n"/>
      <c r="D1777" s="8">
        <f>IF($B1777="","",IFERROR(INDEX(PM_Category,MATCH($B1777,PM_ID,0)),""))</f>
        <v/>
      </c>
      <c r="E1777" s="8">
        <f>IF($B1777="","",IFERROR(INDEX(PM_Subcategory,MATCH($B1777,PM_ID,0)),""))</f>
        <v/>
      </c>
      <c r="F1777" s="8">
        <f>IF($B1777="","",IFERROR(INDEX(PM_Brand,MATCH($B1777,PM_ID,0)),""))</f>
        <v/>
      </c>
      <c r="G1777" s="8">
        <f>IF($B1777="","",IFERROR(INDEX(PM_Model,MATCH($B1777,PM_ID,0)),""))</f>
        <v/>
      </c>
      <c r="H1777" s="5" t="n"/>
      <c r="I1777" s="10" t="n"/>
      <c r="J1777" s="9" t="n"/>
      <c r="K1777" s="5" t="n"/>
      <c r="L1777" s="5" t="n"/>
      <c r="M1777" s="5" t="n"/>
      <c r="N1777" s="5" t="n"/>
      <c r="O1777" s="8">
        <f>IF($B1777="","",IF(AND($A1777&lt;&gt;"",COUNTIF(INV_ID,$A1777)&gt;1),"⚠ this Unit ID already exists",IF(AND($H1777&lt;&gt;"",COUNTIF(INV_Serial,$H1777)&gt;1),"⚠ this serial already exists",IF(COUNTIFS(INV_Product,$B1777,INV_No,$C1777)&gt;1,"⚠ piece number reused",""))))</f>
        <v/>
      </c>
      <c r="P1777" s="5" t="n"/>
    </row>
    <row r="1778">
      <c r="A1778" s="8">
        <f>IF(OR($B1778="",$C1778=""),"",IFERROR(INDEX(PM_Short,MATCH($B1778,PM_ID,0))&amp;"-"&amp;TEXT($C1778,"00"),"?? no such product"))</f>
        <v/>
      </c>
      <c r="B1778" s="5" t="n"/>
      <c r="C1778" s="5" t="n"/>
      <c r="D1778" s="8">
        <f>IF($B1778="","",IFERROR(INDEX(PM_Category,MATCH($B1778,PM_ID,0)),""))</f>
        <v/>
      </c>
      <c r="E1778" s="8">
        <f>IF($B1778="","",IFERROR(INDEX(PM_Subcategory,MATCH($B1778,PM_ID,0)),""))</f>
        <v/>
      </c>
      <c r="F1778" s="8">
        <f>IF($B1778="","",IFERROR(INDEX(PM_Brand,MATCH($B1778,PM_ID,0)),""))</f>
        <v/>
      </c>
      <c r="G1778" s="8">
        <f>IF($B1778="","",IFERROR(INDEX(PM_Model,MATCH($B1778,PM_ID,0)),""))</f>
        <v/>
      </c>
      <c r="H1778" s="5" t="n"/>
      <c r="I1778" s="10" t="n"/>
      <c r="J1778" s="9" t="n"/>
      <c r="K1778" s="5" t="n"/>
      <c r="L1778" s="5" t="n"/>
      <c r="M1778" s="5" t="n"/>
      <c r="N1778" s="5" t="n"/>
      <c r="O1778" s="8">
        <f>IF($B1778="","",IF(AND($A1778&lt;&gt;"",COUNTIF(INV_ID,$A1778)&gt;1),"⚠ this Unit ID already exists",IF(AND($H1778&lt;&gt;"",COUNTIF(INV_Serial,$H1778)&gt;1),"⚠ this serial already exists",IF(COUNTIFS(INV_Product,$B1778,INV_No,$C1778)&gt;1,"⚠ piece number reused",""))))</f>
        <v/>
      </c>
      <c r="P1778" s="5" t="n"/>
    </row>
    <row r="1779">
      <c r="A1779" s="8">
        <f>IF(OR($B1779="",$C1779=""),"",IFERROR(INDEX(PM_Short,MATCH($B1779,PM_ID,0))&amp;"-"&amp;TEXT($C1779,"00"),"?? no such product"))</f>
        <v/>
      </c>
      <c r="B1779" s="5" t="n"/>
      <c r="C1779" s="5" t="n"/>
      <c r="D1779" s="8">
        <f>IF($B1779="","",IFERROR(INDEX(PM_Category,MATCH($B1779,PM_ID,0)),""))</f>
        <v/>
      </c>
      <c r="E1779" s="8">
        <f>IF($B1779="","",IFERROR(INDEX(PM_Subcategory,MATCH($B1779,PM_ID,0)),""))</f>
        <v/>
      </c>
      <c r="F1779" s="8">
        <f>IF($B1779="","",IFERROR(INDEX(PM_Brand,MATCH($B1779,PM_ID,0)),""))</f>
        <v/>
      </c>
      <c r="G1779" s="8">
        <f>IF($B1779="","",IFERROR(INDEX(PM_Model,MATCH($B1779,PM_ID,0)),""))</f>
        <v/>
      </c>
      <c r="H1779" s="5" t="n"/>
      <c r="I1779" s="10" t="n"/>
      <c r="J1779" s="9" t="n"/>
      <c r="K1779" s="5" t="n"/>
      <c r="L1779" s="5" t="n"/>
      <c r="M1779" s="5" t="n"/>
      <c r="N1779" s="5" t="n"/>
      <c r="O1779" s="8">
        <f>IF($B1779="","",IF(AND($A1779&lt;&gt;"",COUNTIF(INV_ID,$A1779)&gt;1),"⚠ this Unit ID already exists",IF(AND($H1779&lt;&gt;"",COUNTIF(INV_Serial,$H1779)&gt;1),"⚠ this serial already exists",IF(COUNTIFS(INV_Product,$B1779,INV_No,$C1779)&gt;1,"⚠ piece number reused",""))))</f>
        <v/>
      </c>
      <c r="P1779" s="5" t="n"/>
    </row>
    <row r="1780">
      <c r="A1780" s="8">
        <f>IF(OR($B1780="",$C1780=""),"",IFERROR(INDEX(PM_Short,MATCH($B1780,PM_ID,0))&amp;"-"&amp;TEXT($C1780,"00"),"?? no such product"))</f>
        <v/>
      </c>
      <c r="B1780" s="5" t="n"/>
      <c r="C1780" s="5" t="n"/>
      <c r="D1780" s="8">
        <f>IF($B1780="","",IFERROR(INDEX(PM_Category,MATCH($B1780,PM_ID,0)),""))</f>
        <v/>
      </c>
      <c r="E1780" s="8">
        <f>IF($B1780="","",IFERROR(INDEX(PM_Subcategory,MATCH($B1780,PM_ID,0)),""))</f>
        <v/>
      </c>
      <c r="F1780" s="8">
        <f>IF($B1780="","",IFERROR(INDEX(PM_Brand,MATCH($B1780,PM_ID,0)),""))</f>
        <v/>
      </c>
      <c r="G1780" s="8">
        <f>IF($B1780="","",IFERROR(INDEX(PM_Model,MATCH($B1780,PM_ID,0)),""))</f>
        <v/>
      </c>
      <c r="H1780" s="5" t="n"/>
      <c r="I1780" s="10" t="n"/>
      <c r="J1780" s="9" t="n"/>
      <c r="K1780" s="5" t="n"/>
      <c r="L1780" s="5" t="n"/>
      <c r="M1780" s="5" t="n"/>
      <c r="N1780" s="5" t="n"/>
      <c r="O1780" s="8">
        <f>IF($B1780="","",IF(AND($A1780&lt;&gt;"",COUNTIF(INV_ID,$A1780)&gt;1),"⚠ this Unit ID already exists",IF(AND($H1780&lt;&gt;"",COUNTIF(INV_Serial,$H1780)&gt;1),"⚠ this serial already exists",IF(COUNTIFS(INV_Product,$B1780,INV_No,$C1780)&gt;1,"⚠ piece number reused",""))))</f>
        <v/>
      </c>
      <c r="P1780" s="5" t="n"/>
    </row>
    <row r="1781">
      <c r="A1781" s="8">
        <f>IF(OR($B1781="",$C1781=""),"",IFERROR(INDEX(PM_Short,MATCH($B1781,PM_ID,0))&amp;"-"&amp;TEXT($C1781,"00"),"?? no such product"))</f>
        <v/>
      </c>
      <c r="B1781" s="5" t="n"/>
      <c r="C1781" s="5" t="n"/>
      <c r="D1781" s="8">
        <f>IF($B1781="","",IFERROR(INDEX(PM_Category,MATCH($B1781,PM_ID,0)),""))</f>
        <v/>
      </c>
      <c r="E1781" s="8">
        <f>IF($B1781="","",IFERROR(INDEX(PM_Subcategory,MATCH($B1781,PM_ID,0)),""))</f>
        <v/>
      </c>
      <c r="F1781" s="8">
        <f>IF($B1781="","",IFERROR(INDEX(PM_Brand,MATCH($B1781,PM_ID,0)),""))</f>
        <v/>
      </c>
      <c r="G1781" s="8">
        <f>IF($B1781="","",IFERROR(INDEX(PM_Model,MATCH($B1781,PM_ID,0)),""))</f>
        <v/>
      </c>
      <c r="H1781" s="5" t="n"/>
      <c r="I1781" s="10" t="n"/>
      <c r="J1781" s="9" t="n"/>
      <c r="K1781" s="5" t="n"/>
      <c r="L1781" s="5" t="n"/>
      <c r="M1781" s="5" t="n"/>
      <c r="N1781" s="5" t="n"/>
      <c r="O1781" s="8">
        <f>IF($B1781="","",IF(AND($A1781&lt;&gt;"",COUNTIF(INV_ID,$A1781)&gt;1),"⚠ this Unit ID already exists",IF(AND($H1781&lt;&gt;"",COUNTIF(INV_Serial,$H1781)&gt;1),"⚠ this serial already exists",IF(COUNTIFS(INV_Product,$B1781,INV_No,$C1781)&gt;1,"⚠ piece number reused",""))))</f>
        <v/>
      </c>
      <c r="P1781" s="5" t="n"/>
    </row>
    <row r="1782">
      <c r="A1782" s="8">
        <f>IF(OR($B1782="",$C1782=""),"",IFERROR(INDEX(PM_Short,MATCH($B1782,PM_ID,0))&amp;"-"&amp;TEXT($C1782,"00"),"?? no such product"))</f>
        <v/>
      </c>
      <c r="B1782" s="5" t="n"/>
      <c r="C1782" s="5" t="n"/>
      <c r="D1782" s="8">
        <f>IF($B1782="","",IFERROR(INDEX(PM_Category,MATCH($B1782,PM_ID,0)),""))</f>
        <v/>
      </c>
      <c r="E1782" s="8">
        <f>IF($B1782="","",IFERROR(INDEX(PM_Subcategory,MATCH($B1782,PM_ID,0)),""))</f>
        <v/>
      </c>
      <c r="F1782" s="8">
        <f>IF($B1782="","",IFERROR(INDEX(PM_Brand,MATCH($B1782,PM_ID,0)),""))</f>
        <v/>
      </c>
      <c r="G1782" s="8">
        <f>IF($B1782="","",IFERROR(INDEX(PM_Model,MATCH($B1782,PM_ID,0)),""))</f>
        <v/>
      </c>
      <c r="H1782" s="5" t="n"/>
      <c r="I1782" s="10" t="n"/>
      <c r="J1782" s="9" t="n"/>
      <c r="K1782" s="5" t="n"/>
      <c r="L1782" s="5" t="n"/>
      <c r="M1782" s="5" t="n"/>
      <c r="N1782" s="5" t="n"/>
      <c r="O1782" s="8">
        <f>IF($B1782="","",IF(AND($A1782&lt;&gt;"",COUNTIF(INV_ID,$A1782)&gt;1),"⚠ this Unit ID already exists",IF(AND($H1782&lt;&gt;"",COUNTIF(INV_Serial,$H1782)&gt;1),"⚠ this serial already exists",IF(COUNTIFS(INV_Product,$B1782,INV_No,$C1782)&gt;1,"⚠ piece number reused",""))))</f>
        <v/>
      </c>
      <c r="P1782" s="5" t="n"/>
    </row>
    <row r="1783">
      <c r="A1783" s="8">
        <f>IF(OR($B1783="",$C1783=""),"",IFERROR(INDEX(PM_Short,MATCH($B1783,PM_ID,0))&amp;"-"&amp;TEXT($C1783,"00"),"?? no such product"))</f>
        <v/>
      </c>
      <c r="B1783" s="5" t="n"/>
      <c r="C1783" s="5" t="n"/>
      <c r="D1783" s="8">
        <f>IF($B1783="","",IFERROR(INDEX(PM_Category,MATCH($B1783,PM_ID,0)),""))</f>
        <v/>
      </c>
      <c r="E1783" s="8">
        <f>IF($B1783="","",IFERROR(INDEX(PM_Subcategory,MATCH($B1783,PM_ID,0)),""))</f>
        <v/>
      </c>
      <c r="F1783" s="8">
        <f>IF($B1783="","",IFERROR(INDEX(PM_Brand,MATCH($B1783,PM_ID,0)),""))</f>
        <v/>
      </c>
      <c r="G1783" s="8">
        <f>IF($B1783="","",IFERROR(INDEX(PM_Model,MATCH($B1783,PM_ID,0)),""))</f>
        <v/>
      </c>
      <c r="H1783" s="5" t="n"/>
      <c r="I1783" s="10" t="n"/>
      <c r="J1783" s="9" t="n"/>
      <c r="K1783" s="5" t="n"/>
      <c r="L1783" s="5" t="n"/>
      <c r="M1783" s="5" t="n"/>
      <c r="N1783" s="5" t="n"/>
      <c r="O1783" s="8">
        <f>IF($B1783="","",IF(AND($A1783&lt;&gt;"",COUNTIF(INV_ID,$A1783)&gt;1),"⚠ this Unit ID already exists",IF(AND($H1783&lt;&gt;"",COUNTIF(INV_Serial,$H1783)&gt;1),"⚠ this serial already exists",IF(COUNTIFS(INV_Product,$B1783,INV_No,$C1783)&gt;1,"⚠ piece number reused",""))))</f>
        <v/>
      </c>
      <c r="P1783" s="5" t="n"/>
    </row>
    <row r="1784">
      <c r="A1784" s="8">
        <f>IF(OR($B1784="",$C1784=""),"",IFERROR(INDEX(PM_Short,MATCH($B1784,PM_ID,0))&amp;"-"&amp;TEXT($C1784,"00"),"?? no such product"))</f>
        <v/>
      </c>
      <c r="B1784" s="5" t="n"/>
      <c r="C1784" s="5" t="n"/>
      <c r="D1784" s="8">
        <f>IF($B1784="","",IFERROR(INDEX(PM_Category,MATCH($B1784,PM_ID,0)),""))</f>
        <v/>
      </c>
      <c r="E1784" s="8">
        <f>IF($B1784="","",IFERROR(INDEX(PM_Subcategory,MATCH($B1784,PM_ID,0)),""))</f>
        <v/>
      </c>
      <c r="F1784" s="8">
        <f>IF($B1784="","",IFERROR(INDEX(PM_Brand,MATCH($B1784,PM_ID,0)),""))</f>
        <v/>
      </c>
      <c r="G1784" s="8">
        <f>IF($B1784="","",IFERROR(INDEX(PM_Model,MATCH($B1784,PM_ID,0)),""))</f>
        <v/>
      </c>
      <c r="H1784" s="5" t="n"/>
      <c r="I1784" s="10" t="n"/>
      <c r="J1784" s="9" t="n"/>
      <c r="K1784" s="5" t="n"/>
      <c r="L1784" s="5" t="n"/>
      <c r="M1784" s="5" t="n"/>
      <c r="N1784" s="5" t="n"/>
      <c r="O1784" s="8">
        <f>IF($B1784="","",IF(AND($A1784&lt;&gt;"",COUNTIF(INV_ID,$A1784)&gt;1),"⚠ this Unit ID already exists",IF(AND($H1784&lt;&gt;"",COUNTIF(INV_Serial,$H1784)&gt;1),"⚠ this serial already exists",IF(COUNTIFS(INV_Product,$B1784,INV_No,$C1784)&gt;1,"⚠ piece number reused",""))))</f>
        <v/>
      </c>
      <c r="P1784" s="5" t="n"/>
    </row>
    <row r="1785">
      <c r="A1785" s="8">
        <f>IF(OR($B1785="",$C1785=""),"",IFERROR(INDEX(PM_Short,MATCH($B1785,PM_ID,0))&amp;"-"&amp;TEXT($C1785,"00"),"?? no such product"))</f>
        <v/>
      </c>
      <c r="B1785" s="5" t="n"/>
      <c r="C1785" s="5" t="n"/>
      <c r="D1785" s="8">
        <f>IF($B1785="","",IFERROR(INDEX(PM_Category,MATCH($B1785,PM_ID,0)),""))</f>
        <v/>
      </c>
      <c r="E1785" s="8">
        <f>IF($B1785="","",IFERROR(INDEX(PM_Subcategory,MATCH($B1785,PM_ID,0)),""))</f>
        <v/>
      </c>
      <c r="F1785" s="8">
        <f>IF($B1785="","",IFERROR(INDEX(PM_Brand,MATCH($B1785,PM_ID,0)),""))</f>
        <v/>
      </c>
      <c r="G1785" s="8">
        <f>IF($B1785="","",IFERROR(INDEX(PM_Model,MATCH($B1785,PM_ID,0)),""))</f>
        <v/>
      </c>
      <c r="H1785" s="5" t="n"/>
      <c r="I1785" s="10" t="n"/>
      <c r="J1785" s="9" t="n"/>
      <c r="K1785" s="5" t="n"/>
      <c r="L1785" s="5" t="n"/>
      <c r="M1785" s="5" t="n"/>
      <c r="N1785" s="5" t="n"/>
      <c r="O1785" s="8">
        <f>IF($B1785="","",IF(AND($A1785&lt;&gt;"",COUNTIF(INV_ID,$A1785)&gt;1),"⚠ this Unit ID already exists",IF(AND($H1785&lt;&gt;"",COUNTIF(INV_Serial,$H1785)&gt;1),"⚠ this serial already exists",IF(COUNTIFS(INV_Product,$B1785,INV_No,$C1785)&gt;1,"⚠ piece number reused",""))))</f>
        <v/>
      </c>
      <c r="P1785" s="5" t="n"/>
    </row>
    <row r="1786">
      <c r="A1786" s="8">
        <f>IF(OR($B1786="",$C1786=""),"",IFERROR(INDEX(PM_Short,MATCH($B1786,PM_ID,0))&amp;"-"&amp;TEXT($C1786,"00"),"?? no such product"))</f>
        <v/>
      </c>
      <c r="B1786" s="5" t="n"/>
      <c r="C1786" s="5" t="n"/>
      <c r="D1786" s="8">
        <f>IF($B1786="","",IFERROR(INDEX(PM_Category,MATCH($B1786,PM_ID,0)),""))</f>
        <v/>
      </c>
      <c r="E1786" s="8">
        <f>IF($B1786="","",IFERROR(INDEX(PM_Subcategory,MATCH($B1786,PM_ID,0)),""))</f>
        <v/>
      </c>
      <c r="F1786" s="8">
        <f>IF($B1786="","",IFERROR(INDEX(PM_Brand,MATCH($B1786,PM_ID,0)),""))</f>
        <v/>
      </c>
      <c r="G1786" s="8">
        <f>IF($B1786="","",IFERROR(INDEX(PM_Model,MATCH($B1786,PM_ID,0)),""))</f>
        <v/>
      </c>
      <c r="H1786" s="5" t="n"/>
      <c r="I1786" s="10" t="n"/>
      <c r="J1786" s="9" t="n"/>
      <c r="K1786" s="5" t="n"/>
      <c r="L1786" s="5" t="n"/>
      <c r="M1786" s="5" t="n"/>
      <c r="N1786" s="5" t="n"/>
      <c r="O1786" s="8">
        <f>IF($B1786="","",IF(AND($A1786&lt;&gt;"",COUNTIF(INV_ID,$A1786)&gt;1),"⚠ this Unit ID already exists",IF(AND($H1786&lt;&gt;"",COUNTIF(INV_Serial,$H1786)&gt;1),"⚠ this serial already exists",IF(COUNTIFS(INV_Product,$B1786,INV_No,$C1786)&gt;1,"⚠ piece number reused",""))))</f>
        <v/>
      </c>
      <c r="P1786" s="5" t="n"/>
    </row>
    <row r="1787">
      <c r="A1787" s="8">
        <f>IF(OR($B1787="",$C1787=""),"",IFERROR(INDEX(PM_Short,MATCH($B1787,PM_ID,0))&amp;"-"&amp;TEXT($C1787,"00"),"?? no such product"))</f>
        <v/>
      </c>
      <c r="B1787" s="5" t="n"/>
      <c r="C1787" s="5" t="n"/>
      <c r="D1787" s="8">
        <f>IF($B1787="","",IFERROR(INDEX(PM_Category,MATCH($B1787,PM_ID,0)),""))</f>
        <v/>
      </c>
      <c r="E1787" s="8">
        <f>IF($B1787="","",IFERROR(INDEX(PM_Subcategory,MATCH($B1787,PM_ID,0)),""))</f>
        <v/>
      </c>
      <c r="F1787" s="8">
        <f>IF($B1787="","",IFERROR(INDEX(PM_Brand,MATCH($B1787,PM_ID,0)),""))</f>
        <v/>
      </c>
      <c r="G1787" s="8">
        <f>IF($B1787="","",IFERROR(INDEX(PM_Model,MATCH($B1787,PM_ID,0)),""))</f>
        <v/>
      </c>
      <c r="H1787" s="5" t="n"/>
      <c r="I1787" s="10" t="n"/>
      <c r="J1787" s="9" t="n"/>
      <c r="K1787" s="5" t="n"/>
      <c r="L1787" s="5" t="n"/>
      <c r="M1787" s="5" t="n"/>
      <c r="N1787" s="5" t="n"/>
      <c r="O1787" s="8">
        <f>IF($B1787="","",IF(AND($A1787&lt;&gt;"",COUNTIF(INV_ID,$A1787)&gt;1),"⚠ this Unit ID already exists",IF(AND($H1787&lt;&gt;"",COUNTIF(INV_Serial,$H1787)&gt;1),"⚠ this serial already exists",IF(COUNTIFS(INV_Product,$B1787,INV_No,$C1787)&gt;1,"⚠ piece number reused",""))))</f>
        <v/>
      </c>
      <c r="P1787" s="5" t="n"/>
    </row>
    <row r="1788">
      <c r="A1788" s="8">
        <f>IF(OR($B1788="",$C1788=""),"",IFERROR(INDEX(PM_Short,MATCH($B1788,PM_ID,0))&amp;"-"&amp;TEXT($C1788,"00"),"?? no such product"))</f>
        <v/>
      </c>
      <c r="B1788" s="5" t="n"/>
      <c r="C1788" s="5" t="n"/>
      <c r="D1788" s="8">
        <f>IF($B1788="","",IFERROR(INDEX(PM_Category,MATCH($B1788,PM_ID,0)),""))</f>
        <v/>
      </c>
      <c r="E1788" s="8">
        <f>IF($B1788="","",IFERROR(INDEX(PM_Subcategory,MATCH($B1788,PM_ID,0)),""))</f>
        <v/>
      </c>
      <c r="F1788" s="8">
        <f>IF($B1788="","",IFERROR(INDEX(PM_Brand,MATCH($B1788,PM_ID,0)),""))</f>
        <v/>
      </c>
      <c r="G1788" s="8">
        <f>IF($B1788="","",IFERROR(INDEX(PM_Model,MATCH($B1788,PM_ID,0)),""))</f>
        <v/>
      </c>
      <c r="H1788" s="5" t="n"/>
      <c r="I1788" s="10" t="n"/>
      <c r="J1788" s="9" t="n"/>
      <c r="K1788" s="5" t="n"/>
      <c r="L1788" s="5" t="n"/>
      <c r="M1788" s="5" t="n"/>
      <c r="N1788" s="5" t="n"/>
      <c r="O1788" s="8">
        <f>IF($B1788="","",IF(AND($A1788&lt;&gt;"",COUNTIF(INV_ID,$A1788)&gt;1),"⚠ this Unit ID already exists",IF(AND($H1788&lt;&gt;"",COUNTIF(INV_Serial,$H1788)&gt;1),"⚠ this serial already exists",IF(COUNTIFS(INV_Product,$B1788,INV_No,$C1788)&gt;1,"⚠ piece number reused",""))))</f>
        <v/>
      </c>
      <c r="P1788" s="5" t="n"/>
    </row>
    <row r="1789">
      <c r="A1789" s="8">
        <f>IF(OR($B1789="",$C1789=""),"",IFERROR(INDEX(PM_Short,MATCH($B1789,PM_ID,0))&amp;"-"&amp;TEXT($C1789,"00"),"?? no such product"))</f>
        <v/>
      </c>
      <c r="B1789" s="5" t="n"/>
      <c r="C1789" s="5" t="n"/>
      <c r="D1789" s="8">
        <f>IF($B1789="","",IFERROR(INDEX(PM_Category,MATCH($B1789,PM_ID,0)),""))</f>
        <v/>
      </c>
      <c r="E1789" s="8">
        <f>IF($B1789="","",IFERROR(INDEX(PM_Subcategory,MATCH($B1789,PM_ID,0)),""))</f>
        <v/>
      </c>
      <c r="F1789" s="8">
        <f>IF($B1789="","",IFERROR(INDEX(PM_Brand,MATCH($B1789,PM_ID,0)),""))</f>
        <v/>
      </c>
      <c r="G1789" s="8">
        <f>IF($B1789="","",IFERROR(INDEX(PM_Model,MATCH($B1789,PM_ID,0)),""))</f>
        <v/>
      </c>
      <c r="H1789" s="5" t="n"/>
      <c r="I1789" s="10" t="n"/>
      <c r="J1789" s="9" t="n"/>
      <c r="K1789" s="5" t="n"/>
      <c r="L1789" s="5" t="n"/>
      <c r="M1789" s="5" t="n"/>
      <c r="N1789" s="5" t="n"/>
      <c r="O1789" s="8">
        <f>IF($B1789="","",IF(AND($A1789&lt;&gt;"",COUNTIF(INV_ID,$A1789)&gt;1),"⚠ this Unit ID already exists",IF(AND($H1789&lt;&gt;"",COUNTIF(INV_Serial,$H1789)&gt;1),"⚠ this serial already exists",IF(COUNTIFS(INV_Product,$B1789,INV_No,$C1789)&gt;1,"⚠ piece number reused",""))))</f>
        <v/>
      </c>
      <c r="P1789" s="5" t="n"/>
    </row>
    <row r="1790">
      <c r="A1790" s="8">
        <f>IF(OR($B1790="",$C1790=""),"",IFERROR(INDEX(PM_Short,MATCH($B1790,PM_ID,0))&amp;"-"&amp;TEXT($C1790,"00"),"?? no such product"))</f>
        <v/>
      </c>
      <c r="B1790" s="5" t="n"/>
      <c r="C1790" s="5" t="n"/>
      <c r="D1790" s="8">
        <f>IF($B1790="","",IFERROR(INDEX(PM_Category,MATCH($B1790,PM_ID,0)),""))</f>
        <v/>
      </c>
      <c r="E1790" s="8">
        <f>IF($B1790="","",IFERROR(INDEX(PM_Subcategory,MATCH($B1790,PM_ID,0)),""))</f>
        <v/>
      </c>
      <c r="F1790" s="8">
        <f>IF($B1790="","",IFERROR(INDEX(PM_Brand,MATCH($B1790,PM_ID,0)),""))</f>
        <v/>
      </c>
      <c r="G1790" s="8">
        <f>IF($B1790="","",IFERROR(INDEX(PM_Model,MATCH($B1790,PM_ID,0)),""))</f>
        <v/>
      </c>
      <c r="H1790" s="5" t="n"/>
      <c r="I1790" s="10" t="n"/>
      <c r="J1790" s="9" t="n"/>
      <c r="K1790" s="5" t="n"/>
      <c r="L1790" s="5" t="n"/>
      <c r="M1790" s="5" t="n"/>
      <c r="N1790" s="5" t="n"/>
      <c r="O1790" s="8">
        <f>IF($B1790="","",IF(AND($A1790&lt;&gt;"",COUNTIF(INV_ID,$A1790)&gt;1),"⚠ this Unit ID already exists",IF(AND($H1790&lt;&gt;"",COUNTIF(INV_Serial,$H1790)&gt;1),"⚠ this serial already exists",IF(COUNTIFS(INV_Product,$B1790,INV_No,$C1790)&gt;1,"⚠ piece number reused",""))))</f>
        <v/>
      </c>
      <c r="P1790" s="5" t="n"/>
    </row>
    <row r="1791">
      <c r="A1791" s="8">
        <f>IF(OR($B1791="",$C1791=""),"",IFERROR(INDEX(PM_Short,MATCH($B1791,PM_ID,0))&amp;"-"&amp;TEXT($C1791,"00"),"?? no such product"))</f>
        <v/>
      </c>
      <c r="B1791" s="5" t="n"/>
      <c r="C1791" s="5" t="n"/>
      <c r="D1791" s="8">
        <f>IF($B1791="","",IFERROR(INDEX(PM_Category,MATCH($B1791,PM_ID,0)),""))</f>
        <v/>
      </c>
      <c r="E1791" s="8">
        <f>IF($B1791="","",IFERROR(INDEX(PM_Subcategory,MATCH($B1791,PM_ID,0)),""))</f>
        <v/>
      </c>
      <c r="F1791" s="8">
        <f>IF($B1791="","",IFERROR(INDEX(PM_Brand,MATCH($B1791,PM_ID,0)),""))</f>
        <v/>
      </c>
      <c r="G1791" s="8">
        <f>IF($B1791="","",IFERROR(INDEX(PM_Model,MATCH($B1791,PM_ID,0)),""))</f>
        <v/>
      </c>
      <c r="H1791" s="5" t="n"/>
      <c r="I1791" s="10" t="n"/>
      <c r="J1791" s="9" t="n"/>
      <c r="K1791" s="5" t="n"/>
      <c r="L1791" s="5" t="n"/>
      <c r="M1791" s="5" t="n"/>
      <c r="N1791" s="5" t="n"/>
      <c r="O1791" s="8">
        <f>IF($B1791="","",IF(AND($A1791&lt;&gt;"",COUNTIF(INV_ID,$A1791)&gt;1),"⚠ this Unit ID already exists",IF(AND($H1791&lt;&gt;"",COUNTIF(INV_Serial,$H1791)&gt;1),"⚠ this serial already exists",IF(COUNTIFS(INV_Product,$B1791,INV_No,$C1791)&gt;1,"⚠ piece number reused",""))))</f>
        <v/>
      </c>
      <c r="P1791" s="5" t="n"/>
    </row>
    <row r="1792">
      <c r="A1792" s="8">
        <f>IF(OR($B1792="",$C1792=""),"",IFERROR(INDEX(PM_Short,MATCH($B1792,PM_ID,0))&amp;"-"&amp;TEXT($C1792,"00"),"?? no such product"))</f>
        <v/>
      </c>
      <c r="B1792" s="5" t="n"/>
      <c r="C1792" s="5" t="n"/>
      <c r="D1792" s="8">
        <f>IF($B1792="","",IFERROR(INDEX(PM_Category,MATCH($B1792,PM_ID,0)),""))</f>
        <v/>
      </c>
      <c r="E1792" s="8">
        <f>IF($B1792="","",IFERROR(INDEX(PM_Subcategory,MATCH($B1792,PM_ID,0)),""))</f>
        <v/>
      </c>
      <c r="F1792" s="8">
        <f>IF($B1792="","",IFERROR(INDEX(PM_Brand,MATCH($B1792,PM_ID,0)),""))</f>
        <v/>
      </c>
      <c r="G1792" s="8">
        <f>IF($B1792="","",IFERROR(INDEX(PM_Model,MATCH($B1792,PM_ID,0)),""))</f>
        <v/>
      </c>
      <c r="H1792" s="5" t="n"/>
      <c r="I1792" s="10" t="n"/>
      <c r="J1792" s="9" t="n"/>
      <c r="K1792" s="5" t="n"/>
      <c r="L1792" s="5" t="n"/>
      <c r="M1792" s="5" t="n"/>
      <c r="N1792" s="5" t="n"/>
      <c r="O1792" s="8">
        <f>IF($B1792="","",IF(AND($A1792&lt;&gt;"",COUNTIF(INV_ID,$A1792)&gt;1),"⚠ this Unit ID already exists",IF(AND($H1792&lt;&gt;"",COUNTIF(INV_Serial,$H1792)&gt;1),"⚠ this serial already exists",IF(COUNTIFS(INV_Product,$B1792,INV_No,$C1792)&gt;1,"⚠ piece number reused",""))))</f>
        <v/>
      </c>
      <c r="P1792" s="5" t="n"/>
    </row>
    <row r="1793">
      <c r="A1793" s="8">
        <f>IF(OR($B1793="",$C1793=""),"",IFERROR(INDEX(PM_Short,MATCH($B1793,PM_ID,0))&amp;"-"&amp;TEXT($C1793,"00"),"?? no such product"))</f>
        <v/>
      </c>
      <c r="B1793" s="5" t="n"/>
      <c r="C1793" s="5" t="n"/>
      <c r="D1793" s="8">
        <f>IF($B1793="","",IFERROR(INDEX(PM_Category,MATCH($B1793,PM_ID,0)),""))</f>
        <v/>
      </c>
      <c r="E1793" s="8">
        <f>IF($B1793="","",IFERROR(INDEX(PM_Subcategory,MATCH($B1793,PM_ID,0)),""))</f>
        <v/>
      </c>
      <c r="F1793" s="8">
        <f>IF($B1793="","",IFERROR(INDEX(PM_Brand,MATCH($B1793,PM_ID,0)),""))</f>
        <v/>
      </c>
      <c r="G1793" s="8">
        <f>IF($B1793="","",IFERROR(INDEX(PM_Model,MATCH($B1793,PM_ID,0)),""))</f>
        <v/>
      </c>
      <c r="H1793" s="5" t="n"/>
      <c r="I1793" s="10" t="n"/>
      <c r="J1793" s="9" t="n"/>
      <c r="K1793" s="5" t="n"/>
      <c r="L1793" s="5" t="n"/>
      <c r="M1793" s="5" t="n"/>
      <c r="N1793" s="5" t="n"/>
      <c r="O1793" s="8">
        <f>IF($B1793="","",IF(AND($A1793&lt;&gt;"",COUNTIF(INV_ID,$A1793)&gt;1),"⚠ this Unit ID already exists",IF(AND($H1793&lt;&gt;"",COUNTIF(INV_Serial,$H1793)&gt;1),"⚠ this serial already exists",IF(COUNTIFS(INV_Product,$B1793,INV_No,$C1793)&gt;1,"⚠ piece number reused",""))))</f>
        <v/>
      </c>
      <c r="P1793" s="5" t="n"/>
    </row>
    <row r="1794">
      <c r="A1794" s="8">
        <f>IF(OR($B1794="",$C1794=""),"",IFERROR(INDEX(PM_Short,MATCH($B1794,PM_ID,0))&amp;"-"&amp;TEXT($C1794,"00"),"?? no such product"))</f>
        <v/>
      </c>
      <c r="B1794" s="5" t="n"/>
      <c r="C1794" s="5" t="n"/>
      <c r="D1794" s="8">
        <f>IF($B1794="","",IFERROR(INDEX(PM_Category,MATCH($B1794,PM_ID,0)),""))</f>
        <v/>
      </c>
      <c r="E1794" s="8">
        <f>IF($B1794="","",IFERROR(INDEX(PM_Subcategory,MATCH($B1794,PM_ID,0)),""))</f>
        <v/>
      </c>
      <c r="F1794" s="8">
        <f>IF($B1794="","",IFERROR(INDEX(PM_Brand,MATCH($B1794,PM_ID,0)),""))</f>
        <v/>
      </c>
      <c r="G1794" s="8">
        <f>IF($B1794="","",IFERROR(INDEX(PM_Model,MATCH($B1794,PM_ID,0)),""))</f>
        <v/>
      </c>
      <c r="H1794" s="5" t="n"/>
      <c r="I1794" s="10" t="n"/>
      <c r="J1794" s="9" t="n"/>
      <c r="K1794" s="5" t="n"/>
      <c r="L1794" s="5" t="n"/>
      <c r="M1794" s="5" t="n"/>
      <c r="N1794" s="5" t="n"/>
      <c r="O1794" s="8">
        <f>IF($B1794="","",IF(AND($A1794&lt;&gt;"",COUNTIF(INV_ID,$A1794)&gt;1),"⚠ this Unit ID already exists",IF(AND($H1794&lt;&gt;"",COUNTIF(INV_Serial,$H1794)&gt;1),"⚠ this serial already exists",IF(COUNTIFS(INV_Product,$B1794,INV_No,$C1794)&gt;1,"⚠ piece number reused",""))))</f>
        <v/>
      </c>
      <c r="P1794" s="5" t="n"/>
    </row>
    <row r="1795">
      <c r="A1795" s="8">
        <f>IF(OR($B1795="",$C1795=""),"",IFERROR(INDEX(PM_Short,MATCH($B1795,PM_ID,0))&amp;"-"&amp;TEXT($C1795,"00"),"?? no such product"))</f>
        <v/>
      </c>
      <c r="B1795" s="5" t="n"/>
      <c r="C1795" s="5" t="n"/>
      <c r="D1795" s="8">
        <f>IF($B1795="","",IFERROR(INDEX(PM_Category,MATCH($B1795,PM_ID,0)),""))</f>
        <v/>
      </c>
      <c r="E1795" s="8">
        <f>IF($B1795="","",IFERROR(INDEX(PM_Subcategory,MATCH($B1795,PM_ID,0)),""))</f>
        <v/>
      </c>
      <c r="F1795" s="8">
        <f>IF($B1795="","",IFERROR(INDEX(PM_Brand,MATCH($B1795,PM_ID,0)),""))</f>
        <v/>
      </c>
      <c r="G1795" s="8">
        <f>IF($B1795="","",IFERROR(INDEX(PM_Model,MATCH($B1795,PM_ID,0)),""))</f>
        <v/>
      </c>
      <c r="H1795" s="5" t="n"/>
      <c r="I1795" s="10" t="n"/>
      <c r="J1795" s="9" t="n"/>
      <c r="K1795" s="5" t="n"/>
      <c r="L1795" s="5" t="n"/>
      <c r="M1795" s="5" t="n"/>
      <c r="N1795" s="5" t="n"/>
      <c r="O1795" s="8">
        <f>IF($B1795="","",IF(AND($A1795&lt;&gt;"",COUNTIF(INV_ID,$A1795)&gt;1),"⚠ this Unit ID already exists",IF(AND($H1795&lt;&gt;"",COUNTIF(INV_Serial,$H1795)&gt;1),"⚠ this serial already exists",IF(COUNTIFS(INV_Product,$B1795,INV_No,$C1795)&gt;1,"⚠ piece number reused",""))))</f>
        <v/>
      </c>
      <c r="P1795" s="5" t="n"/>
    </row>
    <row r="1796">
      <c r="A1796" s="8">
        <f>IF(OR($B1796="",$C1796=""),"",IFERROR(INDEX(PM_Short,MATCH($B1796,PM_ID,0))&amp;"-"&amp;TEXT($C1796,"00"),"?? no such product"))</f>
        <v/>
      </c>
      <c r="B1796" s="5" t="n"/>
      <c r="C1796" s="5" t="n"/>
      <c r="D1796" s="8">
        <f>IF($B1796="","",IFERROR(INDEX(PM_Category,MATCH($B1796,PM_ID,0)),""))</f>
        <v/>
      </c>
      <c r="E1796" s="8">
        <f>IF($B1796="","",IFERROR(INDEX(PM_Subcategory,MATCH($B1796,PM_ID,0)),""))</f>
        <v/>
      </c>
      <c r="F1796" s="8">
        <f>IF($B1796="","",IFERROR(INDEX(PM_Brand,MATCH($B1796,PM_ID,0)),""))</f>
        <v/>
      </c>
      <c r="G1796" s="8">
        <f>IF($B1796="","",IFERROR(INDEX(PM_Model,MATCH($B1796,PM_ID,0)),""))</f>
        <v/>
      </c>
      <c r="H1796" s="5" t="n"/>
      <c r="I1796" s="10" t="n"/>
      <c r="J1796" s="9" t="n"/>
      <c r="K1796" s="5" t="n"/>
      <c r="L1796" s="5" t="n"/>
      <c r="M1796" s="5" t="n"/>
      <c r="N1796" s="5" t="n"/>
      <c r="O1796" s="8">
        <f>IF($B1796="","",IF(AND($A1796&lt;&gt;"",COUNTIF(INV_ID,$A1796)&gt;1),"⚠ this Unit ID already exists",IF(AND($H1796&lt;&gt;"",COUNTIF(INV_Serial,$H1796)&gt;1),"⚠ this serial already exists",IF(COUNTIFS(INV_Product,$B1796,INV_No,$C1796)&gt;1,"⚠ piece number reused",""))))</f>
        <v/>
      </c>
      <c r="P1796" s="5" t="n"/>
    </row>
    <row r="1797">
      <c r="A1797" s="8">
        <f>IF(OR($B1797="",$C1797=""),"",IFERROR(INDEX(PM_Short,MATCH($B1797,PM_ID,0))&amp;"-"&amp;TEXT($C1797,"00"),"?? no such product"))</f>
        <v/>
      </c>
      <c r="B1797" s="5" t="n"/>
      <c r="C1797" s="5" t="n"/>
      <c r="D1797" s="8">
        <f>IF($B1797="","",IFERROR(INDEX(PM_Category,MATCH($B1797,PM_ID,0)),""))</f>
        <v/>
      </c>
      <c r="E1797" s="8">
        <f>IF($B1797="","",IFERROR(INDEX(PM_Subcategory,MATCH($B1797,PM_ID,0)),""))</f>
        <v/>
      </c>
      <c r="F1797" s="8">
        <f>IF($B1797="","",IFERROR(INDEX(PM_Brand,MATCH($B1797,PM_ID,0)),""))</f>
        <v/>
      </c>
      <c r="G1797" s="8">
        <f>IF($B1797="","",IFERROR(INDEX(PM_Model,MATCH($B1797,PM_ID,0)),""))</f>
        <v/>
      </c>
      <c r="H1797" s="5" t="n"/>
      <c r="I1797" s="10" t="n"/>
      <c r="J1797" s="9" t="n"/>
      <c r="K1797" s="5" t="n"/>
      <c r="L1797" s="5" t="n"/>
      <c r="M1797" s="5" t="n"/>
      <c r="N1797" s="5" t="n"/>
      <c r="O1797" s="8">
        <f>IF($B1797="","",IF(AND($A1797&lt;&gt;"",COUNTIF(INV_ID,$A1797)&gt;1),"⚠ this Unit ID already exists",IF(AND($H1797&lt;&gt;"",COUNTIF(INV_Serial,$H1797)&gt;1),"⚠ this serial already exists",IF(COUNTIFS(INV_Product,$B1797,INV_No,$C1797)&gt;1,"⚠ piece number reused",""))))</f>
        <v/>
      </c>
      <c r="P1797" s="5" t="n"/>
    </row>
    <row r="1798">
      <c r="A1798" s="8">
        <f>IF(OR($B1798="",$C1798=""),"",IFERROR(INDEX(PM_Short,MATCH($B1798,PM_ID,0))&amp;"-"&amp;TEXT($C1798,"00"),"?? no such product"))</f>
        <v/>
      </c>
      <c r="B1798" s="5" t="n"/>
      <c r="C1798" s="5" t="n"/>
      <c r="D1798" s="8">
        <f>IF($B1798="","",IFERROR(INDEX(PM_Category,MATCH($B1798,PM_ID,0)),""))</f>
        <v/>
      </c>
      <c r="E1798" s="8">
        <f>IF($B1798="","",IFERROR(INDEX(PM_Subcategory,MATCH($B1798,PM_ID,0)),""))</f>
        <v/>
      </c>
      <c r="F1798" s="8">
        <f>IF($B1798="","",IFERROR(INDEX(PM_Brand,MATCH($B1798,PM_ID,0)),""))</f>
        <v/>
      </c>
      <c r="G1798" s="8">
        <f>IF($B1798="","",IFERROR(INDEX(PM_Model,MATCH($B1798,PM_ID,0)),""))</f>
        <v/>
      </c>
      <c r="H1798" s="5" t="n"/>
      <c r="I1798" s="10" t="n"/>
      <c r="J1798" s="9" t="n"/>
      <c r="K1798" s="5" t="n"/>
      <c r="L1798" s="5" t="n"/>
      <c r="M1798" s="5" t="n"/>
      <c r="N1798" s="5" t="n"/>
      <c r="O1798" s="8">
        <f>IF($B1798="","",IF(AND($A1798&lt;&gt;"",COUNTIF(INV_ID,$A1798)&gt;1),"⚠ this Unit ID already exists",IF(AND($H1798&lt;&gt;"",COUNTIF(INV_Serial,$H1798)&gt;1),"⚠ this serial already exists",IF(COUNTIFS(INV_Product,$B1798,INV_No,$C1798)&gt;1,"⚠ piece number reused",""))))</f>
        <v/>
      </c>
      <c r="P1798" s="5" t="n"/>
    </row>
    <row r="1799">
      <c r="A1799" s="8">
        <f>IF(OR($B1799="",$C1799=""),"",IFERROR(INDEX(PM_Short,MATCH($B1799,PM_ID,0))&amp;"-"&amp;TEXT($C1799,"00"),"?? no such product"))</f>
        <v/>
      </c>
      <c r="B1799" s="5" t="n"/>
      <c r="C1799" s="5" t="n"/>
      <c r="D1799" s="8">
        <f>IF($B1799="","",IFERROR(INDEX(PM_Category,MATCH($B1799,PM_ID,0)),""))</f>
        <v/>
      </c>
      <c r="E1799" s="8">
        <f>IF($B1799="","",IFERROR(INDEX(PM_Subcategory,MATCH($B1799,PM_ID,0)),""))</f>
        <v/>
      </c>
      <c r="F1799" s="8">
        <f>IF($B1799="","",IFERROR(INDEX(PM_Brand,MATCH($B1799,PM_ID,0)),""))</f>
        <v/>
      </c>
      <c r="G1799" s="8">
        <f>IF($B1799="","",IFERROR(INDEX(PM_Model,MATCH($B1799,PM_ID,0)),""))</f>
        <v/>
      </c>
      <c r="H1799" s="5" t="n"/>
      <c r="I1799" s="10" t="n"/>
      <c r="J1799" s="9" t="n"/>
      <c r="K1799" s="5" t="n"/>
      <c r="L1799" s="5" t="n"/>
      <c r="M1799" s="5" t="n"/>
      <c r="N1799" s="5" t="n"/>
      <c r="O1799" s="8">
        <f>IF($B1799="","",IF(AND($A1799&lt;&gt;"",COUNTIF(INV_ID,$A1799)&gt;1),"⚠ this Unit ID already exists",IF(AND($H1799&lt;&gt;"",COUNTIF(INV_Serial,$H1799)&gt;1),"⚠ this serial already exists",IF(COUNTIFS(INV_Product,$B1799,INV_No,$C1799)&gt;1,"⚠ piece number reused",""))))</f>
        <v/>
      </c>
      <c r="P1799" s="5" t="n"/>
    </row>
    <row r="1800">
      <c r="A1800" s="8">
        <f>IF(OR($B1800="",$C1800=""),"",IFERROR(INDEX(PM_Short,MATCH($B1800,PM_ID,0))&amp;"-"&amp;TEXT($C1800,"00"),"?? no such product"))</f>
        <v/>
      </c>
      <c r="B1800" s="5" t="n"/>
      <c r="C1800" s="5" t="n"/>
      <c r="D1800" s="8">
        <f>IF($B1800="","",IFERROR(INDEX(PM_Category,MATCH($B1800,PM_ID,0)),""))</f>
        <v/>
      </c>
      <c r="E1800" s="8">
        <f>IF($B1800="","",IFERROR(INDEX(PM_Subcategory,MATCH($B1800,PM_ID,0)),""))</f>
        <v/>
      </c>
      <c r="F1800" s="8">
        <f>IF($B1800="","",IFERROR(INDEX(PM_Brand,MATCH($B1800,PM_ID,0)),""))</f>
        <v/>
      </c>
      <c r="G1800" s="8">
        <f>IF($B1800="","",IFERROR(INDEX(PM_Model,MATCH($B1800,PM_ID,0)),""))</f>
        <v/>
      </c>
      <c r="H1800" s="5" t="n"/>
      <c r="I1800" s="10" t="n"/>
      <c r="J1800" s="9" t="n"/>
      <c r="K1800" s="5" t="n"/>
      <c r="L1800" s="5" t="n"/>
      <c r="M1800" s="5" t="n"/>
      <c r="N1800" s="5" t="n"/>
      <c r="O1800" s="8">
        <f>IF($B1800="","",IF(AND($A1800&lt;&gt;"",COUNTIF(INV_ID,$A1800)&gt;1),"⚠ this Unit ID already exists",IF(AND($H1800&lt;&gt;"",COUNTIF(INV_Serial,$H1800)&gt;1),"⚠ this serial already exists",IF(COUNTIFS(INV_Product,$B1800,INV_No,$C1800)&gt;1,"⚠ piece number reused",""))))</f>
        <v/>
      </c>
      <c r="P1800" s="5" t="n"/>
    </row>
    <row r="1801">
      <c r="A1801" s="8">
        <f>IF(OR($B1801="",$C1801=""),"",IFERROR(INDEX(PM_Short,MATCH($B1801,PM_ID,0))&amp;"-"&amp;TEXT($C1801,"00"),"?? no such product"))</f>
        <v/>
      </c>
      <c r="B1801" s="5" t="n"/>
      <c r="C1801" s="5" t="n"/>
      <c r="D1801" s="8">
        <f>IF($B1801="","",IFERROR(INDEX(PM_Category,MATCH($B1801,PM_ID,0)),""))</f>
        <v/>
      </c>
      <c r="E1801" s="8">
        <f>IF($B1801="","",IFERROR(INDEX(PM_Subcategory,MATCH($B1801,PM_ID,0)),""))</f>
        <v/>
      </c>
      <c r="F1801" s="8">
        <f>IF($B1801="","",IFERROR(INDEX(PM_Brand,MATCH($B1801,PM_ID,0)),""))</f>
        <v/>
      </c>
      <c r="G1801" s="8">
        <f>IF($B1801="","",IFERROR(INDEX(PM_Model,MATCH($B1801,PM_ID,0)),""))</f>
        <v/>
      </c>
      <c r="H1801" s="5" t="n"/>
      <c r="I1801" s="10" t="n"/>
      <c r="J1801" s="9" t="n"/>
      <c r="K1801" s="5" t="n"/>
      <c r="L1801" s="5" t="n"/>
      <c r="M1801" s="5" t="n"/>
      <c r="N1801" s="5" t="n"/>
      <c r="O1801" s="8">
        <f>IF($B1801="","",IF(AND($A1801&lt;&gt;"",COUNTIF(INV_ID,$A1801)&gt;1),"⚠ this Unit ID already exists",IF(AND($H1801&lt;&gt;"",COUNTIF(INV_Serial,$H1801)&gt;1),"⚠ this serial already exists",IF(COUNTIFS(INV_Product,$B1801,INV_No,$C1801)&gt;1,"⚠ piece number reused",""))))</f>
        <v/>
      </c>
      <c r="P1801" s="5" t="n"/>
    </row>
    <row r="1802">
      <c r="A1802" s="8">
        <f>IF(OR($B1802="",$C1802=""),"",IFERROR(INDEX(PM_Short,MATCH($B1802,PM_ID,0))&amp;"-"&amp;TEXT($C1802,"00"),"?? no such product"))</f>
        <v/>
      </c>
      <c r="B1802" s="5" t="n"/>
      <c r="C1802" s="5" t="n"/>
      <c r="D1802" s="8">
        <f>IF($B1802="","",IFERROR(INDEX(PM_Category,MATCH($B1802,PM_ID,0)),""))</f>
        <v/>
      </c>
      <c r="E1802" s="8">
        <f>IF($B1802="","",IFERROR(INDEX(PM_Subcategory,MATCH($B1802,PM_ID,0)),""))</f>
        <v/>
      </c>
      <c r="F1802" s="8">
        <f>IF($B1802="","",IFERROR(INDEX(PM_Brand,MATCH($B1802,PM_ID,0)),""))</f>
        <v/>
      </c>
      <c r="G1802" s="8">
        <f>IF($B1802="","",IFERROR(INDEX(PM_Model,MATCH($B1802,PM_ID,0)),""))</f>
        <v/>
      </c>
      <c r="H1802" s="5" t="n"/>
      <c r="I1802" s="10" t="n"/>
      <c r="J1802" s="9" t="n"/>
      <c r="K1802" s="5" t="n"/>
      <c r="L1802" s="5" t="n"/>
      <c r="M1802" s="5" t="n"/>
      <c r="N1802" s="5" t="n"/>
      <c r="O1802" s="8">
        <f>IF($B1802="","",IF(AND($A1802&lt;&gt;"",COUNTIF(INV_ID,$A1802)&gt;1),"⚠ this Unit ID already exists",IF(AND($H1802&lt;&gt;"",COUNTIF(INV_Serial,$H1802)&gt;1),"⚠ this serial already exists",IF(COUNTIFS(INV_Product,$B1802,INV_No,$C1802)&gt;1,"⚠ piece number reused",""))))</f>
        <v/>
      </c>
      <c r="P1802" s="5" t="n"/>
    </row>
    <row r="1803">
      <c r="A1803" s="8">
        <f>IF(OR($B1803="",$C1803=""),"",IFERROR(INDEX(PM_Short,MATCH($B1803,PM_ID,0))&amp;"-"&amp;TEXT($C1803,"00"),"?? no such product"))</f>
        <v/>
      </c>
      <c r="B1803" s="5" t="n"/>
      <c r="C1803" s="5" t="n"/>
      <c r="D1803" s="8">
        <f>IF($B1803="","",IFERROR(INDEX(PM_Category,MATCH($B1803,PM_ID,0)),""))</f>
        <v/>
      </c>
      <c r="E1803" s="8">
        <f>IF($B1803="","",IFERROR(INDEX(PM_Subcategory,MATCH($B1803,PM_ID,0)),""))</f>
        <v/>
      </c>
      <c r="F1803" s="8">
        <f>IF($B1803="","",IFERROR(INDEX(PM_Brand,MATCH($B1803,PM_ID,0)),""))</f>
        <v/>
      </c>
      <c r="G1803" s="8">
        <f>IF($B1803="","",IFERROR(INDEX(PM_Model,MATCH($B1803,PM_ID,0)),""))</f>
        <v/>
      </c>
      <c r="H1803" s="5" t="n"/>
      <c r="I1803" s="10" t="n"/>
      <c r="J1803" s="9" t="n"/>
      <c r="K1803" s="5" t="n"/>
      <c r="L1803" s="5" t="n"/>
      <c r="M1803" s="5" t="n"/>
      <c r="N1803" s="5" t="n"/>
      <c r="O1803" s="8">
        <f>IF($B1803="","",IF(AND($A1803&lt;&gt;"",COUNTIF(INV_ID,$A1803)&gt;1),"⚠ this Unit ID already exists",IF(AND($H1803&lt;&gt;"",COUNTIF(INV_Serial,$H1803)&gt;1),"⚠ this serial already exists",IF(COUNTIFS(INV_Product,$B1803,INV_No,$C1803)&gt;1,"⚠ piece number reused",""))))</f>
        <v/>
      </c>
      <c r="P1803" s="5" t="n"/>
    </row>
    <row r="1804">
      <c r="A1804" s="8">
        <f>IF(OR($B1804="",$C1804=""),"",IFERROR(INDEX(PM_Short,MATCH($B1804,PM_ID,0))&amp;"-"&amp;TEXT($C1804,"00"),"?? no such product"))</f>
        <v/>
      </c>
      <c r="B1804" s="5" t="n"/>
      <c r="C1804" s="5" t="n"/>
      <c r="D1804" s="8">
        <f>IF($B1804="","",IFERROR(INDEX(PM_Category,MATCH($B1804,PM_ID,0)),""))</f>
        <v/>
      </c>
      <c r="E1804" s="8">
        <f>IF($B1804="","",IFERROR(INDEX(PM_Subcategory,MATCH($B1804,PM_ID,0)),""))</f>
        <v/>
      </c>
      <c r="F1804" s="8">
        <f>IF($B1804="","",IFERROR(INDEX(PM_Brand,MATCH($B1804,PM_ID,0)),""))</f>
        <v/>
      </c>
      <c r="G1804" s="8">
        <f>IF($B1804="","",IFERROR(INDEX(PM_Model,MATCH($B1804,PM_ID,0)),""))</f>
        <v/>
      </c>
      <c r="H1804" s="5" t="n"/>
      <c r="I1804" s="10" t="n"/>
      <c r="J1804" s="9" t="n"/>
      <c r="K1804" s="5" t="n"/>
      <c r="L1804" s="5" t="n"/>
      <c r="M1804" s="5" t="n"/>
      <c r="N1804" s="5" t="n"/>
      <c r="O1804" s="8">
        <f>IF($B1804="","",IF(AND($A1804&lt;&gt;"",COUNTIF(INV_ID,$A1804)&gt;1),"⚠ this Unit ID already exists",IF(AND($H1804&lt;&gt;"",COUNTIF(INV_Serial,$H1804)&gt;1),"⚠ this serial already exists",IF(COUNTIFS(INV_Product,$B1804,INV_No,$C1804)&gt;1,"⚠ piece number reused",""))))</f>
        <v/>
      </c>
      <c r="P1804" s="5" t="n"/>
    </row>
    <row r="1805">
      <c r="A1805" s="8">
        <f>IF(OR($B1805="",$C1805=""),"",IFERROR(INDEX(PM_Short,MATCH($B1805,PM_ID,0))&amp;"-"&amp;TEXT($C1805,"00"),"?? no such product"))</f>
        <v/>
      </c>
      <c r="B1805" s="5" t="n"/>
      <c r="C1805" s="5" t="n"/>
      <c r="D1805" s="8">
        <f>IF($B1805="","",IFERROR(INDEX(PM_Category,MATCH($B1805,PM_ID,0)),""))</f>
        <v/>
      </c>
      <c r="E1805" s="8">
        <f>IF($B1805="","",IFERROR(INDEX(PM_Subcategory,MATCH($B1805,PM_ID,0)),""))</f>
        <v/>
      </c>
      <c r="F1805" s="8">
        <f>IF($B1805="","",IFERROR(INDEX(PM_Brand,MATCH($B1805,PM_ID,0)),""))</f>
        <v/>
      </c>
      <c r="G1805" s="8">
        <f>IF($B1805="","",IFERROR(INDEX(PM_Model,MATCH($B1805,PM_ID,0)),""))</f>
        <v/>
      </c>
      <c r="H1805" s="5" t="n"/>
      <c r="I1805" s="10" t="n"/>
      <c r="J1805" s="9" t="n"/>
      <c r="K1805" s="5" t="n"/>
      <c r="L1805" s="5" t="n"/>
      <c r="M1805" s="5" t="n"/>
      <c r="N1805" s="5" t="n"/>
      <c r="O1805" s="8">
        <f>IF($B1805="","",IF(AND($A1805&lt;&gt;"",COUNTIF(INV_ID,$A1805)&gt;1),"⚠ this Unit ID already exists",IF(AND($H1805&lt;&gt;"",COUNTIF(INV_Serial,$H1805)&gt;1),"⚠ this serial already exists",IF(COUNTIFS(INV_Product,$B1805,INV_No,$C1805)&gt;1,"⚠ piece number reused",""))))</f>
        <v/>
      </c>
      <c r="P1805" s="5" t="n"/>
    </row>
    <row r="1806">
      <c r="A1806" s="8">
        <f>IF(OR($B1806="",$C1806=""),"",IFERROR(INDEX(PM_Short,MATCH($B1806,PM_ID,0))&amp;"-"&amp;TEXT($C1806,"00"),"?? no such product"))</f>
        <v/>
      </c>
      <c r="B1806" s="5" t="n"/>
      <c r="C1806" s="5" t="n"/>
      <c r="D1806" s="8">
        <f>IF($B1806="","",IFERROR(INDEX(PM_Category,MATCH($B1806,PM_ID,0)),""))</f>
        <v/>
      </c>
      <c r="E1806" s="8">
        <f>IF($B1806="","",IFERROR(INDEX(PM_Subcategory,MATCH($B1806,PM_ID,0)),""))</f>
        <v/>
      </c>
      <c r="F1806" s="8">
        <f>IF($B1806="","",IFERROR(INDEX(PM_Brand,MATCH($B1806,PM_ID,0)),""))</f>
        <v/>
      </c>
      <c r="G1806" s="8">
        <f>IF($B1806="","",IFERROR(INDEX(PM_Model,MATCH($B1806,PM_ID,0)),""))</f>
        <v/>
      </c>
      <c r="H1806" s="5" t="n"/>
      <c r="I1806" s="10" t="n"/>
      <c r="J1806" s="9" t="n"/>
      <c r="K1806" s="5" t="n"/>
      <c r="L1806" s="5" t="n"/>
      <c r="M1806" s="5" t="n"/>
      <c r="N1806" s="5" t="n"/>
      <c r="O1806" s="8">
        <f>IF($B1806="","",IF(AND($A1806&lt;&gt;"",COUNTIF(INV_ID,$A1806)&gt;1),"⚠ this Unit ID already exists",IF(AND($H1806&lt;&gt;"",COUNTIF(INV_Serial,$H1806)&gt;1),"⚠ this serial already exists",IF(COUNTIFS(INV_Product,$B1806,INV_No,$C1806)&gt;1,"⚠ piece number reused",""))))</f>
        <v/>
      </c>
      <c r="P1806" s="5" t="n"/>
    </row>
    <row r="1807">
      <c r="A1807" s="8">
        <f>IF(OR($B1807="",$C1807=""),"",IFERROR(INDEX(PM_Short,MATCH($B1807,PM_ID,0))&amp;"-"&amp;TEXT($C1807,"00"),"?? no such product"))</f>
        <v/>
      </c>
      <c r="B1807" s="5" t="n"/>
      <c r="C1807" s="5" t="n"/>
      <c r="D1807" s="8">
        <f>IF($B1807="","",IFERROR(INDEX(PM_Category,MATCH($B1807,PM_ID,0)),""))</f>
        <v/>
      </c>
      <c r="E1807" s="8">
        <f>IF($B1807="","",IFERROR(INDEX(PM_Subcategory,MATCH($B1807,PM_ID,0)),""))</f>
        <v/>
      </c>
      <c r="F1807" s="8">
        <f>IF($B1807="","",IFERROR(INDEX(PM_Brand,MATCH($B1807,PM_ID,0)),""))</f>
        <v/>
      </c>
      <c r="G1807" s="8">
        <f>IF($B1807="","",IFERROR(INDEX(PM_Model,MATCH($B1807,PM_ID,0)),""))</f>
        <v/>
      </c>
      <c r="H1807" s="5" t="n"/>
      <c r="I1807" s="10" t="n"/>
      <c r="J1807" s="9" t="n"/>
      <c r="K1807" s="5" t="n"/>
      <c r="L1807" s="5" t="n"/>
      <c r="M1807" s="5" t="n"/>
      <c r="N1807" s="5" t="n"/>
      <c r="O1807" s="8">
        <f>IF($B1807="","",IF(AND($A1807&lt;&gt;"",COUNTIF(INV_ID,$A1807)&gt;1),"⚠ this Unit ID already exists",IF(AND($H1807&lt;&gt;"",COUNTIF(INV_Serial,$H1807)&gt;1),"⚠ this serial already exists",IF(COUNTIFS(INV_Product,$B1807,INV_No,$C1807)&gt;1,"⚠ piece number reused",""))))</f>
        <v/>
      </c>
      <c r="P1807" s="5" t="n"/>
    </row>
    <row r="1808">
      <c r="A1808" s="8">
        <f>IF(OR($B1808="",$C1808=""),"",IFERROR(INDEX(PM_Short,MATCH($B1808,PM_ID,0))&amp;"-"&amp;TEXT($C1808,"00"),"?? no such product"))</f>
        <v/>
      </c>
      <c r="B1808" s="5" t="n"/>
      <c r="C1808" s="5" t="n"/>
      <c r="D1808" s="8">
        <f>IF($B1808="","",IFERROR(INDEX(PM_Category,MATCH($B1808,PM_ID,0)),""))</f>
        <v/>
      </c>
      <c r="E1808" s="8">
        <f>IF($B1808="","",IFERROR(INDEX(PM_Subcategory,MATCH($B1808,PM_ID,0)),""))</f>
        <v/>
      </c>
      <c r="F1808" s="8">
        <f>IF($B1808="","",IFERROR(INDEX(PM_Brand,MATCH($B1808,PM_ID,0)),""))</f>
        <v/>
      </c>
      <c r="G1808" s="8">
        <f>IF($B1808="","",IFERROR(INDEX(PM_Model,MATCH($B1808,PM_ID,0)),""))</f>
        <v/>
      </c>
      <c r="H1808" s="5" t="n"/>
      <c r="I1808" s="10" t="n"/>
      <c r="J1808" s="9" t="n"/>
      <c r="K1808" s="5" t="n"/>
      <c r="L1808" s="5" t="n"/>
      <c r="M1808" s="5" t="n"/>
      <c r="N1808" s="5" t="n"/>
      <c r="O1808" s="8">
        <f>IF($B1808="","",IF(AND($A1808&lt;&gt;"",COUNTIF(INV_ID,$A1808)&gt;1),"⚠ this Unit ID already exists",IF(AND($H1808&lt;&gt;"",COUNTIF(INV_Serial,$H1808)&gt;1),"⚠ this serial already exists",IF(COUNTIFS(INV_Product,$B1808,INV_No,$C1808)&gt;1,"⚠ piece number reused",""))))</f>
        <v/>
      </c>
      <c r="P1808" s="5" t="n"/>
    </row>
    <row r="1809">
      <c r="A1809" s="8">
        <f>IF(OR($B1809="",$C1809=""),"",IFERROR(INDEX(PM_Short,MATCH($B1809,PM_ID,0))&amp;"-"&amp;TEXT($C1809,"00"),"?? no such product"))</f>
        <v/>
      </c>
      <c r="B1809" s="5" t="n"/>
      <c r="C1809" s="5" t="n"/>
      <c r="D1809" s="8">
        <f>IF($B1809="","",IFERROR(INDEX(PM_Category,MATCH($B1809,PM_ID,0)),""))</f>
        <v/>
      </c>
      <c r="E1809" s="8">
        <f>IF($B1809="","",IFERROR(INDEX(PM_Subcategory,MATCH($B1809,PM_ID,0)),""))</f>
        <v/>
      </c>
      <c r="F1809" s="8">
        <f>IF($B1809="","",IFERROR(INDEX(PM_Brand,MATCH($B1809,PM_ID,0)),""))</f>
        <v/>
      </c>
      <c r="G1809" s="8">
        <f>IF($B1809="","",IFERROR(INDEX(PM_Model,MATCH($B1809,PM_ID,0)),""))</f>
        <v/>
      </c>
      <c r="H1809" s="5" t="n"/>
      <c r="I1809" s="10" t="n"/>
      <c r="J1809" s="9" t="n"/>
      <c r="K1809" s="5" t="n"/>
      <c r="L1809" s="5" t="n"/>
      <c r="M1809" s="5" t="n"/>
      <c r="N1809" s="5" t="n"/>
      <c r="O1809" s="8">
        <f>IF($B1809="","",IF(AND($A1809&lt;&gt;"",COUNTIF(INV_ID,$A1809)&gt;1),"⚠ this Unit ID already exists",IF(AND($H1809&lt;&gt;"",COUNTIF(INV_Serial,$H1809)&gt;1),"⚠ this serial already exists",IF(COUNTIFS(INV_Product,$B1809,INV_No,$C1809)&gt;1,"⚠ piece number reused",""))))</f>
        <v/>
      </c>
      <c r="P1809" s="5" t="n"/>
    </row>
    <row r="1810">
      <c r="A1810" s="8">
        <f>IF(OR($B1810="",$C1810=""),"",IFERROR(INDEX(PM_Short,MATCH($B1810,PM_ID,0))&amp;"-"&amp;TEXT($C1810,"00"),"?? no such product"))</f>
        <v/>
      </c>
      <c r="B1810" s="5" t="n"/>
      <c r="C1810" s="5" t="n"/>
      <c r="D1810" s="8">
        <f>IF($B1810="","",IFERROR(INDEX(PM_Category,MATCH($B1810,PM_ID,0)),""))</f>
        <v/>
      </c>
      <c r="E1810" s="8">
        <f>IF($B1810="","",IFERROR(INDEX(PM_Subcategory,MATCH($B1810,PM_ID,0)),""))</f>
        <v/>
      </c>
      <c r="F1810" s="8">
        <f>IF($B1810="","",IFERROR(INDEX(PM_Brand,MATCH($B1810,PM_ID,0)),""))</f>
        <v/>
      </c>
      <c r="G1810" s="8">
        <f>IF($B1810="","",IFERROR(INDEX(PM_Model,MATCH($B1810,PM_ID,0)),""))</f>
        <v/>
      </c>
      <c r="H1810" s="5" t="n"/>
      <c r="I1810" s="10" t="n"/>
      <c r="J1810" s="9" t="n"/>
      <c r="K1810" s="5" t="n"/>
      <c r="L1810" s="5" t="n"/>
      <c r="M1810" s="5" t="n"/>
      <c r="N1810" s="5" t="n"/>
      <c r="O1810" s="8">
        <f>IF($B1810="","",IF(AND($A1810&lt;&gt;"",COUNTIF(INV_ID,$A1810)&gt;1),"⚠ this Unit ID already exists",IF(AND($H1810&lt;&gt;"",COUNTIF(INV_Serial,$H1810)&gt;1),"⚠ this serial already exists",IF(COUNTIFS(INV_Product,$B1810,INV_No,$C1810)&gt;1,"⚠ piece number reused",""))))</f>
        <v/>
      </c>
      <c r="P1810" s="5" t="n"/>
    </row>
    <row r="1811">
      <c r="A1811" s="8">
        <f>IF(OR($B1811="",$C1811=""),"",IFERROR(INDEX(PM_Short,MATCH($B1811,PM_ID,0))&amp;"-"&amp;TEXT($C1811,"00"),"?? no such product"))</f>
        <v/>
      </c>
      <c r="B1811" s="5" t="n"/>
      <c r="C1811" s="5" t="n"/>
      <c r="D1811" s="8">
        <f>IF($B1811="","",IFERROR(INDEX(PM_Category,MATCH($B1811,PM_ID,0)),""))</f>
        <v/>
      </c>
      <c r="E1811" s="8">
        <f>IF($B1811="","",IFERROR(INDEX(PM_Subcategory,MATCH($B1811,PM_ID,0)),""))</f>
        <v/>
      </c>
      <c r="F1811" s="8">
        <f>IF($B1811="","",IFERROR(INDEX(PM_Brand,MATCH($B1811,PM_ID,0)),""))</f>
        <v/>
      </c>
      <c r="G1811" s="8">
        <f>IF($B1811="","",IFERROR(INDEX(PM_Model,MATCH($B1811,PM_ID,0)),""))</f>
        <v/>
      </c>
      <c r="H1811" s="5" t="n"/>
      <c r="I1811" s="10" t="n"/>
      <c r="J1811" s="9" t="n"/>
      <c r="K1811" s="5" t="n"/>
      <c r="L1811" s="5" t="n"/>
      <c r="M1811" s="5" t="n"/>
      <c r="N1811" s="5" t="n"/>
      <c r="O1811" s="8">
        <f>IF($B1811="","",IF(AND($A1811&lt;&gt;"",COUNTIF(INV_ID,$A1811)&gt;1),"⚠ this Unit ID already exists",IF(AND($H1811&lt;&gt;"",COUNTIF(INV_Serial,$H1811)&gt;1),"⚠ this serial already exists",IF(COUNTIFS(INV_Product,$B1811,INV_No,$C1811)&gt;1,"⚠ piece number reused",""))))</f>
        <v/>
      </c>
      <c r="P1811" s="5" t="n"/>
    </row>
    <row r="1812">
      <c r="A1812" s="8">
        <f>IF(OR($B1812="",$C1812=""),"",IFERROR(INDEX(PM_Short,MATCH($B1812,PM_ID,0))&amp;"-"&amp;TEXT($C1812,"00"),"?? no such product"))</f>
        <v/>
      </c>
      <c r="B1812" s="5" t="n"/>
      <c r="C1812" s="5" t="n"/>
      <c r="D1812" s="8">
        <f>IF($B1812="","",IFERROR(INDEX(PM_Category,MATCH($B1812,PM_ID,0)),""))</f>
        <v/>
      </c>
      <c r="E1812" s="8">
        <f>IF($B1812="","",IFERROR(INDEX(PM_Subcategory,MATCH($B1812,PM_ID,0)),""))</f>
        <v/>
      </c>
      <c r="F1812" s="8">
        <f>IF($B1812="","",IFERROR(INDEX(PM_Brand,MATCH($B1812,PM_ID,0)),""))</f>
        <v/>
      </c>
      <c r="G1812" s="8">
        <f>IF($B1812="","",IFERROR(INDEX(PM_Model,MATCH($B1812,PM_ID,0)),""))</f>
        <v/>
      </c>
      <c r="H1812" s="5" t="n"/>
      <c r="I1812" s="10" t="n"/>
      <c r="J1812" s="9" t="n"/>
      <c r="K1812" s="5" t="n"/>
      <c r="L1812" s="5" t="n"/>
      <c r="M1812" s="5" t="n"/>
      <c r="N1812" s="5" t="n"/>
      <c r="O1812" s="8">
        <f>IF($B1812="","",IF(AND($A1812&lt;&gt;"",COUNTIF(INV_ID,$A1812)&gt;1),"⚠ this Unit ID already exists",IF(AND($H1812&lt;&gt;"",COUNTIF(INV_Serial,$H1812)&gt;1),"⚠ this serial already exists",IF(COUNTIFS(INV_Product,$B1812,INV_No,$C1812)&gt;1,"⚠ piece number reused",""))))</f>
        <v/>
      </c>
      <c r="P1812" s="5" t="n"/>
    </row>
    <row r="1813">
      <c r="A1813" s="8">
        <f>IF(OR($B1813="",$C1813=""),"",IFERROR(INDEX(PM_Short,MATCH($B1813,PM_ID,0))&amp;"-"&amp;TEXT($C1813,"00"),"?? no such product"))</f>
        <v/>
      </c>
      <c r="B1813" s="5" t="n"/>
      <c r="C1813" s="5" t="n"/>
      <c r="D1813" s="8">
        <f>IF($B1813="","",IFERROR(INDEX(PM_Category,MATCH($B1813,PM_ID,0)),""))</f>
        <v/>
      </c>
      <c r="E1813" s="8">
        <f>IF($B1813="","",IFERROR(INDEX(PM_Subcategory,MATCH($B1813,PM_ID,0)),""))</f>
        <v/>
      </c>
      <c r="F1813" s="8">
        <f>IF($B1813="","",IFERROR(INDEX(PM_Brand,MATCH($B1813,PM_ID,0)),""))</f>
        <v/>
      </c>
      <c r="G1813" s="8">
        <f>IF($B1813="","",IFERROR(INDEX(PM_Model,MATCH($B1813,PM_ID,0)),""))</f>
        <v/>
      </c>
      <c r="H1813" s="5" t="n"/>
      <c r="I1813" s="10" t="n"/>
      <c r="J1813" s="9" t="n"/>
      <c r="K1813" s="5" t="n"/>
      <c r="L1813" s="5" t="n"/>
      <c r="M1813" s="5" t="n"/>
      <c r="N1813" s="5" t="n"/>
      <c r="O1813" s="8">
        <f>IF($B1813="","",IF(AND($A1813&lt;&gt;"",COUNTIF(INV_ID,$A1813)&gt;1),"⚠ this Unit ID already exists",IF(AND($H1813&lt;&gt;"",COUNTIF(INV_Serial,$H1813)&gt;1),"⚠ this serial already exists",IF(COUNTIFS(INV_Product,$B1813,INV_No,$C1813)&gt;1,"⚠ piece number reused",""))))</f>
        <v/>
      </c>
      <c r="P1813" s="5" t="n"/>
    </row>
    <row r="1814">
      <c r="A1814" s="8">
        <f>IF(OR($B1814="",$C1814=""),"",IFERROR(INDEX(PM_Short,MATCH($B1814,PM_ID,0))&amp;"-"&amp;TEXT($C1814,"00"),"?? no such product"))</f>
        <v/>
      </c>
      <c r="B1814" s="5" t="n"/>
      <c r="C1814" s="5" t="n"/>
      <c r="D1814" s="8">
        <f>IF($B1814="","",IFERROR(INDEX(PM_Category,MATCH($B1814,PM_ID,0)),""))</f>
        <v/>
      </c>
      <c r="E1814" s="8">
        <f>IF($B1814="","",IFERROR(INDEX(PM_Subcategory,MATCH($B1814,PM_ID,0)),""))</f>
        <v/>
      </c>
      <c r="F1814" s="8">
        <f>IF($B1814="","",IFERROR(INDEX(PM_Brand,MATCH($B1814,PM_ID,0)),""))</f>
        <v/>
      </c>
      <c r="G1814" s="8">
        <f>IF($B1814="","",IFERROR(INDEX(PM_Model,MATCH($B1814,PM_ID,0)),""))</f>
        <v/>
      </c>
      <c r="H1814" s="5" t="n"/>
      <c r="I1814" s="10" t="n"/>
      <c r="J1814" s="9" t="n"/>
      <c r="K1814" s="5" t="n"/>
      <c r="L1814" s="5" t="n"/>
      <c r="M1814" s="5" t="n"/>
      <c r="N1814" s="5" t="n"/>
      <c r="O1814" s="8">
        <f>IF($B1814="","",IF(AND($A1814&lt;&gt;"",COUNTIF(INV_ID,$A1814)&gt;1),"⚠ this Unit ID already exists",IF(AND($H1814&lt;&gt;"",COUNTIF(INV_Serial,$H1814)&gt;1),"⚠ this serial already exists",IF(COUNTIFS(INV_Product,$B1814,INV_No,$C1814)&gt;1,"⚠ piece number reused",""))))</f>
        <v/>
      </c>
      <c r="P1814" s="5" t="n"/>
    </row>
    <row r="1815">
      <c r="A1815" s="8">
        <f>IF(OR($B1815="",$C1815=""),"",IFERROR(INDEX(PM_Short,MATCH($B1815,PM_ID,0))&amp;"-"&amp;TEXT($C1815,"00"),"?? no such product"))</f>
        <v/>
      </c>
      <c r="B1815" s="5" t="n"/>
      <c r="C1815" s="5" t="n"/>
      <c r="D1815" s="8">
        <f>IF($B1815="","",IFERROR(INDEX(PM_Category,MATCH($B1815,PM_ID,0)),""))</f>
        <v/>
      </c>
      <c r="E1815" s="8">
        <f>IF($B1815="","",IFERROR(INDEX(PM_Subcategory,MATCH($B1815,PM_ID,0)),""))</f>
        <v/>
      </c>
      <c r="F1815" s="8">
        <f>IF($B1815="","",IFERROR(INDEX(PM_Brand,MATCH($B1815,PM_ID,0)),""))</f>
        <v/>
      </c>
      <c r="G1815" s="8">
        <f>IF($B1815="","",IFERROR(INDEX(PM_Model,MATCH($B1815,PM_ID,0)),""))</f>
        <v/>
      </c>
      <c r="H1815" s="5" t="n"/>
      <c r="I1815" s="10" t="n"/>
      <c r="J1815" s="9" t="n"/>
      <c r="K1815" s="5" t="n"/>
      <c r="L1815" s="5" t="n"/>
      <c r="M1815" s="5" t="n"/>
      <c r="N1815" s="5" t="n"/>
      <c r="O1815" s="8">
        <f>IF($B1815="","",IF(AND($A1815&lt;&gt;"",COUNTIF(INV_ID,$A1815)&gt;1),"⚠ this Unit ID already exists",IF(AND($H1815&lt;&gt;"",COUNTIF(INV_Serial,$H1815)&gt;1),"⚠ this serial already exists",IF(COUNTIFS(INV_Product,$B1815,INV_No,$C1815)&gt;1,"⚠ piece number reused",""))))</f>
        <v/>
      </c>
      <c r="P1815" s="5" t="n"/>
    </row>
    <row r="1816">
      <c r="A1816" s="8">
        <f>IF(OR($B1816="",$C1816=""),"",IFERROR(INDEX(PM_Short,MATCH($B1816,PM_ID,0))&amp;"-"&amp;TEXT($C1816,"00"),"?? no such product"))</f>
        <v/>
      </c>
      <c r="B1816" s="5" t="n"/>
      <c r="C1816" s="5" t="n"/>
      <c r="D1816" s="8">
        <f>IF($B1816="","",IFERROR(INDEX(PM_Category,MATCH($B1816,PM_ID,0)),""))</f>
        <v/>
      </c>
      <c r="E1816" s="8">
        <f>IF($B1816="","",IFERROR(INDEX(PM_Subcategory,MATCH($B1816,PM_ID,0)),""))</f>
        <v/>
      </c>
      <c r="F1816" s="8">
        <f>IF($B1816="","",IFERROR(INDEX(PM_Brand,MATCH($B1816,PM_ID,0)),""))</f>
        <v/>
      </c>
      <c r="G1816" s="8">
        <f>IF($B1816="","",IFERROR(INDEX(PM_Model,MATCH($B1816,PM_ID,0)),""))</f>
        <v/>
      </c>
      <c r="H1816" s="5" t="n"/>
      <c r="I1816" s="10" t="n"/>
      <c r="J1816" s="9" t="n"/>
      <c r="K1816" s="5" t="n"/>
      <c r="L1816" s="5" t="n"/>
      <c r="M1816" s="5" t="n"/>
      <c r="N1816" s="5" t="n"/>
      <c r="O1816" s="8">
        <f>IF($B1816="","",IF(AND($A1816&lt;&gt;"",COUNTIF(INV_ID,$A1816)&gt;1),"⚠ this Unit ID already exists",IF(AND($H1816&lt;&gt;"",COUNTIF(INV_Serial,$H1816)&gt;1),"⚠ this serial already exists",IF(COUNTIFS(INV_Product,$B1816,INV_No,$C1816)&gt;1,"⚠ piece number reused",""))))</f>
        <v/>
      </c>
      <c r="P1816" s="5" t="n"/>
    </row>
    <row r="1817">
      <c r="A1817" s="8">
        <f>IF(OR($B1817="",$C1817=""),"",IFERROR(INDEX(PM_Short,MATCH($B1817,PM_ID,0))&amp;"-"&amp;TEXT($C1817,"00"),"?? no such product"))</f>
        <v/>
      </c>
      <c r="B1817" s="5" t="n"/>
      <c r="C1817" s="5" t="n"/>
      <c r="D1817" s="8">
        <f>IF($B1817="","",IFERROR(INDEX(PM_Category,MATCH($B1817,PM_ID,0)),""))</f>
        <v/>
      </c>
      <c r="E1817" s="8">
        <f>IF($B1817="","",IFERROR(INDEX(PM_Subcategory,MATCH($B1817,PM_ID,0)),""))</f>
        <v/>
      </c>
      <c r="F1817" s="8">
        <f>IF($B1817="","",IFERROR(INDEX(PM_Brand,MATCH($B1817,PM_ID,0)),""))</f>
        <v/>
      </c>
      <c r="G1817" s="8">
        <f>IF($B1817="","",IFERROR(INDEX(PM_Model,MATCH($B1817,PM_ID,0)),""))</f>
        <v/>
      </c>
      <c r="H1817" s="5" t="n"/>
      <c r="I1817" s="10" t="n"/>
      <c r="J1817" s="9" t="n"/>
      <c r="K1817" s="5" t="n"/>
      <c r="L1817" s="5" t="n"/>
      <c r="M1817" s="5" t="n"/>
      <c r="N1817" s="5" t="n"/>
      <c r="O1817" s="8">
        <f>IF($B1817="","",IF(AND($A1817&lt;&gt;"",COUNTIF(INV_ID,$A1817)&gt;1),"⚠ this Unit ID already exists",IF(AND($H1817&lt;&gt;"",COUNTIF(INV_Serial,$H1817)&gt;1),"⚠ this serial already exists",IF(COUNTIFS(INV_Product,$B1817,INV_No,$C1817)&gt;1,"⚠ piece number reused",""))))</f>
        <v/>
      </c>
      <c r="P1817" s="5" t="n"/>
    </row>
    <row r="1818">
      <c r="A1818" s="8">
        <f>IF(OR($B1818="",$C1818=""),"",IFERROR(INDEX(PM_Short,MATCH($B1818,PM_ID,0))&amp;"-"&amp;TEXT($C1818,"00"),"?? no such product"))</f>
        <v/>
      </c>
      <c r="B1818" s="5" t="n"/>
      <c r="C1818" s="5" t="n"/>
      <c r="D1818" s="8">
        <f>IF($B1818="","",IFERROR(INDEX(PM_Category,MATCH($B1818,PM_ID,0)),""))</f>
        <v/>
      </c>
      <c r="E1818" s="8">
        <f>IF($B1818="","",IFERROR(INDEX(PM_Subcategory,MATCH($B1818,PM_ID,0)),""))</f>
        <v/>
      </c>
      <c r="F1818" s="8">
        <f>IF($B1818="","",IFERROR(INDEX(PM_Brand,MATCH($B1818,PM_ID,0)),""))</f>
        <v/>
      </c>
      <c r="G1818" s="8">
        <f>IF($B1818="","",IFERROR(INDEX(PM_Model,MATCH($B1818,PM_ID,0)),""))</f>
        <v/>
      </c>
      <c r="H1818" s="5" t="n"/>
      <c r="I1818" s="10" t="n"/>
      <c r="J1818" s="9" t="n"/>
      <c r="K1818" s="5" t="n"/>
      <c r="L1818" s="5" t="n"/>
      <c r="M1818" s="5" t="n"/>
      <c r="N1818" s="5" t="n"/>
      <c r="O1818" s="8">
        <f>IF($B1818="","",IF(AND($A1818&lt;&gt;"",COUNTIF(INV_ID,$A1818)&gt;1),"⚠ this Unit ID already exists",IF(AND($H1818&lt;&gt;"",COUNTIF(INV_Serial,$H1818)&gt;1),"⚠ this serial already exists",IF(COUNTIFS(INV_Product,$B1818,INV_No,$C1818)&gt;1,"⚠ piece number reused",""))))</f>
        <v/>
      </c>
      <c r="P1818" s="5" t="n"/>
    </row>
    <row r="1819">
      <c r="A1819" s="8">
        <f>IF(OR($B1819="",$C1819=""),"",IFERROR(INDEX(PM_Short,MATCH($B1819,PM_ID,0))&amp;"-"&amp;TEXT($C1819,"00"),"?? no such product"))</f>
        <v/>
      </c>
      <c r="B1819" s="5" t="n"/>
      <c r="C1819" s="5" t="n"/>
      <c r="D1819" s="8">
        <f>IF($B1819="","",IFERROR(INDEX(PM_Category,MATCH($B1819,PM_ID,0)),""))</f>
        <v/>
      </c>
      <c r="E1819" s="8">
        <f>IF($B1819="","",IFERROR(INDEX(PM_Subcategory,MATCH($B1819,PM_ID,0)),""))</f>
        <v/>
      </c>
      <c r="F1819" s="8">
        <f>IF($B1819="","",IFERROR(INDEX(PM_Brand,MATCH($B1819,PM_ID,0)),""))</f>
        <v/>
      </c>
      <c r="G1819" s="8">
        <f>IF($B1819="","",IFERROR(INDEX(PM_Model,MATCH($B1819,PM_ID,0)),""))</f>
        <v/>
      </c>
      <c r="H1819" s="5" t="n"/>
      <c r="I1819" s="10" t="n"/>
      <c r="J1819" s="9" t="n"/>
      <c r="K1819" s="5" t="n"/>
      <c r="L1819" s="5" t="n"/>
      <c r="M1819" s="5" t="n"/>
      <c r="N1819" s="5" t="n"/>
      <c r="O1819" s="8">
        <f>IF($B1819="","",IF(AND($A1819&lt;&gt;"",COUNTIF(INV_ID,$A1819)&gt;1),"⚠ this Unit ID already exists",IF(AND($H1819&lt;&gt;"",COUNTIF(INV_Serial,$H1819)&gt;1),"⚠ this serial already exists",IF(COUNTIFS(INV_Product,$B1819,INV_No,$C1819)&gt;1,"⚠ piece number reused",""))))</f>
        <v/>
      </c>
      <c r="P1819" s="5" t="n"/>
    </row>
    <row r="1820">
      <c r="A1820" s="8">
        <f>IF(OR($B1820="",$C1820=""),"",IFERROR(INDEX(PM_Short,MATCH($B1820,PM_ID,0))&amp;"-"&amp;TEXT($C1820,"00"),"?? no such product"))</f>
        <v/>
      </c>
      <c r="B1820" s="5" t="n"/>
      <c r="C1820" s="5" t="n"/>
      <c r="D1820" s="8">
        <f>IF($B1820="","",IFERROR(INDEX(PM_Category,MATCH($B1820,PM_ID,0)),""))</f>
        <v/>
      </c>
      <c r="E1820" s="8">
        <f>IF($B1820="","",IFERROR(INDEX(PM_Subcategory,MATCH($B1820,PM_ID,0)),""))</f>
        <v/>
      </c>
      <c r="F1820" s="8">
        <f>IF($B1820="","",IFERROR(INDEX(PM_Brand,MATCH($B1820,PM_ID,0)),""))</f>
        <v/>
      </c>
      <c r="G1820" s="8">
        <f>IF($B1820="","",IFERROR(INDEX(PM_Model,MATCH($B1820,PM_ID,0)),""))</f>
        <v/>
      </c>
      <c r="H1820" s="5" t="n"/>
      <c r="I1820" s="10" t="n"/>
      <c r="J1820" s="9" t="n"/>
      <c r="K1820" s="5" t="n"/>
      <c r="L1820" s="5" t="n"/>
      <c r="M1820" s="5" t="n"/>
      <c r="N1820" s="5" t="n"/>
      <c r="O1820" s="8">
        <f>IF($B1820="","",IF(AND($A1820&lt;&gt;"",COUNTIF(INV_ID,$A1820)&gt;1),"⚠ this Unit ID already exists",IF(AND($H1820&lt;&gt;"",COUNTIF(INV_Serial,$H1820)&gt;1),"⚠ this serial already exists",IF(COUNTIFS(INV_Product,$B1820,INV_No,$C1820)&gt;1,"⚠ piece number reused",""))))</f>
        <v/>
      </c>
      <c r="P1820" s="5" t="n"/>
    </row>
    <row r="1821">
      <c r="A1821" s="8">
        <f>IF(OR($B1821="",$C1821=""),"",IFERROR(INDEX(PM_Short,MATCH($B1821,PM_ID,0))&amp;"-"&amp;TEXT($C1821,"00"),"?? no such product"))</f>
        <v/>
      </c>
      <c r="B1821" s="5" t="n"/>
      <c r="C1821" s="5" t="n"/>
      <c r="D1821" s="8">
        <f>IF($B1821="","",IFERROR(INDEX(PM_Category,MATCH($B1821,PM_ID,0)),""))</f>
        <v/>
      </c>
      <c r="E1821" s="8">
        <f>IF($B1821="","",IFERROR(INDEX(PM_Subcategory,MATCH($B1821,PM_ID,0)),""))</f>
        <v/>
      </c>
      <c r="F1821" s="8">
        <f>IF($B1821="","",IFERROR(INDEX(PM_Brand,MATCH($B1821,PM_ID,0)),""))</f>
        <v/>
      </c>
      <c r="G1821" s="8">
        <f>IF($B1821="","",IFERROR(INDEX(PM_Model,MATCH($B1821,PM_ID,0)),""))</f>
        <v/>
      </c>
      <c r="H1821" s="5" t="n"/>
      <c r="I1821" s="10" t="n"/>
      <c r="J1821" s="9" t="n"/>
      <c r="K1821" s="5" t="n"/>
      <c r="L1821" s="5" t="n"/>
      <c r="M1821" s="5" t="n"/>
      <c r="N1821" s="5" t="n"/>
      <c r="O1821" s="8">
        <f>IF($B1821="","",IF(AND($A1821&lt;&gt;"",COUNTIF(INV_ID,$A1821)&gt;1),"⚠ this Unit ID already exists",IF(AND($H1821&lt;&gt;"",COUNTIF(INV_Serial,$H1821)&gt;1),"⚠ this serial already exists",IF(COUNTIFS(INV_Product,$B1821,INV_No,$C1821)&gt;1,"⚠ piece number reused",""))))</f>
        <v/>
      </c>
      <c r="P1821" s="5" t="n"/>
    </row>
    <row r="1822">
      <c r="A1822" s="8">
        <f>IF(OR($B1822="",$C1822=""),"",IFERROR(INDEX(PM_Short,MATCH($B1822,PM_ID,0))&amp;"-"&amp;TEXT($C1822,"00"),"?? no such product"))</f>
        <v/>
      </c>
      <c r="B1822" s="5" t="n"/>
      <c r="C1822" s="5" t="n"/>
      <c r="D1822" s="8">
        <f>IF($B1822="","",IFERROR(INDEX(PM_Category,MATCH($B1822,PM_ID,0)),""))</f>
        <v/>
      </c>
      <c r="E1822" s="8">
        <f>IF($B1822="","",IFERROR(INDEX(PM_Subcategory,MATCH($B1822,PM_ID,0)),""))</f>
        <v/>
      </c>
      <c r="F1822" s="8">
        <f>IF($B1822="","",IFERROR(INDEX(PM_Brand,MATCH($B1822,PM_ID,0)),""))</f>
        <v/>
      </c>
      <c r="G1822" s="8">
        <f>IF($B1822="","",IFERROR(INDEX(PM_Model,MATCH($B1822,PM_ID,0)),""))</f>
        <v/>
      </c>
      <c r="H1822" s="5" t="n"/>
      <c r="I1822" s="10" t="n"/>
      <c r="J1822" s="9" t="n"/>
      <c r="K1822" s="5" t="n"/>
      <c r="L1822" s="5" t="n"/>
      <c r="M1822" s="5" t="n"/>
      <c r="N1822" s="5" t="n"/>
      <c r="O1822" s="8">
        <f>IF($B1822="","",IF(AND($A1822&lt;&gt;"",COUNTIF(INV_ID,$A1822)&gt;1),"⚠ this Unit ID already exists",IF(AND($H1822&lt;&gt;"",COUNTIF(INV_Serial,$H1822)&gt;1),"⚠ this serial already exists",IF(COUNTIFS(INV_Product,$B1822,INV_No,$C1822)&gt;1,"⚠ piece number reused",""))))</f>
        <v/>
      </c>
      <c r="P1822" s="5" t="n"/>
    </row>
    <row r="1823">
      <c r="A1823" s="8">
        <f>IF(OR($B1823="",$C1823=""),"",IFERROR(INDEX(PM_Short,MATCH($B1823,PM_ID,0))&amp;"-"&amp;TEXT($C1823,"00"),"?? no such product"))</f>
        <v/>
      </c>
      <c r="B1823" s="5" t="n"/>
      <c r="C1823" s="5" t="n"/>
      <c r="D1823" s="8">
        <f>IF($B1823="","",IFERROR(INDEX(PM_Category,MATCH($B1823,PM_ID,0)),""))</f>
        <v/>
      </c>
      <c r="E1823" s="8">
        <f>IF($B1823="","",IFERROR(INDEX(PM_Subcategory,MATCH($B1823,PM_ID,0)),""))</f>
        <v/>
      </c>
      <c r="F1823" s="8">
        <f>IF($B1823="","",IFERROR(INDEX(PM_Brand,MATCH($B1823,PM_ID,0)),""))</f>
        <v/>
      </c>
      <c r="G1823" s="8">
        <f>IF($B1823="","",IFERROR(INDEX(PM_Model,MATCH($B1823,PM_ID,0)),""))</f>
        <v/>
      </c>
      <c r="H1823" s="5" t="n"/>
      <c r="I1823" s="10" t="n"/>
      <c r="J1823" s="9" t="n"/>
      <c r="K1823" s="5" t="n"/>
      <c r="L1823" s="5" t="n"/>
      <c r="M1823" s="5" t="n"/>
      <c r="N1823" s="5" t="n"/>
      <c r="O1823" s="8">
        <f>IF($B1823="","",IF(AND($A1823&lt;&gt;"",COUNTIF(INV_ID,$A1823)&gt;1),"⚠ this Unit ID already exists",IF(AND($H1823&lt;&gt;"",COUNTIF(INV_Serial,$H1823)&gt;1),"⚠ this serial already exists",IF(COUNTIFS(INV_Product,$B1823,INV_No,$C1823)&gt;1,"⚠ piece number reused",""))))</f>
        <v/>
      </c>
      <c r="P1823" s="5" t="n"/>
    </row>
    <row r="1824">
      <c r="A1824" s="8">
        <f>IF(OR($B1824="",$C1824=""),"",IFERROR(INDEX(PM_Short,MATCH($B1824,PM_ID,0))&amp;"-"&amp;TEXT($C1824,"00"),"?? no such product"))</f>
        <v/>
      </c>
      <c r="B1824" s="5" t="n"/>
      <c r="C1824" s="5" t="n"/>
      <c r="D1824" s="8">
        <f>IF($B1824="","",IFERROR(INDEX(PM_Category,MATCH($B1824,PM_ID,0)),""))</f>
        <v/>
      </c>
      <c r="E1824" s="8">
        <f>IF($B1824="","",IFERROR(INDEX(PM_Subcategory,MATCH($B1824,PM_ID,0)),""))</f>
        <v/>
      </c>
      <c r="F1824" s="8">
        <f>IF($B1824="","",IFERROR(INDEX(PM_Brand,MATCH($B1824,PM_ID,0)),""))</f>
        <v/>
      </c>
      <c r="G1824" s="8">
        <f>IF($B1824="","",IFERROR(INDEX(PM_Model,MATCH($B1824,PM_ID,0)),""))</f>
        <v/>
      </c>
      <c r="H1824" s="5" t="n"/>
      <c r="I1824" s="10" t="n"/>
      <c r="J1824" s="9" t="n"/>
      <c r="K1824" s="5" t="n"/>
      <c r="L1824" s="5" t="n"/>
      <c r="M1824" s="5" t="n"/>
      <c r="N1824" s="5" t="n"/>
      <c r="O1824" s="8">
        <f>IF($B1824="","",IF(AND($A1824&lt;&gt;"",COUNTIF(INV_ID,$A1824)&gt;1),"⚠ this Unit ID already exists",IF(AND($H1824&lt;&gt;"",COUNTIF(INV_Serial,$H1824)&gt;1),"⚠ this serial already exists",IF(COUNTIFS(INV_Product,$B1824,INV_No,$C1824)&gt;1,"⚠ piece number reused",""))))</f>
        <v/>
      </c>
      <c r="P1824" s="5" t="n"/>
    </row>
    <row r="1825">
      <c r="A1825" s="8">
        <f>IF(OR($B1825="",$C1825=""),"",IFERROR(INDEX(PM_Short,MATCH($B1825,PM_ID,0))&amp;"-"&amp;TEXT($C1825,"00"),"?? no such product"))</f>
        <v/>
      </c>
      <c r="B1825" s="5" t="n"/>
      <c r="C1825" s="5" t="n"/>
      <c r="D1825" s="8">
        <f>IF($B1825="","",IFERROR(INDEX(PM_Category,MATCH($B1825,PM_ID,0)),""))</f>
        <v/>
      </c>
      <c r="E1825" s="8">
        <f>IF($B1825="","",IFERROR(INDEX(PM_Subcategory,MATCH($B1825,PM_ID,0)),""))</f>
        <v/>
      </c>
      <c r="F1825" s="8">
        <f>IF($B1825="","",IFERROR(INDEX(PM_Brand,MATCH($B1825,PM_ID,0)),""))</f>
        <v/>
      </c>
      <c r="G1825" s="8">
        <f>IF($B1825="","",IFERROR(INDEX(PM_Model,MATCH($B1825,PM_ID,0)),""))</f>
        <v/>
      </c>
      <c r="H1825" s="5" t="n"/>
      <c r="I1825" s="10" t="n"/>
      <c r="J1825" s="9" t="n"/>
      <c r="K1825" s="5" t="n"/>
      <c r="L1825" s="5" t="n"/>
      <c r="M1825" s="5" t="n"/>
      <c r="N1825" s="5" t="n"/>
      <c r="O1825" s="8">
        <f>IF($B1825="","",IF(AND($A1825&lt;&gt;"",COUNTIF(INV_ID,$A1825)&gt;1),"⚠ this Unit ID already exists",IF(AND($H1825&lt;&gt;"",COUNTIF(INV_Serial,$H1825)&gt;1),"⚠ this serial already exists",IF(COUNTIFS(INV_Product,$B1825,INV_No,$C1825)&gt;1,"⚠ piece number reused",""))))</f>
        <v/>
      </c>
      <c r="P1825" s="5" t="n"/>
    </row>
    <row r="1826">
      <c r="A1826" s="8">
        <f>IF(OR($B1826="",$C1826=""),"",IFERROR(INDEX(PM_Short,MATCH($B1826,PM_ID,0))&amp;"-"&amp;TEXT($C1826,"00"),"?? no such product"))</f>
        <v/>
      </c>
      <c r="B1826" s="5" t="n"/>
      <c r="C1826" s="5" t="n"/>
      <c r="D1826" s="8">
        <f>IF($B1826="","",IFERROR(INDEX(PM_Category,MATCH($B1826,PM_ID,0)),""))</f>
        <v/>
      </c>
      <c r="E1826" s="8">
        <f>IF($B1826="","",IFERROR(INDEX(PM_Subcategory,MATCH($B1826,PM_ID,0)),""))</f>
        <v/>
      </c>
      <c r="F1826" s="8">
        <f>IF($B1826="","",IFERROR(INDEX(PM_Brand,MATCH($B1826,PM_ID,0)),""))</f>
        <v/>
      </c>
      <c r="G1826" s="8">
        <f>IF($B1826="","",IFERROR(INDEX(PM_Model,MATCH($B1826,PM_ID,0)),""))</f>
        <v/>
      </c>
      <c r="H1826" s="5" t="n"/>
      <c r="I1826" s="10" t="n"/>
      <c r="J1826" s="9" t="n"/>
      <c r="K1826" s="5" t="n"/>
      <c r="L1826" s="5" t="n"/>
      <c r="M1826" s="5" t="n"/>
      <c r="N1826" s="5" t="n"/>
      <c r="O1826" s="8">
        <f>IF($B1826="","",IF(AND($A1826&lt;&gt;"",COUNTIF(INV_ID,$A1826)&gt;1),"⚠ this Unit ID already exists",IF(AND($H1826&lt;&gt;"",COUNTIF(INV_Serial,$H1826)&gt;1),"⚠ this serial already exists",IF(COUNTIFS(INV_Product,$B1826,INV_No,$C1826)&gt;1,"⚠ piece number reused",""))))</f>
        <v/>
      </c>
      <c r="P1826" s="5" t="n"/>
    </row>
    <row r="1827">
      <c r="A1827" s="8">
        <f>IF(OR($B1827="",$C1827=""),"",IFERROR(INDEX(PM_Short,MATCH($B1827,PM_ID,0))&amp;"-"&amp;TEXT($C1827,"00"),"?? no such product"))</f>
        <v/>
      </c>
      <c r="B1827" s="5" t="n"/>
      <c r="C1827" s="5" t="n"/>
      <c r="D1827" s="8">
        <f>IF($B1827="","",IFERROR(INDEX(PM_Category,MATCH($B1827,PM_ID,0)),""))</f>
        <v/>
      </c>
      <c r="E1827" s="8">
        <f>IF($B1827="","",IFERROR(INDEX(PM_Subcategory,MATCH($B1827,PM_ID,0)),""))</f>
        <v/>
      </c>
      <c r="F1827" s="8">
        <f>IF($B1827="","",IFERROR(INDEX(PM_Brand,MATCH($B1827,PM_ID,0)),""))</f>
        <v/>
      </c>
      <c r="G1827" s="8">
        <f>IF($B1827="","",IFERROR(INDEX(PM_Model,MATCH($B1827,PM_ID,0)),""))</f>
        <v/>
      </c>
      <c r="H1827" s="5" t="n"/>
      <c r="I1827" s="10" t="n"/>
      <c r="J1827" s="9" t="n"/>
      <c r="K1827" s="5" t="n"/>
      <c r="L1827" s="5" t="n"/>
      <c r="M1827" s="5" t="n"/>
      <c r="N1827" s="5" t="n"/>
      <c r="O1827" s="8">
        <f>IF($B1827="","",IF(AND($A1827&lt;&gt;"",COUNTIF(INV_ID,$A1827)&gt;1),"⚠ this Unit ID already exists",IF(AND($H1827&lt;&gt;"",COUNTIF(INV_Serial,$H1827)&gt;1),"⚠ this serial already exists",IF(COUNTIFS(INV_Product,$B1827,INV_No,$C1827)&gt;1,"⚠ piece number reused",""))))</f>
        <v/>
      </c>
      <c r="P1827" s="5" t="n"/>
    </row>
    <row r="1828">
      <c r="A1828" s="8">
        <f>IF(OR($B1828="",$C1828=""),"",IFERROR(INDEX(PM_Short,MATCH($B1828,PM_ID,0))&amp;"-"&amp;TEXT($C1828,"00"),"?? no such product"))</f>
        <v/>
      </c>
      <c r="B1828" s="5" t="n"/>
      <c r="C1828" s="5" t="n"/>
      <c r="D1828" s="8">
        <f>IF($B1828="","",IFERROR(INDEX(PM_Category,MATCH($B1828,PM_ID,0)),""))</f>
        <v/>
      </c>
      <c r="E1828" s="8">
        <f>IF($B1828="","",IFERROR(INDEX(PM_Subcategory,MATCH($B1828,PM_ID,0)),""))</f>
        <v/>
      </c>
      <c r="F1828" s="8">
        <f>IF($B1828="","",IFERROR(INDEX(PM_Brand,MATCH($B1828,PM_ID,0)),""))</f>
        <v/>
      </c>
      <c r="G1828" s="8">
        <f>IF($B1828="","",IFERROR(INDEX(PM_Model,MATCH($B1828,PM_ID,0)),""))</f>
        <v/>
      </c>
      <c r="H1828" s="5" t="n"/>
      <c r="I1828" s="10" t="n"/>
      <c r="J1828" s="9" t="n"/>
      <c r="K1828" s="5" t="n"/>
      <c r="L1828" s="5" t="n"/>
      <c r="M1828" s="5" t="n"/>
      <c r="N1828" s="5" t="n"/>
      <c r="O1828" s="8">
        <f>IF($B1828="","",IF(AND($A1828&lt;&gt;"",COUNTIF(INV_ID,$A1828)&gt;1),"⚠ this Unit ID already exists",IF(AND($H1828&lt;&gt;"",COUNTIF(INV_Serial,$H1828)&gt;1),"⚠ this serial already exists",IF(COUNTIFS(INV_Product,$B1828,INV_No,$C1828)&gt;1,"⚠ piece number reused",""))))</f>
        <v/>
      </c>
      <c r="P1828" s="5" t="n"/>
    </row>
    <row r="1829">
      <c r="A1829" s="8">
        <f>IF(OR($B1829="",$C1829=""),"",IFERROR(INDEX(PM_Short,MATCH($B1829,PM_ID,0))&amp;"-"&amp;TEXT($C1829,"00"),"?? no such product"))</f>
        <v/>
      </c>
      <c r="B1829" s="5" t="n"/>
      <c r="C1829" s="5" t="n"/>
      <c r="D1829" s="8">
        <f>IF($B1829="","",IFERROR(INDEX(PM_Category,MATCH($B1829,PM_ID,0)),""))</f>
        <v/>
      </c>
      <c r="E1829" s="8">
        <f>IF($B1829="","",IFERROR(INDEX(PM_Subcategory,MATCH($B1829,PM_ID,0)),""))</f>
        <v/>
      </c>
      <c r="F1829" s="8">
        <f>IF($B1829="","",IFERROR(INDEX(PM_Brand,MATCH($B1829,PM_ID,0)),""))</f>
        <v/>
      </c>
      <c r="G1829" s="8">
        <f>IF($B1829="","",IFERROR(INDEX(PM_Model,MATCH($B1829,PM_ID,0)),""))</f>
        <v/>
      </c>
      <c r="H1829" s="5" t="n"/>
      <c r="I1829" s="10" t="n"/>
      <c r="J1829" s="9" t="n"/>
      <c r="K1829" s="5" t="n"/>
      <c r="L1829" s="5" t="n"/>
      <c r="M1829" s="5" t="n"/>
      <c r="N1829" s="5" t="n"/>
      <c r="O1829" s="8">
        <f>IF($B1829="","",IF(AND($A1829&lt;&gt;"",COUNTIF(INV_ID,$A1829)&gt;1),"⚠ this Unit ID already exists",IF(AND($H1829&lt;&gt;"",COUNTIF(INV_Serial,$H1829)&gt;1),"⚠ this serial already exists",IF(COUNTIFS(INV_Product,$B1829,INV_No,$C1829)&gt;1,"⚠ piece number reused",""))))</f>
        <v/>
      </c>
      <c r="P1829" s="5" t="n"/>
    </row>
    <row r="1830">
      <c r="A1830" s="8">
        <f>IF(OR($B1830="",$C1830=""),"",IFERROR(INDEX(PM_Short,MATCH($B1830,PM_ID,0))&amp;"-"&amp;TEXT($C1830,"00"),"?? no such product"))</f>
        <v/>
      </c>
      <c r="B1830" s="5" t="n"/>
      <c r="C1830" s="5" t="n"/>
      <c r="D1830" s="8">
        <f>IF($B1830="","",IFERROR(INDEX(PM_Category,MATCH($B1830,PM_ID,0)),""))</f>
        <v/>
      </c>
      <c r="E1830" s="8">
        <f>IF($B1830="","",IFERROR(INDEX(PM_Subcategory,MATCH($B1830,PM_ID,0)),""))</f>
        <v/>
      </c>
      <c r="F1830" s="8">
        <f>IF($B1830="","",IFERROR(INDEX(PM_Brand,MATCH($B1830,PM_ID,0)),""))</f>
        <v/>
      </c>
      <c r="G1830" s="8">
        <f>IF($B1830="","",IFERROR(INDEX(PM_Model,MATCH($B1830,PM_ID,0)),""))</f>
        <v/>
      </c>
      <c r="H1830" s="5" t="n"/>
      <c r="I1830" s="10" t="n"/>
      <c r="J1830" s="9" t="n"/>
      <c r="K1830" s="5" t="n"/>
      <c r="L1830" s="5" t="n"/>
      <c r="M1830" s="5" t="n"/>
      <c r="N1830" s="5" t="n"/>
      <c r="O1830" s="8">
        <f>IF($B1830="","",IF(AND($A1830&lt;&gt;"",COUNTIF(INV_ID,$A1830)&gt;1),"⚠ this Unit ID already exists",IF(AND($H1830&lt;&gt;"",COUNTIF(INV_Serial,$H1830)&gt;1),"⚠ this serial already exists",IF(COUNTIFS(INV_Product,$B1830,INV_No,$C1830)&gt;1,"⚠ piece number reused",""))))</f>
        <v/>
      </c>
      <c r="P1830" s="5" t="n"/>
    </row>
    <row r="1831">
      <c r="A1831" s="8">
        <f>IF(OR($B1831="",$C1831=""),"",IFERROR(INDEX(PM_Short,MATCH($B1831,PM_ID,0))&amp;"-"&amp;TEXT($C1831,"00"),"?? no such product"))</f>
        <v/>
      </c>
      <c r="B1831" s="5" t="n"/>
      <c r="C1831" s="5" t="n"/>
      <c r="D1831" s="8">
        <f>IF($B1831="","",IFERROR(INDEX(PM_Category,MATCH($B1831,PM_ID,0)),""))</f>
        <v/>
      </c>
      <c r="E1831" s="8">
        <f>IF($B1831="","",IFERROR(INDEX(PM_Subcategory,MATCH($B1831,PM_ID,0)),""))</f>
        <v/>
      </c>
      <c r="F1831" s="8">
        <f>IF($B1831="","",IFERROR(INDEX(PM_Brand,MATCH($B1831,PM_ID,0)),""))</f>
        <v/>
      </c>
      <c r="G1831" s="8">
        <f>IF($B1831="","",IFERROR(INDEX(PM_Model,MATCH($B1831,PM_ID,0)),""))</f>
        <v/>
      </c>
      <c r="H1831" s="5" t="n"/>
      <c r="I1831" s="10" t="n"/>
      <c r="J1831" s="9" t="n"/>
      <c r="K1831" s="5" t="n"/>
      <c r="L1831" s="5" t="n"/>
      <c r="M1831" s="5" t="n"/>
      <c r="N1831" s="5" t="n"/>
      <c r="O1831" s="8">
        <f>IF($B1831="","",IF(AND($A1831&lt;&gt;"",COUNTIF(INV_ID,$A1831)&gt;1),"⚠ this Unit ID already exists",IF(AND($H1831&lt;&gt;"",COUNTIF(INV_Serial,$H1831)&gt;1),"⚠ this serial already exists",IF(COUNTIFS(INV_Product,$B1831,INV_No,$C1831)&gt;1,"⚠ piece number reused",""))))</f>
        <v/>
      </c>
      <c r="P1831" s="5" t="n"/>
    </row>
    <row r="1832">
      <c r="A1832" s="8">
        <f>IF(OR($B1832="",$C1832=""),"",IFERROR(INDEX(PM_Short,MATCH($B1832,PM_ID,0))&amp;"-"&amp;TEXT($C1832,"00"),"?? no such product"))</f>
        <v/>
      </c>
      <c r="B1832" s="5" t="n"/>
      <c r="C1832" s="5" t="n"/>
      <c r="D1832" s="8">
        <f>IF($B1832="","",IFERROR(INDEX(PM_Category,MATCH($B1832,PM_ID,0)),""))</f>
        <v/>
      </c>
      <c r="E1832" s="8">
        <f>IF($B1832="","",IFERROR(INDEX(PM_Subcategory,MATCH($B1832,PM_ID,0)),""))</f>
        <v/>
      </c>
      <c r="F1832" s="8">
        <f>IF($B1832="","",IFERROR(INDEX(PM_Brand,MATCH($B1832,PM_ID,0)),""))</f>
        <v/>
      </c>
      <c r="G1832" s="8">
        <f>IF($B1832="","",IFERROR(INDEX(PM_Model,MATCH($B1832,PM_ID,0)),""))</f>
        <v/>
      </c>
      <c r="H1832" s="5" t="n"/>
      <c r="I1832" s="10" t="n"/>
      <c r="J1832" s="9" t="n"/>
      <c r="K1832" s="5" t="n"/>
      <c r="L1832" s="5" t="n"/>
      <c r="M1832" s="5" t="n"/>
      <c r="N1832" s="5" t="n"/>
      <c r="O1832" s="8">
        <f>IF($B1832="","",IF(AND($A1832&lt;&gt;"",COUNTIF(INV_ID,$A1832)&gt;1),"⚠ this Unit ID already exists",IF(AND($H1832&lt;&gt;"",COUNTIF(INV_Serial,$H1832)&gt;1),"⚠ this serial already exists",IF(COUNTIFS(INV_Product,$B1832,INV_No,$C1832)&gt;1,"⚠ piece number reused",""))))</f>
        <v/>
      </c>
      <c r="P1832" s="5" t="n"/>
    </row>
    <row r="1833">
      <c r="A1833" s="8">
        <f>IF(OR($B1833="",$C1833=""),"",IFERROR(INDEX(PM_Short,MATCH($B1833,PM_ID,0))&amp;"-"&amp;TEXT($C1833,"00"),"?? no such product"))</f>
        <v/>
      </c>
      <c r="B1833" s="5" t="n"/>
      <c r="C1833" s="5" t="n"/>
      <c r="D1833" s="8">
        <f>IF($B1833="","",IFERROR(INDEX(PM_Category,MATCH($B1833,PM_ID,0)),""))</f>
        <v/>
      </c>
      <c r="E1833" s="8">
        <f>IF($B1833="","",IFERROR(INDEX(PM_Subcategory,MATCH($B1833,PM_ID,0)),""))</f>
        <v/>
      </c>
      <c r="F1833" s="8">
        <f>IF($B1833="","",IFERROR(INDEX(PM_Brand,MATCH($B1833,PM_ID,0)),""))</f>
        <v/>
      </c>
      <c r="G1833" s="8">
        <f>IF($B1833="","",IFERROR(INDEX(PM_Model,MATCH($B1833,PM_ID,0)),""))</f>
        <v/>
      </c>
      <c r="H1833" s="5" t="n"/>
      <c r="I1833" s="10" t="n"/>
      <c r="J1833" s="9" t="n"/>
      <c r="K1833" s="5" t="n"/>
      <c r="L1833" s="5" t="n"/>
      <c r="M1833" s="5" t="n"/>
      <c r="N1833" s="5" t="n"/>
      <c r="O1833" s="8">
        <f>IF($B1833="","",IF(AND($A1833&lt;&gt;"",COUNTIF(INV_ID,$A1833)&gt;1),"⚠ this Unit ID already exists",IF(AND($H1833&lt;&gt;"",COUNTIF(INV_Serial,$H1833)&gt;1),"⚠ this serial already exists",IF(COUNTIFS(INV_Product,$B1833,INV_No,$C1833)&gt;1,"⚠ piece number reused",""))))</f>
        <v/>
      </c>
      <c r="P1833" s="5" t="n"/>
    </row>
    <row r="1834">
      <c r="A1834" s="8">
        <f>IF(OR($B1834="",$C1834=""),"",IFERROR(INDEX(PM_Short,MATCH($B1834,PM_ID,0))&amp;"-"&amp;TEXT($C1834,"00"),"?? no such product"))</f>
        <v/>
      </c>
      <c r="B1834" s="5" t="n"/>
      <c r="C1834" s="5" t="n"/>
      <c r="D1834" s="8">
        <f>IF($B1834="","",IFERROR(INDEX(PM_Category,MATCH($B1834,PM_ID,0)),""))</f>
        <v/>
      </c>
      <c r="E1834" s="8">
        <f>IF($B1834="","",IFERROR(INDEX(PM_Subcategory,MATCH($B1834,PM_ID,0)),""))</f>
        <v/>
      </c>
      <c r="F1834" s="8">
        <f>IF($B1834="","",IFERROR(INDEX(PM_Brand,MATCH($B1834,PM_ID,0)),""))</f>
        <v/>
      </c>
      <c r="G1834" s="8">
        <f>IF($B1834="","",IFERROR(INDEX(PM_Model,MATCH($B1834,PM_ID,0)),""))</f>
        <v/>
      </c>
      <c r="H1834" s="5" t="n"/>
      <c r="I1834" s="10" t="n"/>
      <c r="J1834" s="9" t="n"/>
      <c r="K1834" s="5" t="n"/>
      <c r="L1834" s="5" t="n"/>
      <c r="M1834" s="5" t="n"/>
      <c r="N1834" s="5" t="n"/>
      <c r="O1834" s="8">
        <f>IF($B1834="","",IF(AND($A1834&lt;&gt;"",COUNTIF(INV_ID,$A1834)&gt;1),"⚠ this Unit ID already exists",IF(AND($H1834&lt;&gt;"",COUNTIF(INV_Serial,$H1834)&gt;1),"⚠ this serial already exists",IF(COUNTIFS(INV_Product,$B1834,INV_No,$C1834)&gt;1,"⚠ piece number reused",""))))</f>
        <v/>
      </c>
      <c r="P1834" s="5" t="n"/>
    </row>
    <row r="1835">
      <c r="A1835" s="8">
        <f>IF(OR($B1835="",$C1835=""),"",IFERROR(INDEX(PM_Short,MATCH($B1835,PM_ID,0))&amp;"-"&amp;TEXT($C1835,"00"),"?? no such product"))</f>
        <v/>
      </c>
      <c r="B1835" s="5" t="n"/>
      <c r="C1835" s="5" t="n"/>
      <c r="D1835" s="8">
        <f>IF($B1835="","",IFERROR(INDEX(PM_Category,MATCH($B1835,PM_ID,0)),""))</f>
        <v/>
      </c>
      <c r="E1835" s="8">
        <f>IF($B1835="","",IFERROR(INDEX(PM_Subcategory,MATCH($B1835,PM_ID,0)),""))</f>
        <v/>
      </c>
      <c r="F1835" s="8">
        <f>IF($B1835="","",IFERROR(INDEX(PM_Brand,MATCH($B1835,PM_ID,0)),""))</f>
        <v/>
      </c>
      <c r="G1835" s="8">
        <f>IF($B1835="","",IFERROR(INDEX(PM_Model,MATCH($B1835,PM_ID,0)),""))</f>
        <v/>
      </c>
      <c r="H1835" s="5" t="n"/>
      <c r="I1835" s="10" t="n"/>
      <c r="J1835" s="9" t="n"/>
      <c r="K1835" s="5" t="n"/>
      <c r="L1835" s="5" t="n"/>
      <c r="M1835" s="5" t="n"/>
      <c r="N1835" s="5" t="n"/>
      <c r="O1835" s="8">
        <f>IF($B1835="","",IF(AND($A1835&lt;&gt;"",COUNTIF(INV_ID,$A1835)&gt;1),"⚠ this Unit ID already exists",IF(AND($H1835&lt;&gt;"",COUNTIF(INV_Serial,$H1835)&gt;1),"⚠ this serial already exists",IF(COUNTIFS(INV_Product,$B1835,INV_No,$C1835)&gt;1,"⚠ piece number reused",""))))</f>
        <v/>
      </c>
      <c r="P1835" s="5" t="n"/>
    </row>
    <row r="1836">
      <c r="A1836" s="8">
        <f>IF(OR($B1836="",$C1836=""),"",IFERROR(INDEX(PM_Short,MATCH($B1836,PM_ID,0))&amp;"-"&amp;TEXT($C1836,"00"),"?? no such product"))</f>
        <v/>
      </c>
      <c r="B1836" s="5" t="n"/>
      <c r="C1836" s="5" t="n"/>
      <c r="D1836" s="8">
        <f>IF($B1836="","",IFERROR(INDEX(PM_Category,MATCH($B1836,PM_ID,0)),""))</f>
        <v/>
      </c>
      <c r="E1836" s="8">
        <f>IF($B1836="","",IFERROR(INDEX(PM_Subcategory,MATCH($B1836,PM_ID,0)),""))</f>
        <v/>
      </c>
      <c r="F1836" s="8">
        <f>IF($B1836="","",IFERROR(INDEX(PM_Brand,MATCH($B1836,PM_ID,0)),""))</f>
        <v/>
      </c>
      <c r="G1836" s="8">
        <f>IF($B1836="","",IFERROR(INDEX(PM_Model,MATCH($B1836,PM_ID,0)),""))</f>
        <v/>
      </c>
      <c r="H1836" s="5" t="n"/>
      <c r="I1836" s="10" t="n"/>
      <c r="J1836" s="9" t="n"/>
      <c r="K1836" s="5" t="n"/>
      <c r="L1836" s="5" t="n"/>
      <c r="M1836" s="5" t="n"/>
      <c r="N1836" s="5" t="n"/>
      <c r="O1836" s="8">
        <f>IF($B1836="","",IF(AND($A1836&lt;&gt;"",COUNTIF(INV_ID,$A1836)&gt;1),"⚠ this Unit ID already exists",IF(AND($H1836&lt;&gt;"",COUNTIF(INV_Serial,$H1836)&gt;1),"⚠ this serial already exists",IF(COUNTIFS(INV_Product,$B1836,INV_No,$C1836)&gt;1,"⚠ piece number reused",""))))</f>
        <v/>
      </c>
      <c r="P1836" s="5" t="n"/>
    </row>
    <row r="1837">
      <c r="A1837" s="8">
        <f>IF(OR($B1837="",$C1837=""),"",IFERROR(INDEX(PM_Short,MATCH($B1837,PM_ID,0))&amp;"-"&amp;TEXT($C1837,"00"),"?? no such product"))</f>
        <v/>
      </c>
      <c r="B1837" s="5" t="n"/>
      <c r="C1837" s="5" t="n"/>
      <c r="D1837" s="8">
        <f>IF($B1837="","",IFERROR(INDEX(PM_Category,MATCH($B1837,PM_ID,0)),""))</f>
        <v/>
      </c>
      <c r="E1837" s="8">
        <f>IF($B1837="","",IFERROR(INDEX(PM_Subcategory,MATCH($B1837,PM_ID,0)),""))</f>
        <v/>
      </c>
      <c r="F1837" s="8">
        <f>IF($B1837="","",IFERROR(INDEX(PM_Brand,MATCH($B1837,PM_ID,0)),""))</f>
        <v/>
      </c>
      <c r="G1837" s="8">
        <f>IF($B1837="","",IFERROR(INDEX(PM_Model,MATCH($B1837,PM_ID,0)),""))</f>
        <v/>
      </c>
      <c r="H1837" s="5" t="n"/>
      <c r="I1837" s="10" t="n"/>
      <c r="J1837" s="9" t="n"/>
      <c r="K1837" s="5" t="n"/>
      <c r="L1837" s="5" t="n"/>
      <c r="M1837" s="5" t="n"/>
      <c r="N1837" s="5" t="n"/>
      <c r="O1837" s="8">
        <f>IF($B1837="","",IF(AND($A1837&lt;&gt;"",COUNTIF(INV_ID,$A1837)&gt;1),"⚠ this Unit ID already exists",IF(AND($H1837&lt;&gt;"",COUNTIF(INV_Serial,$H1837)&gt;1),"⚠ this serial already exists",IF(COUNTIFS(INV_Product,$B1837,INV_No,$C1837)&gt;1,"⚠ piece number reused",""))))</f>
        <v/>
      </c>
      <c r="P1837" s="5" t="n"/>
    </row>
    <row r="1838">
      <c r="A1838" s="8">
        <f>IF(OR($B1838="",$C1838=""),"",IFERROR(INDEX(PM_Short,MATCH($B1838,PM_ID,0))&amp;"-"&amp;TEXT($C1838,"00"),"?? no such product"))</f>
        <v/>
      </c>
      <c r="B1838" s="5" t="n"/>
      <c r="C1838" s="5" t="n"/>
      <c r="D1838" s="8">
        <f>IF($B1838="","",IFERROR(INDEX(PM_Category,MATCH($B1838,PM_ID,0)),""))</f>
        <v/>
      </c>
      <c r="E1838" s="8">
        <f>IF($B1838="","",IFERROR(INDEX(PM_Subcategory,MATCH($B1838,PM_ID,0)),""))</f>
        <v/>
      </c>
      <c r="F1838" s="8">
        <f>IF($B1838="","",IFERROR(INDEX(PM_Brand,MATCH($B1838,PM_ID,0)),""))</f>
        <v/>
      </c>
      <c r="G1838" s="8">
        <f>IF($B1838="","",IFERROR(INDEX(PM_Model,MATCH($B1838,PM_ID,0)),""))</f>
        <v/>
      </c>
      <c r="H1838" s="5" t="n"/>
      <c r="I1838" s="10" t="n"/>
      <c r="J1838" s="9" t="n"/>
      <c r="K1838" s="5" t="n"/>
      <c r="L1838" s="5" t="n"/>
      <c r="M1838" s="5" t="n"/>
      <c r="N1838" s="5" t="n"/>
      <c r="O1838" s="8">
        <f>IF($B1838="","",IF(AND($A1838&lt;&gt;"",COUNTIF(INV_ID,$A1838)&gt;1),"⚠ this Unit ID already exists",IF(AND($H1838&lt;&gt;"",COUNTIF(INV_Serial,$H1838)&gt;1),"⚠ this serial already exists",IF(COUNTIFS(INV_Product,$B1838,INV_No,$C1838)&gt;1,"⚠ piece number reused",""))))</f>
        <v/>
      </c>
      <c r="P1838" s="5" t="n"/>
    </row>
    <row r="1839">
      <c r="A1839" s="8">
        <f>IF(OR($B1839="",$C1839=""),"",IFERROR(INDEX(PM_Short,MATCH($B1839,PM_ID,0))&amp;"-"&amp;TEXT($C1839,"00"),"?? no such product"))</f>
        <v/>
      </c>
      <c r="B1839" s="5" t="n"/>
      <c r="C1839" s="5" t="n"/>
      <c r="D1839" s="8">
        <f>IF($B1839="","",IFERROR(INDEX(PM_Category,MATCH($B1839,PM_ID,0)),""))</f>
        <v/>
      </c>
      <c r="E1839" s="8">
        <f>IF($B1839="","",IFERROR(INDEX(PM_Subcategory,MATCH($B1839,PM_ID,0)),""))</f>
        <v/>
      </c>
      <c r="F1839" s="8">
        <f>IF($B1839="","",IFERROR(INDEX(PM_Brand,MATCH($B1839,PM_ID,0)),""))</f>
        <v/>
      </c>
      <c r="G1839" s="8">
        <f>IF($B1839="","",IFERROR(INDEX(PM_Model,MATCH($B1839,PM_ID,0)),""))</f>
        <v/>
      </c>
      <c r="H1839" s="5" t="n"/>
      <c r="I1839" s="10" t="n"/>
      <c r="J1839" s="9" t="n"/>
      <c r="K1839" s="5" t="n"/>
      <c r="L1839" s="5" t="n"/>
      <c r="M1839" s="5" t="n"/>
      <c r="N1839" s="5" t="n"/>
      <c r="O1839" s="8">
        <f>IF($B1839="","",IF(AND($A1839&lt;&gt;"",COUNTIF(INV_ID,$A1839)&gt;1),"⚠ this Unit ID already exists",IF(AND($H1839&lt;&gt;"",COUNTIF(INV_Serial,$H1839)&gt;1),"⚠ this serial already exists",IF(COUNTIFS(INV_Product,$B1839,INV_No,$C1839)&gt;1,"⚠ piece number reused",""))))</f>
        <v/>
      </c>
      <c r="P1839" s="5" t="n"/>
    </row>
    <row r="1840">
      <c r="A1840" s="8">
        <f>IF(OR($B1840="",$C1840=""),"",IFERROR(INDEX(PM_Short,MATCH($B1840,PM_ID,0))&amp;"-"&amp;TEXT($C1840,"00"),"?? no such product"))</f>
        <v/>
      </c>
      <c r="B1840" s="5" t="n"/>
      <c r="C1840" s="5" t="n"/>
      <c r="D1840" s="8">
        <f>IF($B1840="","",IFERROR(INDEX(PM_Category,MATCH($B1840,PM_ID,0)),""))</f>
        <v/>
      </c>
      <c r="E1840" s="8">
        <f>IF($B1840="","",IFERROR(INDEX(PM_Subcategory,MATCH($B1840,PM_ID,0)),""))</f>
        <v/>
      </c>
      <c r="F1840" s="8">
        <f>IF($B1840="","",IFERROR(INDEX(PM_Brand,MATCH($B1840,PM_ID,0)),""))</f>
        <v/>
      </c>
      <c r="G1840" s="8">
        <f>IF($B1840="","",IFERROR(INDEX(PM_Model,MATCH($B1840,PM_ID,0)),""))</f>
        <v/>
      </c>
      <c r="H1840" s="5" t="n"/>
      <c r="I1840" s="10" t="n"/>
      <c r="J1840" s="9" t="n"/>
      <c r="K1840" s="5" t="n"/>
      <c r="L1840" s="5" t="n"/>
      <c r="M1840" s="5" t="n"/>
      <c r="N1840" s="5" t="n"/>
      <c r="O1840" s="8">
        <f>IF($B1840="","",IF(AND($A1840&lt;&gt;"",COUNTIF(INV_ID,$A1840)&gt;1),"⚠ this Unit ID already exists",IF(AND($H1840&lt;&gt;"",COUNTIF(INV_Serial,$H1840)&gt;1),"⚠ this serial already exists",IF(COUNTIFS(INV_Product,$B1840,INV_No,$C1840)&gt;1,"⚠ piece number reused",""))))</f>
        <v/>
      </c>
      <c r="P1840" s="5" t="n"/>
    </row>
    <row r="1841">
      <c r="A1841" s="8">
        <f>IF(OR($B1841="",$C1841=""),"",IFERROR(INDEX(PM_Short,MATCH($B1841,PM_ID,0))&amp;"-"&amp;TEXT($C1841,"00"),"?? no such product"))</f>
        <v/>
      </c>
      <c r="B1841" s="5" t="n"/>
      <c r="C1841" s="5" t="n"/>
      <c r="D1841" s="8">
        <f>IF($B1841="","",IFERROR(INDEX(PM_Category,MATCH($B1841,PM_ID,0)),""))</f>
        <v/>
      </c>
      <c r="E1841" s="8">
        <f>IF($B1841="","",IFERROR(INDEX(PM_Subcategory,MATCH($B1841,PM_ID,0)),""))</f>
        <v/>
      </c>
      <c r="F1841" s="8">
        <f>IF($B1841="","",IFERROR(INDEX(PM_Brand,MATCH($B1841,PM_ID,0)),""))</f>
        <v/>
      </c>
      <c r="G1841" s="8">
        <f>IF($B1841="","",IFERROR(INDEX(PM_Model,MATCH($B1841,PM_ID,0)),""))</f>
        <v/>
      </c>
      <c r="H1841" s="5" t="n"/>
      <c r="I1841" s="10" t="n"/>
      <c r="J1841" s="9" t="n"/>
      <c r="K1841" s="5" t="n"/>
      <c r="L1841" s="5" t="n"/>
      <c r="M1841" s="5" t="n"/>
      <c r="N1841" s="5" t="n"/>
      <c r="O1841" s="8">
        <f>IF($B1841="","",IF(AND($A1841&lt;&gt;"",COUNTIF(INV_ID,$A1841)&gt;1),"⚠ this Unit ID already exists",IF(AND($H1841&lt;&gt;"",COUNTIF(INV_Serial,$H1841)&gt;1),"⚠ this serial already exists",IF(COUNTIFS(INV_Product,$B1841,INV_No,$C1841)&gt;1,"⚠ piece number reused",""))))</f>
        <v/>
      </c>
      <c r="P1841" s="5" t="n"/>
    </row>
    <row r="1842">
      <c r="A1842" s="8">
        <f>IF(OR($B1842="",$C1842=""),"",IFERROR(INDEX(PM_Short,MATCH($B1842,PM_ID,0))&amp;"-"&amp;TEXT($C1842,"00"),"?? no such product"))</f>
        <v/>
      </c>
      <c r="B1842" s="5" t="n"/>
      <c r="C1842" s="5" t="n"/>
      <c r="D1842" s="8">
        <f>IF($B1842="","",IFERROR(INDEX(PM_Category,MATCH($B1842,PM_ID,0)),""))</f>
        <v/>
      </c>
      <c r="E1842" s="8">
        <f>IF($B1842="","",IFERROR(INDEX(PM_Subcategory,MATCH($B1842,PM_ID,0)),""))</f>
        <v/>
      </c>
      <c r="F1842" s="8">
        <f>IF($B1842="","",IFERROR(INDEX(PM_Brand,MATCH($B1842,PM_ID,0)),""))</f>
        <v/>
      </c>
      <c r="G1842" s="8">
        <f>IF($B1842="","",IFERROR(INDEX(PM_Model,MATCH($B1842,PM_ID,0)),""))</f>
        <v/>
      </c>
      <c r="H1842" s="5" t="n"/>
      <c r="I1842" s="10" t="n"/>
      <c r="J1842" s="9" t="n"/>
      <c r="K1842" s="5" t="n"/>
      <c r="L1842" s="5" t="n"/>
      <c r="M1842" s="5" t="n"/>
      <c r="N1842" s="5" t="n"/>
      <c r="O1842" s="8">
        <f>IF($B1842="","",IF(AND($A1842&lt;&gt;"",COUNTIF(INV_ID,$A1842)&gt;1),"⚠ this Unit ID already exists",IF(AND($H1842&lt;&gt;"",COUNTIF(INV_Serial,$H1842)&gt;1),"⚠ this serial already exists",IF(COUNTIFS(INV_Product,$B1842,INV_No,$C1842)&gt;1,"⚠ piece number reused",""))))</f>
        <v/>
      </c>
      <c r="P1842" s="5" t="n"/>
    </row>
    <row r="1843">
      <c r="A1843" s="8">
        <f>IF(OR($B1843="",$C1843=""),"",IFERROR(INDEX(PM_Short,MATCH($B1843,PM_ID,0))&amp;"-"&amp;TEXT($C1843,"00"),"?? no such product"))</f>
        <v/>
      </c>
      <c r="B1843" s="5" t="n"/>
      <c r="C1843" s="5" t="n"/>
      <c r="D1843" s="8">
        <f>IF($B1843="","",IFERROR(INDEX(PM_Category,MATCH($B1843,PM_ID,0)),""))</f>
        <v/>
      </c>
      <c r="E1843" s="8">
        <f>IF($B1843="","",IFERROR(INDEX(PM_Subcategory,MATCH($B1843,PM_ID,0)),""))</f>
        <v/>
      </c>
      <c r="F1843" s="8">
        <f>IF($B1843="","",IFERROR(INDEX(PM_Brand,MATCH($B1843,PM_ID,0)),""))</f>
        <v/>
      </c>
      <c r="G1843" s="8">
        <f>IF($B1843="","",IFERROR(INDEX(PM_Model,MATCH($B1843,PM_ID,0)),""))</f>
        <v/>
      </c>
      <c r="H1843" s="5" t="n"/>
      <c r="I1843" s="10" t="n"/>
      <c r="J1843" s="9" t="n"/>
      <c r="K1843" s="5" t="n"/>
      <c r="L1843" s="5" t="n"/>
      <c r="M1843" s="5" t="n"/>
      <c r="N1843" s="5" t="n"/>
      <c r="O1843" s="8">
        <f>IF($B1843="","",IF(AND($A1843&lt;&gt;"",COUNTIF(INV_ID,$A1843)&gt;1),"⚠ this Unit ID already exists",IF(AND($H1843&lt;&gt;"",COUNTIF(INV_Serial,$H1843)&gt;1),"⚠ this serial already exists",IF(COUNTIFS(INV_Product,$B1843,INV_No,$C1843)&gt;1,"⚠ piece number reused",""))))</f>
        <v/>
      </c>
      <c r="P1843" s="5" t="n"/>
    </row>
    <row r="1844">
      <c r="A1844" s="8">
        <f>IF(OR($B1844="",$C1844=""),"",IFERROR(INDEX(PM_Short,MATCH($B1844,PM_ID,0))&amp;"-"&amp;TEXT($C1844,"00"),"?? no such product"))</f>
        <v/>
      </c>
      <c r="B1844" s="5" t="n"/>
      <c r="C1844" s="5" t="n"/>
      <c r="D1844" s="8">
        <f>IF($B1844="","",IFERROR(INDEX(PM_Category,MATCH($B1844,PM_ID,0)),""))</f>
        <v/>
      </c>
      <c r="E1844" s="8">
        <f>IF($B1844="","",IFERROR(INDEX(PM_Subcategory,MATCH($B1844,PM_ID,0)),""))</f>
        <v/>
      </c>
      <c r="F1844" s="8">
        <f>IF($B1844="","",IFERROR(INDEX(PM_Brand,MATCH($B1844,PM_ID,0)),""))</f>
        <v/>
      </c>
      <c r="G1844" s="8">
        <f>IF($B1844="","",IFERROR(INDEX(PM_Model,MATCH($B1844,PM_ID,0)),""))</f>
        <v/>
      </c>
      <c r="H1844" s="5" t="n"/>
      <c r="I1844" s="10" t="n"/>
      <c r="J1844" s="9" t="n"/>
      <c r="K1844" s="5" t="n"/>
      <c r="L1844" s="5" t="n"/>
      <c r="M1844" s="5" t="n"/>
      <c r="N1844" s="5" t="n"/>
      <c r="O1844" s="8">
        <f>IF($B1844="","",IF(AND($A1844&lt;&gt;"",COUNTIF(INV_ID,$A1844)&gt;1),"⚠ this Unit ID already exists",IF(AND($H1844&lt;&gt;"",COUNTIF(INV_Serial,$H1844)&gt;1),"⚠ this serial already exists",IF(COUNTIFS(INV_Product,$B1844,INV_No,$C1844)&gt;1,"⚠ piece number reused",""))))</f>
        <v/>
      </c>
      <c r="P1844" s="5" t="n"/>
    </row>
    <row r="1845">
      <c r="A1845" s="8">
        <f>IF(OR($B1845="",$C1845=""),"",IFERROR(INDEX(PM_Short,MATCH($B1845,PM_ID,0))&amp;"-"&amp;TEXT($C1845,"00"),"?? no such product"))</f>
        <v/>
      </c>
      <c r="B1845" s="5" t="n"/>
      <c r="C1845" s="5" t="n"/>
      <c r="D1845" s="8">
        <f>IF($B1845="","",IFERROR(INDEX(PM_Category,MATCH($B1845,PM_ID,0)),""))</f>
        <v/>
      </c>
      <c r="E1845" s="8">
        <f>IF($B1845="","",IFERROR(INDEX(PM_Subcategory,MATCH($B1845,PM_ID,0)),""))</f>
        <v/>
      </c>
      <c r="F1845" s="8">
        <f>IF($B1845="","",IFERROR(INDEX(PM_Brand,MATCH($B1845,PM_ID,0)),""))</f>
        <v/>
      </c>
      <c r="G1845" s="8">
        <f>IF($B1845="","",IFERROR(INDEX(PM_Model,MATCH($B1845,PM_ID,0)),""))</f>
        <v/>
      </c>
      <c r="H1845" s="5" t="n"/>
      <c r="I1845" s="10" t="n"/>
      <c r="J1845" s="9" t="n"/>
      <c r="K1845" s="5" t="n"/>
      <c r="L1845" s="5" t="n"/>
      <c r="M1845" s="5" t="n"/>
      <c r="N1845" s="5" t="n"/>
      <c r="O1845" s="8">
        <f>IF($B1845="","",IF(AND($A1845&lt;&gt;"",COUNTIF(INV_ID,$A1845)&gt;1),"⚠ this Unit ID already exists",IF(AND($H1845&lt;&gt;"",COUNTIF(INV_Serial,$H1845)&gt;1),"⚠ this serial already exists",IF(COUNTIFS(INV_Product,$B1845,INV_No,$C1845)&gt;1,"⚠ piece number reused",""))))</f>
        <v/>
      </c>
      <c r="P1845" s="5" t="n"/>
    </row>
    <row r="1846">
      <c r="A1846" s="8">
        <f>IF(OR($B1846="",$C1846=""),"",IFERROR(INDEX(PM_Short,MATCH($B1846,PM_ID,0))&amp;"-"&amp;TEXT($C1846,"00"),"?? no such product"))</f>
        <v/>
      </c>
      <c r="B1846" s="5" t="n"/>
      <c r="C1846" s="5" t="n"/>
      <c r="D1846" s="8">
        <f>IF($B1846="","",IFERROR(INDEX(PM_Category,MATCH($B1846,PM_ID,0)),""))</f>
        <v/>
      </c>
      <c r="E1846" s="8">
        <f>IF($B1846="","",IFERROR(INDEX(PM_Subcategory,MATCH($B1846,PM_ID,0)),""))</f>
        <v/>
      </c>
      <c r="F1846" s="8">
        <f>IF($B1846="","",IFERROR(INDEX(PM_Brand,MATCH($B1846,PM_ID,0)),""))</f>
        <v/>
      </c>
      <c r="G1846" s="8">
        <f>IF($B1846="","",IFERROR(INDEX(PM_Model,MATCH($B1846,PM_ID,0)),""))</f>
        <v/>
      </c>
      <c r="H1846" s="5" t="n"/>
      <c r="I1846" s="10" t="n"/>
      <c r="J1846" s="9" t="n"/>
      <c r="K1846" s="5" t="n"/>
      <c r="L1846" s="5" t="n"/>
      <c r="M1846" s="5" t="n"/>
      <c r="N1846" s="5" t="n"/>
      <c r="O1846" s="8">
        <f>IF($B1846="","",IF(AND($A1846&lt;&gt;"",COUNTIF(INV_ID,$A1846)&gt;1),"⚠ this Unit ID already exists",IF(AND($H1846&lt;&gt;"",COUNTIF(INV_Serial,$H1846)&gt;1),"⚠ this serial already exists",IF(COUNTIFS(INV_Product,$B1846,INV_No,$C1846)&gt;1,"⚠ piece number reused",""))))</f>
        <v/>
      </c>
      <c r="P1846" s="5" t="n"/>
    </row>
    <row r="1847">
      <c r="A1847" s="8">
        <f>IF(OR($B1847="",$C1847=""),"",IFERROR(INDEX(PM_Short,MATCH($B1847,PM_ID,0))&amp;"-"&amp;TEXT($C1847,"00"),"?? no such product"))</f>
        <v/>
      </c>
      <c r="B1847" s="5" t="n"/>
      <c r="C1847" s="5" t="n"/>
      <c r="D1847" s="8">
        <f>IF($B1847="","",IFERROR(INDEX(PM_Category,MATCH($B1847,PM_ID,0)),""))</f>
        <v/>
      </c>
      <c r="E1847" s="8">
        <f>IF($B1847="","",IFERROR(INDEX(PM_Subcategory,MATCH($B1847,PM_ID,0)),""))</f>
        <v/>
      </c>
      <c r="F1847" s="8">
        <f>IF($B1847="","",IFERROR(INDEX(PM_Brand,MATCH($B1847,PM_ID,0)),""))</f>
        <v/>
      </c>
      <c r="G1847" s="8">
        <f>IF($B1847="","",IFERROR(INDEX(PM_Model,MATCH($B1847,PM_ID,0)),""))</f>
        <v/>
      </c>
      <c r="H1847" s="5" t="n"/>
      <c r="I1847" s="10" t="n"/>
      <c r="J1847" s="9" t="n"/>
      <c r="K1847" s="5" t="n"/>
      <c r="L1847" s="5" t="n"/>
      <c r="M1847" s="5" t="n"/>
      <c r="N1847" s="5" t="n"/>
      <c r="O1847" s="8">
        <f>IF($B1847="","",IF(AND($A1847&lt;&gt;"",COUNTIF(INV_ID,$A1847)&gt;1),"⚠ this Unit ID already exists",IF(AND($H1847&lt;&gt;"",COUNTIF(INV_Serial,$H1847)&gt;1),"⚠ this serial already exists",IF(COUNTIFS(INV_Product,$B1847,INV_No,$C1847)&gt;1,"⚠ piece number reused",""))))</f>
        <v/>
      </c>
      <c r="P1847" s="5" t="n"/>
    </row>
    <row r="1848">
      <c r="A1848" s="8">
        <f>IF(OR($B1848="",$C1848=""),"",IFERROR(INDEX(PM_Short,MATCH($B1848,PM_ID,0))&amp;"-"&amp;TEXT($C1848,"00"),"?? no such product"))</f>
        <v/>
      </c>
      <c r="B1848" s="5" t="n"/>
      <c r="C1848" s="5" t="n"/>
      <c r="D1848" s="8">
        <f>IF($B1848="","",IFERROR(INDEX(PM_Category,MATCH($B1848,PM_ID,0)),""))</f>
        <v/>
      </c>
      <c r="E1848" s="8">
        <f>IF($B1848="","",IFERROR(INDEX(PM_Subcategory,MATCH($B1848,PM_ID,0)),""))</f>
        <v/>
      </c>
      <c r="F1848" s="8">
        <f>IF($B1848="","",IFERROR(INDEX(PM_Brand,MATCH($B1848,PM_ID,0)),""))</f>
        <v/>
      </c>
      <c r="G1848" s="8">
        <f>IF($B1848="","",IFERROR(INDEX(PM_Model,MATCH($B1848,PM_ID,0)),""))</f>
        <v/>
      </c>
      <c r="H1848" s="5" t="n"/>
      <c r="I1848" s="10" t="n"/>
      <c r="J1848" s="9" t="n"/>
      <c r="K1848" s="5" t="n"/>
      <c r="L1848" s="5" t="n"/>
      <c r="M1848" s="5" t="n"/>
      <c r="N1848" s="5" t="n"/>
      <c r="O1848" s="8">
        <f>IF($B1848="","",IF(AND($A1848&lt;&gt;"",COUNTIF(INV_ID,$A1848)&gt;1),"⚠ this Unit ID already exists",IF(AND($H1848&lt;&gt;"",COUNTIF(INV_Serial,$H1848)&gt;1),"⚠ this serial already exists",IF(COUNTIFS(INV_Product,$B1848,INV_No,$C1848)&gt;1,"⚠ piece number reused",""))))</f>
        <v/>
      </c>
      <c r="P1848" s="5" t="n"/>
    </row>
    <row r="1849">
      <c r="A1849" s="8">
        <f>IF(OR($B1849="",$C1849=""),"",IFERROR(INDEX(PM_Short,MATCH($B1849,PM_ID,0))&amp;"-"&amp;TEXT($C1849,"00"),"?? no such product"))</f>
        <v/>
      </c>
      <c r="B1849" s="5" t="n"/>
      <c r="C1849" s="5" t="n"/>
      <c r="D1849" s="8">
        <f>IF($B1849="","",IFERROR(INDEX(PM_Category,MATCH($B1849,PM_ID,0)),""))</f>
        <v/>
      </c>
      <c r="E1849" s="8">
        <f>IF($B1849="","",IFERROR(INDEX(PM_Subcategory,MATCH($B1849,PM_ID,0)),""))</f>
        <v/>
      </c>
      <c r="F1849" s="8">
        <f>IF($B1849="","",IFERROR(INDEX(PM_Brand,MATCH($B1849,PM_ID,0)),""))</f>
        <v/>
      </c>
      <c r="G1849" s="8">
        <f>IF($B1849="","",IFERROR(INDEX(PM_Model,MATCH($B1849,PM_ID,0)),""))</f>
        <v/>
      </c>
      <c r="H1849" s="5" t="n"/>
      <c r="I1849" s="10" t="n"/>
      <c r="J1849" s="9" t="n"/>
      <c r="K1849" s="5" t="n"/>
      <c r="L1849" s="5" t="n"/>
      <c r="M1849" s="5" t="n"/>
      <c r="N1849" s="5" t="n"/>
      <c r="O1849" s="8">
        <f>IF($B1849="","",IF(AND($A1849&lt;&gt;"",COUNTIF(INV_ID,$A1849)&gt;1),"⚠ this Unit ID already exists",IF(AND($H1849&lt;&gt;"",COUNTIF(INV_Serial,$H1849)&gt;1),"⚠ this serial already exists",IF(COUNTIFS(INV_Product,$B1849,INV_No,$C1849)&gt;1,"⚠ piece number reused",""))))</f>
        <v/>
      </c>
      <c r="P1849" s="5" t="n"/>
    </row>
    <row r="1850">
      <c r="A1850" s="8">
        <f>IF(OR($B1850="",$C1850=""),"",IFERROR(INDEX(PM_Short,MATCH($B1850,PM_ID,0))&amp;"-"&amp;TEXT($C1850,"00"),"?? no such product"))</f>
        <v/>
      </c>
      <c r="B1850" s="5" t="n"/>
      <c r="C1850" s="5" t="n"/>
      <c r="D1850" s="8">
        <f>IF($B1850="","",IFERROR(INDEX(PM_Category,MATCH($B1850,PM_ID,0)),""))</f>
        <v/>
      </c>
      <c r="E1850" s="8">
        <f>IF($B1850="","",IFERROR(INDEX(PM_Subcategory,MATCH($B1850,PM_ID,0)),""))</f>
        <v/>
      </c>
      <c r="F1850" s="8">
        <f>IF($B1850="","",IFERROR(INDEX(PM_Brand,MATCH($B1850,PM_ID,0)),""))</f>
        <v/>
      </c>
      <c r="G1850" s="8">
        <f>IF($B1850="","",IFERROR(INDEX(PM_Model,MATCH($B1850,PM_ID,0)),""))</f>
        <v/>
      </c>
      <c r="H1850" s="5" t="n"/>
      <c r="I1850" s="10" t="n"/>
      <c r="J1850" s="9" t="n"/>
      <c r="K1850" s="5" t="n"/>
      <c r="L1850" s="5" t="n"/>
      <c r="M1850" s="5" t="n"/>
      <c r="N1850" s="5" t="n"/>
      <c r="O1850" s="8">
        <f>IF($B1850="","",IF(AND($A1850&lt;&gt;"",COUNTIF(INV_ID,$A1850)&gt;1),"⚠ this Unit ID already exists",IF(AND($H1850&lt;&gt;"",COUNTIF(INV_Serial,$H1850)&gt;1),"⚠ this serial already exists",IF(COUNTIFS(INV_Product,$B1850,INV_No,$C1850)&gt;1,"⚠ piece number reused",""))))</f>
        <v/>
      </c>
      <c r="P1850" s="5" t="n"/>
    </row>
    <row r="1851">
      <c r="A1851" s="8">
        <f>IF(OR($B1851="",$C1851=""),"",IFERROR(INDEX(PM_Short,MATCH($B1851,PM_ID,0))&amp;"-"&amp;TEXT($C1851,"00"),"?? no such product"))</f>
        <v/>
      </c>
      <c r="B1851" s="5" t="n"/>
      <c r="C1851" s="5" t="n"/>
      <c r="D1851" s="8">
        <f>IF($B1851="","",IFERROR(INDEX(PM_Category,MATCH($B1851,PM_ID,0)),""))</f>
        <v/>
      </c>
      <c r="E1851" s="8">
        <f>IF($B1851="","",IFERROR(INDEX(PM_Subcategory,MATCH($B1851,PM_ID,0)),""))</f>
        <v/>
      </c>
      <c r="F1851" s="8">
        <f>IF($B1851="","",IFERROR(INDEX(PM_Brand,MATCH($B1851,PM_ID,0)),""))</f>
        <v/>
      </c>
      <c r="G1851" s="8">
        <f>IF($B1851="","",IFERROR(INDEX(PM_Model,MATCH($B1851,PM_ID,0)),""))</f>
        <v/>
      </c>
      <c r="H1851" s="5" t="n"/>
      <c r="I1851" s="10" t="n"/>
      <c r="J1851" s="9" t="n"/>
      <c r="K1851" s="5" t="n"/>
      <c r="L1851" s="5" t="n"/>
      <c r="M1851" s="5" t="n"/>
      <c r="N1851" s="5" t="n"/>
      <c r="O1851" s="8">
        <f>IF($B1851="","",IF(AND($A1851&lt;&gt;"",COUNTIF(INV_ID,$A1851)&gt;1),"⚠ this Unit ID already exists",IF(AND($H1851&lt;&gt;"",COUNTIF(INV_Serial,$H1851)&gt;1),"⚠ this serial already exists",IF(COUNTIFS(INV_Product,$B1851,INV_No,$C1851)&gt;1,"⚠ piece number reused",""))))</f>
        <v/>
      </c>
      <c r="P1851" s="5" t="n"/>
    </row>
    <row r="1852">
      <c r="A1852" s="8">
        <f>IF(OR($B1852="",$C1852=""),"",IFERROR(INDEX(PM_Short,MATCH($B1852,PM_ID,0))&amp;"-"&amp;TEXT($C1852,"00"),"?? no such product"))</f>
        <v/>
      </c>
      <c r="B1852" s="5" t="n"/>
      <c r="C1852" s="5" t="n"/>
      <c r="D1852" s="8">
        <f>IF($B1852="","",IFERROR(INDEX(PM_Category,MATCH($B1852,PM_ID,0)),""))</f>
        <v/>
      </c>
      <c r="E1852" s="8">
        <f>IF($B1852="","",IFERROR(INDEX(PM_Subcategory,MATCH($B1852,PM_ID,0)),""))</f>
        <v/>
      </c>
      <c r="F1852" s="8">
        <f>IF($B1852="","",IFERROR(INDEX(PM_Brand,MATCH($B1852,PM_ID,0)),""))</f>
        <v/>
      </c>
      <c r="G1852" s="8">
        <f>IF($B1852="","",IFERROR(INDEX(PM_Model,MATCH($B1852,PM_ID,0)),""))</f>
        <v/>
      </c>
      <c r="H1852" s="5" t="n"/>
      <c r="I1852" s="10" t="n"/>
      <c r="J1852" s="9" t="n"/>
      <c r="K1852" s="5" t="n"/>
      <c r="L1852" s="5" t="n"/>
      <c r="M1852" s="5" t="n"/>
      <c r="N1852" s="5" t="n"/>
      <c r="O1852" s="8">
        <f>IF($B1852="","",IF(AND($A1852&lt;&gt;"",COUNTIF(INV_ID,$A1852)&gt;1),"⚠ this Unit ID already exists",IF(AND($H1852&lt;&gt;"",COUNTIF(INV_Serial,$H1852)&gt;1),"⚠ this serial already exists",IF(COUNTIFS(INV_Product,$B1852,INV_No,$C1852)&gt;1,"⚠ piece number reused",""))))</f>
        <v/>
      </c>
      <c r="P1852" s="5" t="n"/>
    </row>
    <row r="1853">
      <c r="A1853" s="8">
        <f>IF(OR($B1853="",$C1853=""),"",IFERROR(INDEX(PM_Short,MATCH($B1853,PM_ID,0))&amp;"-"&amp;TEXT($C1853,"00"),"?? no such product"))</f>
        <v/>
      </c>
      <c r="B1853" s="5" t="n"/>
      <c r="C1853" s="5" t="n"/>
      <c r="D1853" s="8">
        <f>IF($B1853="","",IFERROR(INDEX(PM_Category,MATCH($B1853,PM_ID,0)),""))</f>
        <v/>
      </c>
      <c r="E1853" s="8">
        <f>IF($B1853="","",IFERROR(INDEX(PM_Subcategory,MATCH($B1853,PM_ID,0)),""))</f>
        <v/>
      </c>
      <c r="F1853" s="8">
        <f>IF($B1853="","",IFERROR(INDEX(PM_Brand,MATCH($B1853,PM_ID,0)),""))</f>
        <v/>
      </c>
      <c r="G1853" s="8">
        <f>IF($B1853="","",IFERROR(INDEX(PM_Model,MATCH($B1853,PM_ID,0)),""))</f>
        <v/>
      </c>
      <c r="H1853" s="5" t="n"/>
      <c r="I1853" s="10" t="n"/>
      <c r="J1853" s="9" t="n"/>
      <c r="K1853" s="5" t="n"/>
      <c r="L1853" s="5" t="n"/>
      <c r="M1853" s="5" t="n"/>
      <c r="N1853" s="5" t="n"/>
      <c r="O1853" s="8">
        <f>IF($B1853="","",IF(AND($A1853&lt;&gt;"",COUNTIF(INV_ID,$A1853)&gt;1),"⚠ this Unit ID already exists",IF(AND($H1853&lt;&gt;"",COUNTIF(INV_Serial,$H1853)&gt;1),"⚠ this serial already exists",IF(COUNTIFS(INV_Product,$B1853,INV_No,$C1853)&gt;1,"⚠ piece number reused",""))))</f>
        <v/>
      </c>
      <c r="P1853" s="5" t="n"/>
    </row>
    <row r="1854">
      <c r="A1854" s="8">
        <f>IF(OR($B1854="",$C1854=""),"",IFERROR(INDEX(PM_Short,MATCH($B1854,PM_ID,0))&amp;"-"&amp;TEXT($C1854,"00"),"?? no such product"))</f>
        <v/>
      </c>
      <c r="B1854" s="5" t="n"/>
      <c r="C1854" s="5" t="n"/>
      <c r="D1854" s="8">
        <f>IF($B1854="","",IFERROR(INDEX(PM_Category,MATCH($B1854,PM_ID,0)),""))</f>
        <v/>
      </c>
      <c r="E1854" s="8">
        <f>IF($B1854="","",IFERROR(INDEX(PM_Subcategory,MATCH($B1854,PM_ID,0)),""))</f>
        <v/>
      </c>
      <c r="F1854" s="8">
        <f>IF($B1854="","",IFERROR(INDEX(PM_Brand,MATCH($B1854,PM_ID,0)),""))</f>
        <v/>
      </c>
      <c r="G1854" s="8">
        <f>IF($B1854="","",IFERROR(INDEX(PM_Model,MATCH($B1854,PM_ID,0)),""))</f>
        <v/>
      </c>
      <c r="H1854" s="5" t="n"/>
      <c r="I1854" s="10" t="n"/>
      <c r="J1854" s="9" t="n"/>
      <c r="K1854" s="5" t="n"/>
      <c r="L1854" s="5" t="n"/>
      <c r="M1854" s="5" t="n"/>
      <c r="N1854" s="5" t="n"/>
      <c r="O1854" s="8">
        <f>IF($B1854="","",IF(AND($A1854&lt;&gt;"",COUNTIF(INV_ID,$A1854)&gt;1),"⚠ this Unit ID already exists",IF(AND($H1854&lt;&gt;"",COUNTIF(INV_Serial,$H1854)&gt;1),"⚠ this serial already exists",IF(COUNTIFS(INV_Product,$B1854,INV_No,$C1854)&gt;1,"⚠ piece number reused",""))))</f>
        <v/>
      </c>
      <c r="P1854" s="5" t="n"/>
    </row>
    <row r="1855">
      <c r="A1855" s="8">
        <f>IF(OR($B1855="",$C1855=""),"",IFERROR(INDEX(PM_Short,MATCH($B1855,PM_ID,0))&amp;"-"&amp;TEXT($C1855,"00"),"?? no such product"))</f>
        <v/>
      </c>
      <c r="B1855" s="5" t="n"/>
      <c r="C1855" s="5" t="n"/>
      <c r="D1855" s="8">
        <f>IF($B1855="","",IFERROR(INDEX(PM_Category,MATCH($B1855,PM_ID,0)),""))</f>
        <v/>
      </c>
      <c r="E1855" s="8">
        <f>IF($B1855="","",IFERROR(INDEX(PM_Subcategory,MATCH($B1855,PM_ID,0)),""))</f>
        <v/>
      </c>
      <c r="F1855" s="8">
        <f>IF($B1855="","",IFERROR(INDEX(PM_Brand,MATCH($B1855,PM_ID,0)),""))</f>
        <v/>
      </c>
      <c r="G1855" s="8">
        <f>IF($B1855="","",IFERROR(INDEX(PM_Model,MATCH($B1855,PM_ID,0)),""))</f>
        <v/>
      </c>
      <c r="H1855" s="5" t="n"/>
      <c r="I1855" s="10" t="n"/>
      <c r="J1855" s="9" t="n"/>
      <c r="K1855" s="5" t="n"/>
      <c r="L1855" s="5" t="n"/>
      <c r="M1855" s="5" t="n"/>
      <c r="N1855" s="5" t="n"/>
      <c r="O1855" s="8">
        <f>IF($B1855="","",IF(AND($A1855&lt;&gt;"",COUNTIF(INV_ID,$A1855)&gt;1),"⚠ this Unit ID already exists",IF(AND($H1855&lt;&gt;"",COUNTIF(INV_Serial,$H1855)&gt;1),"⚠ this serial already exists",IF(COUNTIFS(INV_Product,$B1855,INV_No,$C1855)&gt;1,"⚠ piece number reused",""))))</f>
        <v/>
      </c>
      <c r="P1855" s="5" t="n"/>
    </row>
    <row r="1856">
      <c r="A1856" s="8">
        <f>IF(OR($B1856="",$C1856=""),"",IFERROR(INDEX(PM_Short,MATCH($B1856,PM_ID,0))&amp;"-"&amp;TEXT($C1856,"00"),"?? no such product"))</f>
        <v/>
      </c>
      <c r="B1856" s="5" t="n"/>
      <c r="C1856" s="5" t="n"/>
      <c r="D1856" s="8">
        <f>IF($B1856="","",IFERROR(INDEX(PM_Category,MATCH($B1856,PM_ID,0)),""))</f>
        <v/>
      </c>
      <c r="E1856" s="8">
        <f>IF($B1856="","",IFERROR(INDEX(PM_Subcategory,MATCH($B1856,PM_ID,0)),""))</f>
        <v/>
      </c>
      <c r="F1856" s="8">
        <f>IF($B1856="","",IFERROR(INDEX(PM_Brand,MATCH($B1856,PM_ID,0)),""))</f>
        <v/>
      </c>
      <c r="G1856" s="8">
        <f>IF($B1856="","",IFERROR(INDEX(PM_Model,MATCH($B1856,PM_ID,0)),""))</f>
        <v/>
      </c>
      <c r="H1856" s="5" t="n"/>
      <c r="I1856" s="10" t="n"/>
      <c r="J1856" s="9" t="n"/>
      <c r="K1856" s="5" t="n"/>
      <c r="L1856" s="5" t="n"/>
      <c r="M1856" s="5" t="n"/>
      <c r="N1856" s="5" t="n"/>
      <c r="O1856" s="8">
        <f>IF($B1856="","",IF(AND($A1856&lt;&gt;"",COUNTIF(INV_ID,$A1856)&gt;1),"⚠ this Unit ID already exists",IF(AND($H1856&lt;&gt;"",COUNTIF(INV_Serial,$H1856)&gt;1),"⚠ this serial already exists",IF(COUNTIFS(INV_Product,$B1856,INV_No,$C1856)&gt;1,"⚠ piece number reused",""))))</f>
        <v/>
      </c>
      <c r="P1856" s="5" t="n"/>
    </row>
    <row r="1857">
      <c r="A1857" s="8">
        <f>IF(OR($B1857="",$C1857=""),"",IFERROR(INDEX(PM_Short,MATCH($B1857,PM_ID,0))&amp;"-"&amp;TEXT($C1857,"00"),"?? no such product"))</f>
        <v/>
      </c>
      <c r="B1857" s="5" t="n"/>
      <c r="C1857" s="5" t="n"/>
      <c r="D1857" s="8">
        <f>IF($B1857="","",IFERROR(INDEX(PM_Category,MATCH($B1857,PM_ID,0)),""))</f>
        <v/>
      </c>
      <c r="E1857" s="8">
        <f>IF($B1857="","",IFERROR(INDEX(PM_Subcategory,MATCH($B1857,PM_ID,0)),""))</f>
        <v/>
      </c>
      <c r="F1857" s="8">
        <f>IF($B1857="","",IFERROR(INDEX(PM_Brand,MATCH($B1857,PM_ID,0)),""))</f>
        <v/>
      </c>
      <c r="G1857" s="8">
        <f>IF($B1857="","",IFERROR(INDEX(PM_Model,MATCH($B1857,PM_ID,0)),""))</f>
        <v/>
      </c>
      <c r="H1857" s="5" t="n"/>
      <c r="I1857" s="10" t="n"/>
      <c r="J1857" s="9" t="n"/>
      <c r="K1857" s="5" t="n"/>
      <c r="L1857" s="5" t="n"/>
      <c r="M1857" s="5" t="n"/>
      <c r="N1857" s="5" t="n"/>
      <c r="O1857" s="8">
        <f>IF($B1857="","",IF(AND($A1857&lt;&gt;"",COUNTIF(INV_ID,$A1857)&gt;1),"⚠ this Unit ID already exists",IF(AND($H1857&lt;&gt;"",COUNTIF(INV_Serial,$H1857)&gt;1),"⚠ this serial already exists",IF(COUNTIFS(INV_Product,$B1857,INV_No,$C1857)&gt;1,"⚠ piece number reused",""))))</f>
        <v/>
      </c>
      <c r="P1857" s="5" t="n"/>
    </row>
    <row r="1858">
      <c r="A1858" s="8">
        <f>IF(OR($B1858="",$C1858=""),"",IFERROR(INDEX(PM_Short,MATCH($B1858,PM_ID,0))&amp;"-"&amp;TEXT($C1858,"00"),"?? no such product"))</f>
        <v/>
      </c>
      <c r="B1858" s="5" t="n"/>
      <c r="C1858" s="5" t="n"/>
      <c r="D1858" s="8">
        <f>IF($B1858="","",IFERROR(INDEX(PM_Category,MATCH($B1858,PM_ID,0)),""))</f>
        <v/>
      </c>
      <c r="E1858" s="8">
        <f>IF($B1858="","",IFERROR(INDEX(PM_Subcategory,MATCH($B1858,PM_ID,0)),""))</f>
        <v/>
      </c>
      <c r="F1858" s="8">
        <f>IF($B1858="","",IFERROR(INDEX(PM_Brand,MATCH($B1858,PM_ID,0)),""))</f>
        <v/>
      </c>
      <c r="G1858" s="8">
        <f>IF($B1858="","",IFERROR(INDEX(PM_Model,MATCH($B1858,PM_ID,0)),""))</f>
        <v/>
      </c>
      <c r="H1858" s="5" t="n"/>
      <c r="I1858" s="10" t="n"/>
      <c r="J1858" s="9" t="n"/>
      <c r="K1858" s="5" t="n"/>
      <c r="L1858" s="5" t="n"/>
      <c r="M1858" s="5" t="n"/>
      <c r="N1858" s="5" t="n"/>
      <c r="O1858" s="8">
        <f>IF($B1858="","",IF(AND($A1858&lt;&gt;"",COUNTIF(INV_ID,$A1858)&gt;1),"⚠ this Unit ID already exists",IF(AND($H1858&lt;&gt;"",COUNTIF(INV_Serial,$H1858)&gt;1),"⚠ this serial already exists",IF(COUNTIFS(INV_Product,$B1858,INV_No,$C1858)&gt;1,"⚠ piece number reused",""))))</f>
        <v/>
      </c>
      <c r="P1858" s="5" t="n"/>
    </row>
    <row r="1859">
      <c r="A1859" s="8">
        <f>IF(OR($B1859="",$C1859=""),"",IFERROR(INDEX(PM_Short,MATCH($B1859,PM_ID,0))&amp;"-"&amp;TEXT($C1859,"00"),"?? no such product"))</f>
        <v/>
      </c>
      <c r="B1859" s="5" t="n"/>
      <c r="C1859" s="5" t="n"/>
      <c r="D1859" s="8">
        <f>IF($B1859="","",IFERROR(INDEX(PM_Category,MATCH($B1859,PM_ID,0)),""))</f>
        <v/>
      </c>
      <c r="E1859" s="8">
        <f>IF($B1859="","",IFERROR(INDEX(PM_Subcategory,MATCH($B1859,PM_ID,0)),""))</f>
        <v/>
      </c>
      <c r="F1859" s="8">
        <f>IF($B1859="","",IFERROR(INDEX(PM_Brand,MATCH($B1859,PM_ID,0)),""))</f>
        <v/>
      </c>
      <c r="G1859" s="8">
        <f>IF($B1859="","",IFERROR(INDEX(PM_Model,MATCH($B1859,PM_ID,0)),""))</f>
        <v/>
      </c>
      <c r="H1859" s="5" t="n"/>
      <c r="I1859" s="10" t="n"/>
      <c r="J1859" s="9" t="n"/>
      <c r="K1859" s="5" t="n"/>
      <c r="L1859" s="5" t="n"/>
      <c r="M1859" s="5" t="n"/>
      <c r="N1859" s="5" t="n"/>
      <c r="O1859" s="8">
        <f>IF($B1859="","",IF(AND($A1859&lt;&gt;"",COUNTIF(INV_ID,$A1859)&gt;1),"⚠ this Unit ID already exists",IF(AND($H1859&lt;&gt;"",COUNTIF(INV_Serial,$H1859)&gt;1),"⚠ this serial already exists",IF(COUNTIFS(INV_Product,$B1859,INV_No,$C1859)&gt;1,"⚠ piece number reused",""))))</f>
        <v/>
      </c>
      <c r="P1859" s="5" t="n"/>
    </row>
    <row r="1860">
      <c r="A1860" s="8">
        <f>IF(OR($B1860="",$C1860=""),"",IFERROR(INDEX(PM_Short,MATCH($B1860,PM_ID,0))&amp;"-"&amp;TEXT($C1860,"00"),"?? no such product"))</f>
        <v/>
      </c>
      <c r="B1860" s="5" t="n"/>
      <c r="C1860" s="5" t="n"/>
      <c r="D1860" s="8">
        <f>IF($B1860="","",IFERROR(INDEX(PM_Category,MATCH($B1860,PM_ID,0)),""))</f>
        <v/>
      </c>
      <c r="E1860" s="8">
        <f>IF($B1860="","",IFERROR(INDEX(PM_Subcategory,MATCH($B1860,PM_ID,0)),""))</f>
        <v/>
      </c>
      <c r="F1860" s="8">
        <f>IF($B1860="","",IFERROR(INDEX(PM_Brand,MATCH($B1860,PM_ID,0)),""))</f>
        <v/>
      </c>
      <c r="G1860" s="8">
        <f>IF($B1860="","",IFERROR(INDEX(PM_Model,MATCH($B1860,PM_ID,0)),""))</f>
        <v/>
      </c>
      <c r="H1860" s="5" t="n"/>
      <c r="I1860" s="10" t="n"/>
      <c r="J1860" s="9" t="n"/>
      <c r="K1860" s="5" t="n"/>
      <c r="L1860" s="5" t="n"/>
      <c r="M1860" s="5" t="n"/>
      <c r="N1860" s="5" t="n"/>
      <c r="O1860" s="8">
        <f>IF($B1860="","",IF(AND($A1860&lt;&gt;"",COUNTIF(INV_ID,$A1860)&gt;1),"⚠ this Unit ID already exists",IF(AND($H1860&lt;&gt;"",COUNTIF(INV_Serial,$H1860)&gt;1),"⚠ this serial already exists",IF(COUNTIFS(INV_Product,$B1860,INV_No,$C1860)&gt;1,"⚠ piece number reused",""))))</f>
        <v/>
      </c>
      <c r="P1860" s="5" t="n"/>
    </row>
    <row r="1861">
      <c r="A1861" s="8">
        <f>IF(OR($B1861="",$C1861=""),"",IFERROR(INDEX(PM_Short,MATCH($B1861,PM_ID,0))&amp;"-"&amp;TEXT($C1861,"00"),"?? no such product"))</f>
        <v/>
      </c>
      <c r="B1861" s="5" t="n"/>
      <c r="C1861" s="5" t="n"/>
      <c r="D1861" s="8">
        <f>IF($B1861="","",IFERROR(INDEX(PM_Category,MATCH($B1861,PM_ID,0)),""))</f>
        <v/>
      </c>
      <c r="E1861" s="8">
        <f>IF($B1861="","",IFERROR(INDEX(PM_Subcategory,MATCH($B1861,PM_ID,0)),""))</f>
        <v/>
      </c>
      <c r="F1861" s="8">
        <f>IF($B1861="","",IFERROR(INDEX(PM_Brand,MATCH($B1861,PM_ID,0)),""))</f>
        <v/>
      </c>
      <c r="G1861" s="8">
        <f>IF($B1861="","",IFERROR(INDEX(PM_Model,MATCH($B1861,PM_ID,0)),""))</f>
        <v/>
      </c>
      <c r="H1861" s="5" t="n"/>
      <c r="I1861" s="10" t="n"/>
      <c r="J1861" s="9" t="n"/>
      <c r="K1861" s="5" t="n"/>
      <c r="L1861" s="5" t="n"/>
      <c r="M1861" s="5" t="n"/>
      <c r="N1861" s="5" t="n"/>
      <c r="O1861" s="8">
        <f>IF($B1861="","",IF(AND($A1861&lt;&gt;"",COUNTIF(INV_ID,$A1861)&gt;1),"⚠ this Unit ID already exists",IF(AND($H1861&lt;&gt;"",COUNTIF(INV_Serial,$H1861)&gt;1),"⚠ this serial already exists",IF(COUNTIFS(INV_Product,$B1861,INV_No,$C1861)&gt;1,"⚠ piece number reused",""))))</f>
        <v/>
      </c>
      <c r="P1861" s="5" t="n"/>
    </row>
    <row r="1862">
      <c r="A1862" s="8">
        <f>IF(OR($B1862="",$C1862=""),"",IFERROR(INDEX(PM_Short,MATCH($B1862,PM_ID,0))&amp;"-"&amp;TEXT($C1862,"00"),"?? no such product"))</f>
        <v/>
      </c>
      <c r="B1862" s="5" t="n"/>
      <c r="C1862" s="5" t="n"/>
      <c r="D1862" s="8">
        <f>IF($B1862="","",IFERROR(INDEX(PM_Category,MATCH($B1862,PM_ID,0)),""))</f>
        <v/>
      </c>
      <c r="E1862" s="8">
        <f>IF($B1862="","",IFERROR(INDEX(PM_Subcategory,MATCH($B1862,PM_ID,0)),""))</f>
        <v/>
      </c>
      <c r="F1862" s="8">
        <f>IF($B1862="","",IFERROR(INDEX(PM_Brand,MATCH($B1862,PM_ID,0)),""))</f>
        <v/>
      </c>
      <c r="G1862" s="8">
        <f>IF($B1862="","",IFERROR(INDEX(PM_Model,MATCH($B1862,PM_ID,0)),""))</f>
        <v/>
      </c>
      <c r="H1862" s="5" t="n"/>
      <c r="I1862" s="10" t="n"/>
      <c r="J1862" s="9" t="n"/>
      <c r="K1862" s="5" t="n"/>
      <c r="L1862" s="5" t="n"/>
      <c r="M1862" s="5" t="n"/>
      <c r="N1862" s="5" t="n"/>
      <c r="O1862" s="8">
        <f>IF($B1862="","",IF(AND($A1862&lt;&gt;"",COUNTIF(INV_ID,$A1862)&gt;1),"⚠ this Unit ID already exists",IF(AND($H1862&lt;&gt;"",COUNTIF(INV_Serial,$H1862)&gt;1),"⚠ this serial already exists",IF(COUNTIFS(INV_Product,$B1862,INV_No,$C1862)&gt;1,"⚠ piece number reused",""))))</f>
        <v/>
      </c>
      <c r="P1862" s="5" t="n"/>
    </row>
    <row r="1863">
      <c r="A1863" s="8">
        <f>IF(OR($B1863="",$C1863=""),"",IFERROR(INDEX(PM_Short,MATCH($B1863,PM_ID,0))&amp;"-"&amp;TEXT($C1863,"00"),"?? no such product"))</f>
        <v/>
      </c>
      <c r="B1863" s="5" t="n"/>
      <c r="C1863" s="5" t="n"/>
      <c r="D1863" s="8">
        <f>IF($B1863="","",IFERROR(INDEX(PM_Category,MATCH($B1863,PM_ID,0)),""))</f>
        <v/>
      </c>
      <c r="E1863" s="8">
        <f>IF($B1863="","",IFERROR(INDEX(PM_Subcategory,MATCH($B1863,PM_ID,0)),""))</f>
        <v/>
      </c>
      <c r="F1863" s="8">
        <f>IF($B1863="","",IFERROR(INDEX(PM_Brand,MATCH($B1863,PM_ID,0)),""))</f>
        <v/>
      </c>
      <c r="G1863" s="8">
        <f>IF($B1863="","",IFERROR(INDEX(PM_Model,MATCH($B1863,PM_ID,0)),""))</f>
        <v/>
      </c>
      <c r="H1863" s="5" t="n"/>
      <c r="I1863" s="10" t="n"/>
      <c r="J1863" s="9" t="n"/>
      <c r="K1863" s="5" t="n"/>
      <c r="L1863" s="5" t="n"/>
      <c r="M1863" s="5" t="n"/>
      <c r="N1863" s="5" t="n"/>
      <c r="O1863" s="8">
        <f>IF($B1863="","",IF(AND($A1863&lt;&gt;"",COUNTIF(INV_ID,$A1863)&gt;1),"⚠ this Unit ID already exists",IF(AND($H1863&lt;&gt;"",COUNTIF(INV_Serial,$H1863)&gt;1),"⚠ this serial already exists",IF(COUNTIFS(INV_Product,$B1863,INV_No,$C1863)&gt;1,"⚠ piece number reused",""))))</f>
        <v/>
      </c>
      <c r="P1863" s="5" t="n"/>
    </row>
    <row r="1864">
      <c r="A1864" s="8">
        <f>IF(OR($B1864="",$C1864=""),"",IFERROR(INDEX(PM_Short,MATCH($B1864,PM_ID,0))&amp;"-"&amp;TEXT($C1864,"00"),"?? no such product"))</f>
        <v/>
      </c>
      <c r="B1864" s="5" t="n"/>
      <c r="C1864" s="5" t="n"/>
      <c r="D1864" s="8">
        <f>IF($B1864="","",IFERROR(INDEX(PM_Category,MATCH($B1864,PM_ID,0)),""))</f>
        <v/>
      </c>
      <c r="E1864" s="8">
        <f>IF($B1864="","",IFERROR(INDEX(PM_Subcategory,MATCH($B1864,PM_ID,0)),""))</f>
        <v/>
      </c>
      <c r="F1864" s="8">
        <f>IF($B1864="","",IFERROR(INDEX(PM_Brand,MATCH($B1864,PM_ID,0)),""))</f>
        <v/>
      </c>
      <c r="G1864" s="8">
        <f>IF($B1864="","",IFERROR(INDEX(PM_Model,MATCH($B1864,PM_ID,0)),""))</f>
        <v/>
      </c>
      <c r="H1864" s="5" t="n"/>
      <c r="I1864" s="10" t="n"/>
      <c r="J1864" s="9" t="n"/>
      <c r="K1864" s="5" t="n"/>
      <c r="L1864" s="5" t="n"/>
      <c r="M1864" s="5" t="n"/>
      <c r="N1864" s="5" t="n"/>
      <c r="O1864" s="8">
        <f>IF($B1864="","",IF(AND($A1864&lt;&gt;"",COUNTIF(INV_ID,$A1864)&gt;1),"⚠ this Unit ID already exists",IF(AND($H1864&lt;&gt;"",COUNTIF(INV_Serial,$H1864)&gt;1),"⚠ this serial already exists",IF(COUNTIFS(INV_Product,$B1864,INV_No,$C1864)&gt;1,"⚠ piece number reused",""))))</f>
        <v/>
      </c>
      <c r="P1864" s="5" t="n"/>
    </row>
    <row r="1865">
      <c r="A1865" s="8">
        <f>IF(OR($B1865="",$C1865=""),"",IFERROR(INDEX(PM_Short,MATCH($B1865,PM_ID,0))&amp;"-"&amp;TEXT($C1865,"00"),"?? no such product"))</f>
        <v/>
      </c>
      <c r="B1865" s="5" t="n"/>
      <c r="C1865" s="5" t="n"/>
      <c r="D1865" s="8">
        <f>IF($B1865="","",IFERROR(INDEX(PM_Category,MATCH($B1865,PM_ID,0)),""))</f>
        <v/>
      </c>
      <c r="E1865" s="8">
        <f>IF($B1865="","",IFERROR(INDEX(PM_Subcategory,MATCH($B1865,PM_ID,0)),""))</f>
        <v/>
      </c>
      <c r="F1865" s="8">
        <f>IF($B1865="","",IFERROR(INDEX(PM_Brand,MATCH($B1865,PM_ID,0)),""))</f>
        <v/>
      </c>
      <c r="G1865" s="8">
        <f>IF($B1865="","",IFERROR(INDEX(PM_Model,MATCH($B1865,PM_ID,0)),""))</f>
        <v/>
      </c>
      <c r="H1865" s="5" t="n"/>
      <c r="I1865" s="10" t="n"/>
      <c r="J1865" s="9" t="n"/>
      <c r="K1865" s="5" t="n"/>
      <c r="L1865" s="5" t="n"/>
      <c r="M1865" s="5" t="n"/>
      <c r="N1865" s="5" t="n"/>
      <c r="O1865" s="8">
        <f>IF($B1865="","",IF(AND($A1865&lt;&gt;"",COUNTIF(INV_ID,$A1865)&gt;1),"⚠ this Unit ID already exists",IF(AND($H1865&lt;&gt;"",COUNTIF(INV_Serial,$H1865)&gt;1),"⚠ this serial already exists",IF(COUNTIFS(INV_Product,$B1865,INV_No,$C1865)&gt;1,"⚠ piece number reused",""))))</f>
        <v/>
      </c>
      <c r="P1865" s="5" t="n"/>
    </row>
    <row r="1866">
      <c r="A1866" s="8">
        <f>IF(OR($B1866="",$C1866=""),"",IFERROR(INDEX(PM_Short,MATCH($B1866,PM_ID,0))&amp;"-"&amp;TEXT($C1866,"00"),"?? no such product"))</f>
        <v/>
      </c>
      <c r="B1866" s="5" t="n"/>
      <c r="C1866" s="5" t="n"/>
      <c r="D1866" s="8">
        <f>IF($B1866="","",IFERROR(INDEX(PM_Category,MATCH($B1866,PM_ID,0)),""))</f>
        <v/>
      </c>
      <c r="E1866" s="8">
        <f>IF($B1866="","",IFERROR(INDEX(PM_Subcategory,MATCH($B1866,PM_ID,0)),""))</f>
        <v/>
      </c>
      <c r="F1866" s="8">
        <f>IF($B1866="","",IFERROR(INDEX(PM_Brand,MATCH($B1866,PM_ID,0)),""))</f>
        <v/>
      </c>
      <c r="G1866" s="8">
        <f>IF($B1866="","",IFERROR(INDEX(PM_Model,MATCH($B1866,PM_ID,0)),""))</f>
        <v/>
      </c>
      <c r="H1866" s="5" t="n"/>
      <c r="I1866" s="10" t="n"/>
      <c r="J1866" s="9" t="n"/>
      <c r="K1866" s="5" t="n"/>
      <c r="L1866" s="5" t="n"/>
      <c r="M1866" s="5" t="n"/>
      <c r="N1866" s="5" t="n"/>
      <c r="O1866" s="8">
        <f>IF($B1866="","",IF(AND($A1866&lt;&gt;"",COUNTIF(INV_ID,$A1866)&gt;1),"⚠ this Unit ID already exists",IF(AND($H1866&lt;&gt;"",COUNTIF(INV_Serial,$H1866)&gt;1),"⚠ this serial already exists",IF(COUNTIFS(INV_Product,$B1866,INV_No,$C1866)&gt;1,"⚠ piece number reused",""))))</f>
        <v/>
      </c>
      <c r="P1866" s="5" t="n"/>
    </row>
    <row r="1867">
      <c r="A1867" s="8">
        <f>IF(OR($B1867="",$C1867=""),"",IFERROR(INDEX(PM_Short,MATCH($B1867,PM_ID,0))&amp;"-"&amp;TEXT($C1867,"00"),"?? no such product"))</f>
        <v/>
      </c>
      <c r="B1867" s="5" t="n"/>
      <c r="C1867" s="5" t="n"/>
      <c r="D1867" s="8">
        <f>IF($B1867="","",IFERROR(INDEX(PM_Category,MATCH($B1867,PM_ID,0)),""))</f>
        <v/>
      </c>
      <c r="E1867" s="8">
        <f>IF($B1867="","",IFERROR(INDEX(PM_Subcategory,MATCH($B1867,PM_ID,0)),""))</f>
        <v/>
      </c>
      <c r="F1867" s="8">
        <f>IF($B1867="","",IFERROR(INDEX(PM_Brand,MATCH($B1867,PM_ID,0)),""))</f>
        <v/>
      </c>
      <c r="G1867" s="8">
        <f>IF($B1867="","",IFERROR(INDEX(PM_Model,MATCH($B1867,PM_ID,0)),""))</f>
        <v/>
      </c>
      <c r="H1867" s="5" t="n"/>
      <c r="I1867" s="10" t="n"/>
      <c r="J1867" s="9" t="n"/>
      <c r="K1867" s="5" t="n"/>
      <c r="L1867" s="5" t="n"/>
      <c r="M1867" s="5" t="n"/>
      <c r="N1867" s="5" t="n"/>
      <c r="O1867" s="8">
        <f>IF($B1867="","",IF(AND($A1867&lt;&gt;"",COUNTIF(INV_ID,$A1867)&gt;1),"⚠ this Unit ID already exists",IF(AND($H1867&lt;&gt;"",COUNTIF(INV_Serial,$H1867)&gt;1),"⚠ this serial already exists",IF(COUNTIFS(INV_Product,$B1867,INV_No,$C1867)&gt;1,"⚠ piece number reused",""))))</f>
        <v/>
      </c>
      <c r="P1867" s="5" t="n"/>
    </row>
    <row r="1868">
      <c r="A1868" s="8">
        <f>IF(OR($B1868="",$C1868=""),"",IFERROR(INDEX(PM_Short,MATCH($B1868,PM_ID,0))&amp;"-"&amp;TEXT($C1868,"00"),"?? no such product"))</f>
        <v/>
      </c>
      <c r="B1868" s="5" t="n"/>
      <c r="C1868" s="5" t="n"/>
      <c r="D1868" s="8">
        <f>IF($B1868="","",IFERROR(INDEX(PM_Category,MATCH($B1868,PM_ID,0)),""))</f>
        <v/>
      </c>
      <c r="E1868" s="8">
        <f>IF($B1868="","",IFERROR(INDEX(PM_Subcategory,MATCH($B1868,PM_ID,0)),""))</f>
        <v/>
      </c>
      <c r="F1868" s="8">
        <f>IF($B1868="","",IFERROR(INDEX(PM_Brand,MATCH($B1868,PM_ID,0)),""))</f>
        <v/>
      </c>
      <c r="G1868" s="8">
        <f>IF($B1868="","",IFERROR(INDEX(PM_Model,MATCH($B1868,PM_ID,0)),""))</f>
        <v/>
      </c>
      <c r="H1868" s="5" t="n"/>
      <c r="I1868" s="10" t="n"/>
      <c r="J1868" s="9" t="n"/>
      <c r="K1868" s="5" t="n"/>
      <c r="L1868" s="5" t="n"/>
      <c r="M1868" s="5" t="n"/>
      <c r="N1868" s="5" t="n"/>
      <c r="O1868" s="8">
        <f>IF($B1868="","",IF(AND($A1868&lt;&gt;"",COUNTIF(INV_ID,$A1868)&gt;1),"⚠ this Unit ID already exists",IF(AND($H1868&lt;&gt;"",COUNTIF(INV_Serial,$H1868)&gt;1),"⚠ this serial already exists",IF(COUNTIFS(INV_Product,$B1868,INV_No,$C1868)&gt;1,"⚠ piece number reused",""))))</f>
        <v/>
      </c>
      <c r="P1868" s="5" t="n"/>
    </row>
    <row r="1869">
      <c r="A1869" s="8">
        <f>IF(OR($B1869="",$C1869=""),"",IFERROR(INDEX(PM_Short,MATCH($B1869,PM_ID,0))&amp;"-"&amp;TEXT($C1869,"00"),"?? no such product"))</f>
        <v/>
      </c>
      <c r="B1869" s="5" t="n"/>
      <c r="C1869" s="5" t="n"/>
      <c r="D1869" s="8">
        <f>IF($B1869="","",IFERROR(INDEX(PM_Category,MATCH($B1869,PM_ID,0)),""))</f>
        <v/>
      </c>
      <c r="E1869" s="8">
        <f>IF($B1869="","",IFERROR(INDEX(PM_Subcategory,MATCH($B1869,PM_ID,0)),""))</f>
        <v/>
      </c>
      <c r="F1869" s="8">
        <f>IF($B1869="","",IFERROR(INDEX(PM_Brand,MATCH($B1869,PM_ID,0)),""))</f>
        <v/>
      </c>
      <c r="G1869" s="8">
        <f>IF($B1869="","",IFERROR(INDEX(PM_Model,MATCH($B1869,PM_ID,0)),""))</f>
        <v/>
      </c>
      <c r="H1869" s="5" t="n"/>
      <c r="I1869" s="10" t="n"/>
      <c r="J1869" s="9" t="n"/>
      <c r="K1869" s="5" t="n"/>
      <c r="L1869" s="5" t="n"/>
      <c r="M1869" s="5" t="n"/>
      <c r="N1869" s="5" t="n"/>
      <c r="O1869" s="8">
        <f>IF($B1869="","",IF(AND($A1869&lt;&gt;"",COUNTIF(INV_ID,$A1869)&gt;1),"⚠ this Unit ID already exists",IF(AND($H1869&lt;&gt;"",COUNTIF(INV_Serial,$H1869)&gt;1),"⚠ this serial already exists",IF(COUNTIFS(INV_Product,$B1869,INV_No,$C1869)&gt;1,"⚠ piece number reused",""))))</f>
        <v/>
      </c>
      <c r="P1869" s="5" t="n"/>
    </row>
    <row r="1870">
      <c r="A1870" s="8">
        <f>IF(OR($B1870="",$C1870=""),"",IFERROR(INDEX(PM_Short,MATCH($B1870,PM_ID,0))&amp;"-"&amp;TEXT($C1870,"00"),"?? no such product"))</f>
        <v/>
      </c>
      <c r="B1870" s="5" t="n"/>
      <c r="C1870" s="5" t="n"/>
      <c r="D1870" s="8">
        <f>IF($B1870="","",IFERROR(INDEX(PM_Category,MATCH($B1870,PM_ID,0)),""))</f>
        <v/>
      </c>
      <c r="E1870" s="8">
        <f>IF($B1870="","",IFERROR(INDEX(PM_Subcategory,MATCH($B1870,PM_ID,0)),""))</f>
        <v/>
      </c>
      <c r="F1870" s="8">
        <f>IF($B1870="","",IFERROR(INDEX(PM_Brand,MATCH($B1870,PM_ID,0)),""))</f>
        <v/>
      </c>
      <c r="G1870" s="8">
        <f>IF($B1870="","",IFERROR(INDEX(PM_Model,MATCH($B1870,PM_ID,0)),""))</f>
        <v/>
      </c>
      <c r="H1870" s="5" t="n"/>
      <c r="I1870" s="10" t="n"/>
      <c r="J1870" s="9" t="n"/>
      <c r="K1870" s="5" t="n"/>
      <c r="L1870" s="5" t="n"/>
      <c r="M1870" s="5" t="n"/>
      <c r="N1870" s="5" t="n"/>
      <c r="O1870" s="8">
        <f>IF($B1870="","",IF(AND($A1870&lt;&gt;"",COUNTIF(INV_ID,$A1870)&gt;1),"⚠ this Unit ID already exists",IF(AND($H1870&lt;&gt;"",COUNTIF(INV_Serial,$H1870)&gt;1),"⚠ this serial already exists",IF(COUNTIFS(INV_Product,$B1870,INV_No,$C1870)&gt;1,"⚠ piece number reused",""))))</f>
        <v/>
      </c>
      <c r="P1870" s="5" t="n"/>
    </row>
    <row r="1871">
      <c r="A1871" s="8">
        <f>IF(OR($B1871="",$C1871=""),"",IFERROR(INDEX(PM_Short,MATCH($B1871,PM_ID,0))&amp;"-"&amp;TEXT($C1871,"00"),"?? no such product"))</f>
        <v/>
      </c>
      <c r="B1871" s="5" t="n"/>
      <c r="C1871" s="5" t="n"/>
      <c r="D1871" s="8">
        <f>IF($B1871="","",IFERROR(INDEX(PM_Category,MATCH($B1871,PM_ID,0)),""))</f>
        <v/>
      </c>
      <c r="E1871" s="8">
        <f>IF($B1871="","",IFERROR(INDEX(PM_Subcategory,MATCH($B1871,PM_ID,0)),""))</f>
        <v/>
      </c>
      <c r="F1871" s="8">
        <f>IF($B1871="","",IFERROR(INDEX(PM_Brand,MATCH($B1871,PM_ID,0)),""))</f>
        <v/>
      </c>
      <c r="G1871" s="8">
        <f>IF($B1871="","",IFERROR(INDEX(PM_Model,MATCH($B1871,PM_ID,0)),""))</f>
        <v/>
      </c>
      <c r="H1871" s="5" t="n"/>
      <c r="I1871" s="10" t="n"/>
      <c r="J1871" s="9" t="n"/>
      <c r="K1871" s="5" t="n"/>
      <c r="L1871" s="5" t="n"/>
      <c r="M1871" s="5" t="n"/>
      <c r="N1871" s="5" t="n"/>
      <c r="O1871" s="8">
        <f>IF($B1871="","",IF(AND($A1871&lt;&gt;"",COUNTIF(INV_ID,$A1871)&gt;1),"⚠ this Unit ID already exists",IF(AND($H1871&lt;&gt;"",COUNTIF(INV_Serial,$H1871)&gt;1),"⚠ this serial already exists",IF(COUNTIFS(INV_Product,$B1871,INV_No,$C1871)&gt;1,"⚠ piece number reused",""))))</f>
        <v/>
      </c>
      <c r="P1871" s="5" t="n"/>
    </row>
    <row r="1872">
      <c r="A1872" s="8">
        <f>IF(OR($B1872="",$C1872=""),"",IFERROR(INDEX(PM_Short,MATCH($B1872,PM_ID,0))&amp;"-"&amp;TEXT($C1872,"00"),"?? no such product"))</f>
        <v/>
      </c>
      <c r="B1872" s="5" t="n"/>
      <c r="C1872" s="5" t="n"/>
      <c r="D1872" s="8">
        <f>IF($B1872="","",IFERROR(INDEX(PM_Category,MATCH($B1872,PM_ID,0)),""))</f>
        <v/>
      </c>
      <c r="E1872" s="8">
        <f>IF($B1872="","",IFERROR(INDEX(PM_Subcategory,MATCH($B1872,PM_ID,0)),""))</f>
        <v/>
      </c>
      <c r="F1872" s="8">
        <f>IF($B1872="","",IFERROR(INDEX(PM_Brand,MATCH($B1872,PM_ID,0)),""))</f>
        <v/>
      </c>
      <c r="G1872" s="8">
        <f>IF($B1872="","",IFERROR(INDEX(PM_Model,MATCH($B1872,PM_ID,0)),""))</f>
        <v/>
      </c>
      <c r="H1872" s="5" t="n"/>
      <c r="I1872" s="10" t="n"/>
      <c r="J1872" s="9" t="n"/>
      <c r="K1872" s="5" t="n"/>
      <c r="L1872" s="5" t="n"/>
      <c r="M1872" s="5" t="n"/>
      <c r="N1872" s="5" t="n"/>
      <c r="O1872" s="8">
        <f>IF($B1872="","",IF(AND($A1872&lt;&gt;"",COUNTIF(INV_ID,$A1872)&gt;1),"⚠ this Unit ID already exists",IF(AND($H1872&lt;&gt;"",COUNTIF(INV_Serial,$H1872)&gt;1),"⚠ this serial already exists",IF(COUNTIFS(INV_Product,$B1872,INV_No,$C1872)&gt;1,"⚠ piece number reused",""))))</f>
        <v/>
      </c>
      <c r="P1872" s="5" t="n"/>
    </row>
    <row r="1873">
      <c r="A1873" s="8">
        <f>IF(OR($B1873="",$C1873=""),"",IFERROR(INDEX(PM_Short,MATCH($B1873,PM_ID,0))&amp;"-"&amp;TEXT($C1873,"00"),"?? no such product"))</f>
        <v/>
      </c>
      <c r="B1873" s="5" t="n"/>
      <c r="C1873" s="5" t="n"/>
      <c r="D1873" s="8">
        <f>IF($B1873="","",IFERROR(INDEX(PM_Category,MATCH($B1873,PM_ID,0)),""))</f>
        <v/>
      </c>
      <c r="E1873" s="8">
        <f>IF($B1873="","",IFERROR(INDEX(PM_Subcategory,MATCH($B1873,PM_ID,0)),""))</f>
        <v/>
      </c>
      <c r="F1873" s="8">
        <f>IF($B1873="","",IFERROR(INDEX(PM_Brand,MATCH($B1873,PM_ID,0)),""))</f>
        <v/>
      </c>
      <c r="G1873" s="8">
        <f>IF($B1873="","",IFERROR(INDEX(PM_Model,MATCH($B1873,PM_ID,0)),""))</f>
        <v/>
      </c>
      <c r="H1873" s="5" t="n"/>
      <c r="I1873" s="10" t="n"/>
      <c r="J1873" s="9" t="n"/>
      <c r="K1873" s="5" t="n"/>
      <c r="L1873" s="5" t="n"/>
      <c r="M1873" s="5" t="n"/>
      <c r="N1873" s="5" t="n"/>
      <c r="O1873" s="8">
        <f>IF($B1873="","",IF(AND($A1873&lt;&gt;"",COUNTIF(INV_ID,$A1873)&gt;1),"⚠ this Unit ID already exists",IF(AND($H1873&lt;&gt;"",COUNTIF(INV_Serial,$H1873)&gt;1),"⚠ this serial already exists",IF(COUNTIFS(INV_Product,$B1873,INV_No,$C1873)&gt;1,"⚠ piece number reused",""))))</f>
        <v/>
      </c>
      <c r="P1873" s="5" t="n"/>
    </row>
    <row r="1874">
      <c r="A1874" s="8">
        <f>IF(OR($B1874="",$C1874=""),"",IFERROR(INDEX(PM_Short,MATCH($B1874,PM_ID,0))&amp;"-"&amp;TEXT($C1874,"00"),"?? no such product"))</f>
        <v/>
      </c>
      <c r="B1874" s="5" t="n"/>
      <c r="C1874" s="5" t="n"/>
      <c r="D1874" s="8">
        <f>IF($B1874="","",IFERROR(INDEX(PM_Category,MATCH($B1874,PM_ID,0)),""))</f>
        <v/>
      </c>
      <c r="E1874" s="8">
        <f>IF($B1874="","",IFERROR(INDEX(PM_Subcategory,MATCH($B1874,PM_ID,0)),""))</f>
        <v/>
      </c>
      <c r="F1874" s="8">
        <f>IF($B1874="","",IFERROR(INDEX(PM_Brand,MATCH($B1874,PM_ID,0)),""))</f>
        <v/>
      </c>
      <c r="G1874" s="8">
        <f>IF($B1874="","",IFERROR(INDEX(PM_Model,MATCH($B1874,PM_ID,0)),""))</f>
        <v/>
      </c>
      <c r="H1874" s="5" t="n"/>
      <c r="I1874" s="10" t="n"/>
      <c r="J1874" s="9" t="n"/>
      <c r="K1874" s="5" t="n"/>
      <c r="L1874" s="5" t="n"/>
      <c r="M1874" s="5" t="n"/>
      <c r="N1874" s="5" t="n"/>
      <c r="O1874" s="8">
        <f>IF($B1874="","",IF(AND($A1874&lt;&gt;"",COUNTIF(INV_ID,$A1874)&gt;1),"⚠ this Unit ID already exists",IF(AND($H1874&lt;&gt;"",COUNTIF(INV_Serial,$H1874)&gt;1),"⚠ this serial already exists",IF(COUNTIFS(INV_Product,$B1874,INV_No,$C1874)&gt;1,"⚠ piece number reused",""))))</f>
        <v/>
      </c>
      <c r="P1874" s="5" t="n"/>
    </row>
    <row r="1875">
      <c r="A1875" s="8">
        <f>IF(OR($B1875="",$C1875=""),"",IFERROR(INDEX(PM_Short,MATCH($B1875,PM_ID,0))&amp;"-"&amp;TEXT($C1875,"00"),"?? no such product"))</f>
        <v/>
      </c>
      <c r="B1875" s="5" t="n"/>
      <c r="C1875" s="5" t="n"/>
      <c r="D1875" s="8">
        <f>IF($B1875="","",IFERROR(INDEX(PM_Category,MATCH($B1875,PM_ID,0)),""))</f>
        <v/>
      </c>
      <c r="E1875" s="8">
        <f>IF($B1875="","",IFERROR(INDEX(PM_Subcategory,MATCH($B1875,PM_ID,0)),""))</f>
        <v/>
      </c>
      <c r="F1875" s="8">
        <f>IF($B1875="","",IFERROR(INDEX(PM_Brand,MATCH($B1875,PM_ID,0)),""))</f>
        <v/>
      </c>
      <c r="G1875" s="8">
        <f>IF($B1875="","",IFERROR(INDEX(PM_Model,MATCH($B1875,PM_ID,0)),""))</f>
        <v/>
      </c>
      <c r="H1875" s="5" t="n"/>
      <c r="I1875" s="10" t="n"/>
      <c r="J1875" s="9" t="n"/>
      <c r="K1875" s="5" t="n"/>
      <c r="L1875" s="5" t="n"/>
      <c r="M1875" s="5" t="n"/>
      <c r="N1875" s="5" t="n"/>
      <c r="O1875" s="8">
        <f>IF($B1875="","",IF(AND($A1875&lt;&gt;"",COUNTIF(INV_ID,$A1875)&gt;1),"⚠ this Unit ID already exists",IF(AND($H1875&lt;&gt;"",COUNTIF(INV_Serial,$H1875)&gt;1),"⚠ this serial already exists",IF(COUNTIFS(INV_Product,$B1875,INV_No,$C1875)&gt;1,"⚠ piece number reused",""))))</f>
        <v/>
      </c>
      <c r="P1875" s="5" t="n"/>
    </row>
    <row r="1876">
      <c r="A1876" s="8">
        <f>IF(OR($B1876="",$C1876=""),"",IFERROR(INDEX(PM_Short,MATCH($B1876,PM_ID,0))&amp;"-"&amp;TEXT($C1876,"00"),"?? no such product"))</f>
        <v/>
      </c>
      <c r="B1876" s="5" t="n"/>
      <c r="C1876" s="5" t="n"/>
      <c r="D1876" s="8">
        <f>IF($B1876="","",IFERROR(INDEX(PM_Category,MATCH($B1876,PM_ID,0)),""))</f>
        <v/>
      </c>
      <c r="E1876" s="8">
        <f>IF($B1876="","",IFERROR(INDEX(PM_Subcategory,MATCH($B1876,PM_ID,0)),""))</f>
        <v/>
      </c>
      <c r="F1876" s="8">
        <f>IF($B1876="","",IFERROR(INDEX(PM_Brand,MATCH($B1876,PM_ID,0)),""))</f>
        <v/>
      </c>
      <c r="G1876" s="8">
        <f>IF($B1876="","",IFERROR(INDEX(PM_Model,MATCH($B1876,PM_ID,0)),""))</f>
        <v/>
      </c>
      <c r="H1876" s="5" t="n"/>
      <c r="I1876" s="10" t="n"/>
      <c r="J1876" s="9" t="n"/>
      <c r="K1876" s="5" t="n"/>
      <c r="L1876" s="5" t="n"/>
      <c r="M1876" s="5" t="n"/>
      <c r="N1876" s="5" t="n"/>
      <c r="O1876" s="8">
        <f>IF($B1876="","",IF(AND($A1876&lt;&gt;"",COUNTIF(INV_ID,$A1876)&gt;1),"⚠ this Unit ID already exists",IF(AND($H1876&lt;&gt;"",COUNTIF(INV_Serial,$H1876)&gt;1),"⚠ this serial already exists",IF(COUNTIFS(INV_Product,$B1876,INV_No,$C1876)&gt;1,"⚠ piece number reused",""))))</f>
        <v/>
      </c>
      <c r="P1876" s="5" t="n"/>
    </row>
    <row r="1877">
      <c r="A1877" s="8">
        <f>IF(OR($B1877="",$C1877=""),"",IFERROR(INDEX(PM_Short,MATCH($B1877,PM_ID,0))&amp;"-"&amp;TEXT($C1877,"00"),"?? no such product"))</f>
        <v/>
      </c>
      <c r="B1877" s="5" t="n"/>
      <c r="C1877" s="5" t="n"/>
      <c r="D1877" s="8">
        <f>IF($B1877="","",IFERROR(INDEX(PM_Category,MATCH($B1877,PM_ID,0)),""))</f>
        <v/>
      </c>
      <c r="E1877" s="8">
        <f>IF($B1877="","",IFERROR(INDEX(PM_Subcategory,MATCH($B1877,PM_ID,0)),""))</f>
        <v/>
      </c>
      <c r="F1877" s="8">
        <f>IF($B1877="","",IFERROR(INDEX(PM_Brand,MATCH($B1877,PM_ID,0)),""))</f>
        <v/>
      </c>
      <c r="G1877" s="8">
        <f>IF($B1877="","",IFERROR(INDEX(PM_Model,MATCH($B1877,PM_ID,0)),""))</f>
        <v/>
      </c>
      <c r="H1877" s="5" t="n"/>
      <c r="I1877" s="10" t="n"/>
      <c r="J1877" s="9" t="n"/>
      <c r="K1877" s="5" t="n"/>
      <c r="L1877" s="5" t="n"/>
      <c r="M1877" s="5" t="n"/>
      <c r="N1877" s="5" t="n"/>
      <c r="O1877" s="8">
        <f>IF($B1877="","",IF(AND($A1877&lt;&gt;"",COUNTIF(INV_ID,$A1877)&gt;1),"⚠ this Unit ID already exists",IF(AND($H1877&lt;&gt;"",COUNTIF(INV_Serial,$H1877)&gt;1),"⚠ this serial already exists",IF(COUNTIFS(INV_Product,$B1877,INV_No,$C1877)&gt;1,"⚠ piece number reused",""))))</f>
        <v/>
      </c>
      <c r="P1877" s="5" t="n"/>
    </row>
    <row r="1878">
      <c r="A1878" s="8">
        <f>IF(OR($B1878="",$C1878=""),"",IFERROR(INDEX(PM_Short,MATCH($B1878,PM_ID,0))&amp;"-"&amp;TEXT($C1878,"00"),"?? no such product"))</f>
        <v/>
      </c>
      <c r="B1878" s="5" t="n"/>
      <c r="C1878" s="5" t="n"/>
      <c r="D1878" s="8">
        <f>IF($B1878="","",IFERROR(INDEX(PM_Category,MATCH($B1878,PM_ID,0)),""))</f>
        <v/>
      </c>
      <c r="E1878" s="8">
        <f>IF($B1878="","",IFERROR(INDEX(PM_Subcategory,MATCH($B1878,PM_ID,0)),""))</f>
        <v/>
      </c>
      <c r="F1878" s="8">
        <f>IF($B1878="","",IFERROR(INDEX(PM_Brand,MATCH($B1878,PM_ID,0)),""))</f>
        <v/>
      </c>
      <c r="G1878" s="8">
        <f>IF($B1878="","",IFERROR(INDEX(PM_Model,MATCH($B1878,PM_ID,0)),""))</f>
        <v/>
      </c>
      <c r="H1878" s="5" t="n"/>
      <c r="I1878" s="10" t="n"/>
      <c r="J1878" s="9" t="n"/>
      <c r="K1878" s="5" t="n"/>
      <c r="L1878" s="5" t="n"/>
      <c r="M1878" s="5" t="n"/>
      <c r="N1878" s="5" t="n"/>
      <c r="O1878" s="8">
        <f>IF($B1878="","",IF(AND($A1878&lt;&gt;"",COUNTIF(INV_ID,$A1878)&gt;1),"⚠ this Unit ID already exists",IF(AND($H1878&lt;&gt;"",COUNTIF(INV_Serial,$H1878)&gt;1),"⚠ this serial already exists",IF(COUNTIFS(INV_Product,$B1878,INV_No,$C1878)&gt;1,"⚠ piece number reused",""))))</f>
        <v/>
      </c>
      <c r="P1878" s="5" t="n"/>
    </row>
    <row r="1879">
      <c r="A1879" s="8">
        <f>IF(OR($B1879="",$C1879=""),"",IFERROR(INDEX(PM_Short,MATCH($B1879,PM_ID,0))&amp;"-"&amp;TEXT($C1879,"00"),"?? no such product"))</f>
        <v/>
      </c>
      <c r="B1879" s="5" t="n"/>
      <c r="C1879" s="5" t="n"/>
      <c r="D1879" s="8">
        <f>IF($B1879="","",IFERROR(INDEX(PM_Category,MATCH($B1879,PM_ID,0)),""))</f>
        <v/>
      </c>
      <c r="E1879" s="8">
        <f>IF($B1879="","",IFERROR(INDEX(PM_Subcategory,MATCH($B1879,PM_ID,0)),""))</f>
        <v/>
      </c>
      <c r="F1879" s="8">
        <f>IF($B1879="","",IFERROR(INDEX(PM_Brand,MATCH($B1879,PM_ID,0)),""))</f>
        <v/>
      </c>
      <c r="G1879" s="8">
        <f>IF($B1879="","",IFERROR(INDEX(PM_Model,MATCH($B1879,PM_ID,0)),""))</f>
        <v/>
      </c>
      <c r="H1879" s="5" t="n"/>
      <c r="I1879" s="10" t="n"/>
      <c r="J1879" s="9" t="n"/>
      <c r="K1879" s="5" t="n"/>
      <c r="L1879" s="5" t="n"/>
      <c r="M1879" s="5" t="n"/>
      <c r="N1879" s="5" t="n"/>
      <c r="O1879" s="8">
        <f>IF($B1879="","",IF(AND($A1879&lt;&gt;"",COUNTIF(INV_ID,$A1879)&gt;1),"⚠ this Unit ID already exists",IF(AND($H1879&lt;&gt;"",COUNTIF(INV_Serial,$H1879)&gt;1),"⚠ this serial already exists",IF(COUNTIFS(INV_Product,$B1879,INV_No,$C1879)&gt;1,"⚠ piece number reused",""))))</f>
        <v/>
      </c>
      <c r="P1879" s="5" t="n"/>
    </row>
    <row r="1880">
      <c r="A1880" s="8">
        <f>IF(OR($B1880="",$C1880=""),"",IFERROR(INDEX(PM_Short,MATCH($B1880,PM_ID,0))&amp;"-"&amp;TEXT($C1880,"00"),"?? no such product"))</f>
        <v/>
      </c>
      <c r="B1880" s="5" t="n"/>
      <c r="C1880" s="5" t="n"/>
      <c r="D1880" s="8">
        <f>IF($B1880="","",IFERROR(INDEX(PM_Category,MATCH($B1880,PM_ID,0)),""))</f>
        <v/>
      </c>
      <c r="E1880" s="8">
        <f>IF($B1880="","",IFERROR(INDEX(PM_Subcategory,MATCH($B1880,PM_ID,0)),""))</f>
        <v/>
      </c>
      <c r="F1880" s="8">
        <f>IF($B1880="","",IFERROR(INDEX(PM_Brand,MATCH($B1880,PM_ID,0)),""))</f>
        <v/>
      </c>
      <c r="G1880" s="8">
        <f>IF($B1880="","",IFERROR(INDEX(PM_Model,MATCH($B1880,PM_ID,0)),""))</f>
        <v/>
      </c>
      <c r="H1880" s="5" t="n"/>
      <c r="I1880" s="10" t="n"/>
      <c r="J1880" s="9" t="n"/>
      <c r="K1880" s="5" t="n"/>
      <c r="L1880" s="5" t="n"/>
      <c r="M1880" s="5" t="n"/>
      <c r="N1880" s="5" t="n"/>
      <c r="O1880" s="8">
        <f>IF($B1880="","",IF(AND($A1880&lt;&gt;"",COUNTIF(INV_ID,$A1880)&gt;1),"⚠ this Unit ID already exists",IF(AND($H1880&lt;&gt;"",COUNTIF(INV_Serial,$H1880)&gt;1),"⚠ this serial already exists",IF(COUNTIFS(INV_Product,$B1880,INV_No,$C1880)&gt;1,"⚠ piece number reused",""))))</f>
        <v/>
      </c>
      <c r="P1880" s="5" t="n"/>
    </row>
    <row r="1881">
      <c r="A1881" s="8">
        <f>IF(OR($B1881="",$C1881=""),"",IFERROR(INDEX(PM_Short,MATCH($B1881,PM_ID,0))&amp;"-"&amp;TEXT($C1881,"00"),"?? no such product"))</f>
        <v/>
      </c>
      <c r="B1881" s="5" t="n"/>
      <c r="C1881" s="5" t="n"/>
      <c r="D1881" s="8">
        <f>IF($B1881="","",IFERROR(INDEX(PM_Category,MATCH($B1881,PM_ID,0)),""))</f>
        <v/>
      </c>
      <c r="E1881" s="8">
        <f>IF($B1881="","",IFERROR(INDEX(PM_Subcategory,MATCH($B1881,PM_ID,0)),""))</f>
        <v/>
      </c>
      <c r="F1881" s="8">
        <f>IF($B1881="","",IFERROR(INDEX(PM_Brand,MATCH($B1881,PM_ID,0)),""))</f>
        <v/>
      </c>
      <c r="G1881" s="8">
        <f>IF($B1881="","",IFERROR(INDEX(PM_Model,MATCH($B1881,PM_ID,0)),""))</f>
        <v/>
      </c>
      <c r="H1881" s="5" t="n"/>
      <c r="I1881" s="10" t="n"/>
      <c r="J1881" s="9" t="n"/>
      <c r="K1881" s="5" t="n"/>
      <c r="L1881" s="5" t="n"/>
      <c r="M1881" s="5" t="n"/>
      <c r="N1881" s="5" t="n"/>
      <c r="O1881" s="8">
        <f>IF($B1881="","",IF(AND($A1881&lt;&gt;"",COUNTIF(INV_ID,$A1881)&gt;1),"⚠ this Unit ID already exists",IF(AND($H1881&lt;&gt;"",COUNTIF(INV_Serial,$H1881)&gt;1),"⚠ this serial already exists",IF(COUNTIFS(INV_Product,$B1881,INV_No,$C1881)&gt;1,"⚠ piece number reused",""))))</f>
        <v/>
      </c>
      <c r="P1881" s="5" t="n"/>
    </row>
    <row r="1882">
      <c r="A1882" s="8">
        <f>IF(OR($B1882="",$C1882=""),"",IFERROR(INDEX(PM_Short,MATCH($B1882,PM_ID,0))&amp;"-"&amp;TEXT($C1882,"00"),"?? no such product"))</f>
        <v/>
      </c>
      <c r="B1882" s="5" t="n"/>
      <c r="C1882" s="5" t="n"/>
      <c r="D1882" s="8">
        <f>IF($B1882="","",IFERROR(INDEX(PM_Category,MATCH($B1882,PM_ID,0)),""))</f>
        <v/>
      </c>
      <c r="E1882" s="8">
        <f>IF($B1882="","",IFERROR(INDEX(PM_Subcategory,MATCH($B1882,PM_ID,0)),""))</f>
        <v/>
      </c>
      <c r="F1882" s="8">
        <f>IF($B1882="","",IFERROR(INDEX(PM_Brand,MATCH($B1882,PM_ID,0)),""))</f>
        <v/>
      </c>
      <c r="G1882" s="8">
        <f>IF($B1882="","",IFERROR(INDEX(PM_Model,MATCH($B1882,PM_ID,0)),""))</f>
        <v/>
      </c>
      <c r="H1882" s="5" t="n"/>
      <c r="I1882" s="10" t="n"/>
      <c r="J1882" s="9" t="n"/>
      <c r="K1882" s="5" t="n"/>
      <c r="L1882" s="5" t="n"/>
      <c r="M1882" s="5" t="n"/>
      <c r="N1882" s="5" t="n"/>
      <c r="O1882" s="8">
        <f>IF($B1882="","",IF(AND($A1882&lt;&gt;"",COUNTIF(INV_ID,$A1882)&gt;1),"⚠ this Unit ID already exists",IF(AND($H1882&lt;&gt;"",COUNTIF(INV_Serial,$H1882)&gt;1),"⚠ this serial already exists",IF(COUNTIFS(INV_Product,$B1882,INV_No,$C1882)&gt;1,"⚠ piece number reused",""))))</f>
        <v/>
      </c>
      <c r="P1882" s="5" t="n"/>
    </row>
    <row r="1883">
      <c r="A1883" s="8">
        <f>IF(OR($B1883="",$C1883=""),"",IFERROR(INDEX(PM_Short,MATCH($B1883,PM_ID,0))&amp;"-"&amp;TEXT($C1883,"00"),"?? no such product"))</f>
        <v/>
      </c>
      <c r="B1883" s="5" t="n"/>
      <c r="C1883" s="5" t="n"/>
      <c r="D1883" s="8">
        <f>IF($B1883="","",IFERROR(INDEX(PM_Category,MATCH($B1883,PM_ID,0)),""))</f>
        <v/>
      </c>
      <c r="E1883" s="8">
        <f>IF($B1883="","",IFERROR(INDEX(PM_Subcategory,MATCH($B1883,PM_ID,0)),""))</f>
        <v/>
      </c>
      <c r="F1883" s="8">
        <f>IF($B1883="","",IFERROR(INDEX(PM_Brand,MATCH($B1883,PM_ID,0)),""))</f>
        <v/>
      </c>
      <c r="G1883" s="8">
        <f>IF($B1883="","",IFERROR(INDEX(PM_Model,MATCH($B1883,PM_ID,0)),""))</f>
        <v/>
      </c>
      <c r="H1883" s="5" t="n"/>
      <c r="I1883" s="10" t="n"/>
      <c r="J1883" s="9" t="n"/>
      <c r="K1883" s="5" t="n"/>
      <c r="L1883" s="5" t="n"/>
      <c r="M1883" s="5" t="n"/>
      <c r="N1883" s="5" t="n"/>
      <c r="O1883" s="8">
        <f>IF($B1883="","",IF(AND($A1883&lt;&gt;"",COUNTIF(INV_ID,$A1883)&gt;1),"⚠ this Unit ID already exists",IF(AND($H1883&lt;&gt;"",COUNTIF(INV_Serial,$H1883)&gt;1),"⚠ this serial already exists",IF(COUNTIFS(INV_Product,$B1883,INV_No,$C1883)&gt;1,"⚠ piece number reused",""))))</f>
        <v/>
      </c>
      <c r="P1883" s="5" t="n"/>
    </row>
    <row r="1884">
      <c r="A1884" s="8">
        <f>IF(OR($B1884="",$C1884=""),"",IFERROR(INDEX(PM_Short,MATCH($B1884,PM_ID,0))&amp;"-"&amp;TEXT($C1884,"00"),"?? no such product"))</f>
        <v/>
      </c>
      <c r="B1884" s="5" t="n"/>
      <c r="C1884" s="5" t="n"/>
      <c r="D1884" s="8">
        <f>IF($B1884="","",IFERROR(INDEX(PM_Category,MATCH($B1884,PM_ID,0)),""))</f>
        <v/>
      </c>
      <c r="E1884" s="8">
        <f>IF($B1884="","",IFERROR(INDEX(PM_Subcategory,MATCH($B1884,PM_ID,0)),""))</f>
        <v/>
      </c>
      <c r="F1884" s="8">
        <f>IF($B1884="","",IFERROR(INDEX(PM_Brand,MATCH($B1884,PM_ID,0)),""))</f>
        <v/>
      </c>
      <c r="G1884" s="8">
        <f>IF($B1884="","",IFERROR(INDEX(PM_Model,MATCH($B1884,PM_ID,0)),""))</f>
        <v/>
      </c>
      <c r="H1884" s="5" t="n"/>
      <c r="I1884" s="10" t="n"/>
      <c r="J1884" s="9" t="n"/>
      <c r="K1884" s="5" t="n"/>
      <c r="L1884" s="5" t="n"/>
      <c r="M1884" s="5" t="n"/>
      <c r="N1884" s="5" t="n"/>
      <c r="O1884" s="8">
        <f>IF($B1884="","",IF(AND($A1884&lt;&gt;"",COUNTIF(INV_ID,$A1884)&gt;1),"⚠ this Unit ID already exists",IF(AND($H1884&lt;&gt;"",COUNTIF(INV_Serial,$H1884)&gt;1),"⚠ this serial already exists",IF(COUNTIFS(INV_Product,$B1884,INV_No,$C1884)&gt;1,"⚠ piece number reused",""))))</f>
        <v/>
      </c>
      <c r="P1884" s="5" t="n"/>
    </row>
    <row r="1885">
      <c r="A1885" s="8">
        <f>IF(OR($B1885="",$C1885=""),"",IFERROR(INDEX(PM_Short,MATCH($B1885,PM_ID,0))&amp;"-"&amp;TEXT($C1885,"00"),"?? no such product"))</f>
        <v/>
      </c>
      <c r="B1885" s="5" t="n"/>
      <c r="C1885" s="5" t="n"/>
      <c r="D1885" s="8">
        <f>IF($B1885="","",IFERROR(INDEX(PM_Category,MATCH($B1885,PM_ID,0)),""))</f>
        <v/>
      </c>
      <c r="E1885" s="8">
        <f>IF($B1885="","",IFERROR(INDEX(PM_Subcategory,MATCH($B1885,PM_ID,0)),""))</f>
        <v/>
      </c>
      <c r="F1885" s="8">
        <f>IF($B1885="","",IFERROR(INDEX(PM_Brand,MATCH($B1885,PM_ID,0)),""))</f>
        <v/>
      </c>
      <c r="G1885" s="8">
        <f>IF($B1885="","",IFERROR(INDEX(PM_Model,MATCH($B1885,PM_ID,0)),""))</f>
        <v/>
      </c>
      <c r="H1885" s="5" t="n"/>
      <c r="I1885" s="10" t="n"/>
      <c r="J1885" s="9" t="n"/>
      <c r="K1885" s="5" t="n"/>
      <c r="L1885" s="5" t="n"/>
      <c r="M1885" s="5" t="n"/>
      <c r="N1885" s="5" t="n"/>
      <c r="O1885" s="8">
        <f>IF($B1885="","",IF(AND($A1885&lt;&gt;"",COUNTIF(INV_ID,$A1885)&gt;1),"⚠ this Unit ID already exists",IF(AND($H1885&lt;&gt;"",COUNTIF(INV_Serial,$H1885)&gt;1),"⚠ this serial already exists",IF(COUNTIFS(INV_Product,$B1885,INV_No,$C1885)&gt;1,"⚠ piece number reused",""))))</f>
        <v/>
      </c>
      <c r="P1885" s="5" t="n"/>
    </row>
    <row r="1886">
      <c r="A1886" s="8">
        <f>IF(OR($B1886="",$C1886=""),"",IFERROR(INDEX(PM_Short,MATCH($B1886,PM_ID,0))&amp;"-"&amp;TEXT($C1886,"00"),"?? no such product"))</f>
        <v/>
      </c>
      <c r="B1886" s="5" t="n"/>
      <c r="C1886" s="5" t="n"/>
      <c r="D1886" s="8">
        <f>IF($B1886="","",IFERROR(INDEX(PM_Category,MATCH($B1886,PM_ID,0)),""))</f>
        <v/>
      </c>
      <c r="E1886" s="8">
        <f>IF($B1886="","",IFERROR(INDEX(PM_Subcategory,MATCH($B1886,PM_ID,0)),""))</f>
        <v/>
      </c>
      <c r="F1886" s="8">
        <f>IF($B1886="","",IFERROR(INDEX(PM_Brand,MATCH($B1886,PM_ID,0)),""))</f>
        <v/>
      </c>
      <c r="G1886" s="8">
        <f>IF($B1886="","",IFERROR(INDEX(PM_Model,MATCH($B1886,PM_ID,0)),""))</f>
        <v/>
      </c>
      <c r="H1886" s="5" t="n"/>
      <c r="I1886" s="10" t="n"/>
      <c r="J1886" s="9" t="n"/>
      <c r="K1886" s="5" t="n"/>
      <c r="L1886" s="5" t="n"/>
      <c r="M1886" s="5" t="n"/>
      <c r="N1886" s="5" t="n"/>
      <c r="O1886" s="8">
        <f>IF($B1886="","",IF(AND($A1886&lt;&gt;"",COUNTIF(INV_ID,$A1886)&gt;1),"⚠ this Unit ID already exists",IF(AND($H1886&lt;&gt;"",COUNTIF(INV_Serial,$H1886)&gt;1),"⚠ this serial already exists",IF(COUNTIFS(INV_Product,$B1886,INV_No,$C1886)&gt;1,"⚠ piece number reused",""))))</f>
        <v/>
      </c>
      <c r="P1886" s="5" t="n"/>
    </row>
    <row r="1887">
      <c r="A1887" s="8">
        <f>IF(OR($B1887="",$C1887=""),"",IFERROR(INDEX(PM_Short,MATCH($B1887,PM_ID,0))&amp;"-"&amp;TEXT($C1887,"00"),"?? no such product"))</f>
        <v/>
      </c>
      <c r="B1887" s="5" t="n"/>
      <c r="C1887" s="5" t="n"/>
      <c r="D1887" s="8">
        <f>IF($B1887="","",IFERROR(INDEX(PM_Category,MATCH($B1887,PM_ID,0)),""))</f>
        <v/>
      </c>
      <c r="E1887" s="8">
        <f>IF($B1887="","",IFERROR(INDEX(PM_Subcategory,MATCH($B1887,PM_ID,0)),""))</f>
        <v/>
      </c>
      <c r="F1887" s="8">
        <f>IF($B1887="","",IFERROR(INDEX(PM_Brand,MATCH($B1887,PM_ID,0)),""))</f>
        <v/>
      </c>
      <c r="G1887" s="8">
        <f>IF($B1887="","",IFERROR(INDEX(PM_Model,MATCH($B1887,PM_ID,0)),""))</f>
        <v/>
      </c>
      <c r="H1887" s="5" t="n"/>
      <c r="I1887" s="10" t="n"/>
      <c r="J1887" s="9" t="n"/>
      <c r="K1887" s="5" t="n"/>
      <c r="L1887" s="5" t="n"/>
      <c r="M1887" s="5" t="n"/>
      <c r="N1887" s="5" t="n"/>
      <c r="O1887" s="8">
        <f>IF($B1887="","",IF(AND($A1887&lt;&gt;"",COUNTIF(INV_ID,$A1887)&gt;1),"⚠ this Unit ID already exists",IF(AND($H1887&lt;&gt;"",COUNTIF(INV_Serial,$H1887)&gt;1),"⚠ this serial already exists",IF(COUNTIFS(INV_Product,$B1887,INV_No,$C1887)&gt;1,"⚠ piece number reused",""))))</f>
        <v/>
      </c>
      <c r="P1887" s="5" t="n"/>
    </row>
    <row r="1888">
      <c r="A1888" s="8">
        <f>IF(OR($B1888="",$C1888=""),"",IFERROR(INDEX(PM_Short,MATCH($B1888,PM_ID,0))&amp;"-"&amp;TEXT($C1888,"00"),"?? no such product"))</f>
        <v/>
      </c>
      <c r="B1888" s="5" t="n"/>
      <c r="C1888" s="5" t="n"/>
      <c r="D1888" s="8">
        <f>IF($B1888="","",IFERROR(INDEX(PM_Category,MATCH($B1888,PM_ID,0)),""))</f>
        <v/>
      </c>
      <c r="E1888" s="8">
        <f>IF($B1888="","",IFERROR(INDEX(PM_Subcategory,MATCH($B1888,PM_ID,0)),""))</f>
        <v/>
      </c>
      <c r="F1888" s="8">
        <f>IF($B1888="","",IFERROR(INDEX(PM_Brand,MATCH($B1888,PM_ID,0)),""))</f>
        <v/>
      </c>
      <c r="G1888" s="8">
        <f>IF($B1888="","",IFERROR(INDEX(PM_Model,MATCH($B1888,PM_ID,0)),""))</f>
        <v/>
      </c>
      <c r="H1888" s="5" t="n"/>
      <c r="I1888" s="10" t="n"/>
      <c r="J1888" s="9" t="n"/>
      <c r="K1888" s="5" t="n"/>
      <c r="L1888" s="5" t="n"/>
      <c r="M1888" s="5" t="n"/>
      <c r="N1888" s="5" t="n"/>
      <c r="O1888" s="8">
        <f>IF($B1888="","",IF(AND($A1888&lt;&gt;"",COUNTIF(INV_ID,$A1888)&gt;1),"⚠ this Unit ID already exists",IF(AND($H1888&lt;&gt;"",COUNTIF(INV_Serial,$H1888)&gt;1),"⚠ this serial already exists",IF(COUNTIFS(INV_Product,$B1888,INV_No,$C1888)&gt;1,"⚠ piece number reused",""))))</f>
        <v/>
      </c>
      <c r="P1888" s="5" t="n"/>
    </row>
    <row r="1889">
      <c r="A1889" s="8">
        <f>IF(OR($B1889="",$C1889=""),"",IFERROR(INDEX(PM_Short,MATCH($B1889,PM_ID,0))&amp;"-"&amp;TEXT($C1889,"00"),"?? no such product"))</f>
        <v/>
      </c>
      <c r="B1889" s="5" t="n"/>
      <c r="C1889" s="5" t="n"/>
      <c r="D1889" s="8">
        <f>IF($B1889="","",IFERROR(INDEX(PM_Category,MATCH($B1889,PM_ID,0)),""))</f>
        <v/>
      </c>
      <c r="E1889" s="8">
        <f>IF($B1889="","",IFERROR(INDEX(PM_Subcategory,MATCH($B1889,PM_ID,0)),""))</f>
        <v/>
      </c>
      <c r="F1889" s="8">
        <f>IF($B1889="","",IFERROR(INDEX(PM_Brand,MATCH($B1889,PM_ID,0)),""))</f>
        <v/>
      </c>
      <c r="G1889" s="8">
        <f>IF($B1889="","",IFERROR(INDEX(PM_Model,MATCH($B1889,PM_ID,0)),""))</f>
        <v/>
      </c>
      <c r="H1889" s="5" t="n"/>
      <c r="I1889" s="10" t="n"/>
      <c r="J1889" s="9" t="n"/>
      <c r="K1889" s="5" t="n"/>
      <c r="L1889" s="5" t="n"/>
      <c r="M1889" s="5" t="n"/>
      <c r="N1889" s="5" t="n"/>
      <c r="O1889" s="8">
        <f>IF($B1889="","",IF(AND($A1889&lt;&gt;"",COUNTIF(INV_ID,$A1889)&gt;1),"⚠ this Unit ID already exists",IF(AND($H1889&lt;&gt;"",COUNTIF(INV_Serial,$H1889)&gt;1),"⚠ this serial already exists",IF(COUNTIFS(INV_Product,$B1889,INV_No,$C1889)&gt;1,"⚠ piece number reused",""))))</f>
        <v/>
      </c>
      <c r="P1889" s="5" t="n"/>
    </row>
    <row r="1890">
      <c r="A1890" s="8">
        <f>IF(OR($B1890="",$C1890=""),"",IFERROR(INDEX(PM_Short,MATCH($B1890,PM_ID,0))&amp;"-"&amp;TEXT($C1890,"00"),"?? no such product"))</f>
        <v/>
      </c>
      <c r="B1890" s="5" t="n"/>
      <c r="C1890" s="5" t="n"/>
      <c r="D1890" s="8">
        <f>IF($B1890="","",IFERROR(INDEX(PM_Category,MATCH($B1890,PM_ID,0)),""))</f>
        <v/>
      </c>
      <c r="E1890" s="8">
        <f>IF($B1890="","",IFERROR(INDEX(PM_Subcategory,MATCH($B1890,PM_ID,0)),""))</f>
        <v/>
      </c>
      <c r="F1890" s="8">
        <f>IF($B1890="","",IFERROR(INDEX(PM_Brand,MATCH($B1890,PM_ID,0)),""))</f>
        <v/>
      </c>
      <c r="G1890" s="8">
        <f>IF($B1890="","",IFERROR(INDEX(PM_Model,MATCH($B1890,PM_ID,0)),""))</f>
        <v/>
      </c>
      <c r="H1890" s="5" t="n"/>
      <c r="I1890" s="10" t="n"/>
      <c r="J1890" s="9" t="n"/>
      <c r="K1890" s="5" t="n"/>
      <c r="L1890" s="5" t="n"/>
      <c r="M1890" s="5" t="n"/>
      <c r="N1890" s="5" t="n"/>
      <c r="O1890" s="8">
        <f>IF($B1890="","",IF(AND($A1890&lt;&gt;"",COUNTIF(INV_ID,$A1890)&gt;1),"⚠ this Unit ID already exists",IF(AND($H1890&lt;&gt;"",COUNTIF(INV_Serial,$H1890)&gt;1),"⚠ this serial already exists",IF(COUNTIFS(INV_Product,$B1890,INV_No,$C1890)&gt;1,"⚠ piece number reused",""))))</f>
        <v/>
      </c>
      <c r="P1890" s="5" t="n"/>
    </row>
    <row r="1891">
      <c r="A1891" s="8">
        <f>IF(OR($B1891="",$C1891=""),"",IFERROR(INDEX(PM_Short,MATCH($B1891,PM_ID,0))&amp;"-"&amp;TEXT($C1891,"00"),"?? no such product"))</f>
        <v/>
      </c>
      <c r="B1891" s="5" t="n"/>
      <c r="C1891" s="5" t="n"/>
      <c r="D1891" s="8">
        <f>IF($B1891="","",IFERROR(INDEX(PM_Category,MATCH($B1891,PM_ID,0)),""))</f>
        <v/>
      </c>
      <c r="E1891" s="8">
        <f>IF($B1891="","",IFERROR(INDEX(PM_Subcategory,MATCH($B1891,PM_ID,0)),""))</f>
        <v/>
      </c>
      <c r="F1891" s="8">
        <f>IF($B1891="","",IFERROR(INDEX(PM_Brand,MATCH($B1891,PM_ID,0)),""))</f>
        <v/>
      </c>
      <c r="G1891" s="8">
        <f>IF($B1891="","",IFERROR(INDEX(PM_Model,MATCH($B1891,PM_ID,0)),""))</f>
        <v/>
      </c>
      <c r="H1891" s="5" t="n"/>
      <c r="I1891" s="10" t="n"/>
      <c r="J1891" s="9" t="n"/>
      <c r="K1891" s="5" t="n"/>
      <c r="L1891" s="5" t="n"/>
      <c r="M1891" s="5" t="n"/>
      <c r="N1891" s="5" t="n"/>
      <c r="O1891" s="8">
        <f>IF($B1891="","",IF(AND($A1891&lt;&gt;"",COUNTIF(INV_ID,$A1891)&gt;1),"⚠ this Unit ID already exists",IF(AND($H1891&lt;&gt;"",COUNTIF(INV_Serial,$H1891)&gt;1),"⚠ this serial already exists",IF(COUNTIFS(INV_Product,$B1891,INV_No,$C1891)&gt;1,"⚠ piece number reused",""))))</f>
        <v/>
      </c>
      <c r="P1891" s="5" t="n"/>
    </row>
    <row r="1892">
      <c r="A1892" s="8">
        <f>IF(OR($B1892="",$C1892=""),"",IFERROR(INDEX(PM_Short,MATCH($B1892,PM_ID,0))&amp;"-"&amp;TEXT($C1892,"00"),"?? no such product"))</f>
        <v/>
      </c>
      <c r="B1892" s="5" t="n"/>
      <c r="C1892" s="5" t="n"/>
      <c r="D1892" s="8">
        <f>IF($B1892="","",IFERROR(INDEX(PM_Category,MATCH($B1892,PM_ID,0)),""))</f>
        <v/>
      </c>
      <c r="E1892" s="8">
        <f>IF($B1892="","",IFERROR(INDEX(PM_Subcategory,MATCH($B1892,PM_ID,0)),""))</f>
        <v/>
      </c>
      <c r="F1892" s="8">
        <f>IF($B1892="","",IFERROR(INDEX(PM_Brand,MATCH($B1892,PM_ID,0)),""))</f>
        <v/>
      </c>
      <c r="G1892" s="8">
        <f>IF($B1892="","",IFERROR(INDEX(PM_Model,MATCH($B1892,PM_ID,0)),""))</f>
        <v/>
      </c>
      <c r="H1892" s="5" t="n"/>
      <c r="I1892" s="10" t="n"/>
      <c r="J1892" s="9" t="n"/>
      <c r="K1892" s="5" t="n"/>
      <c r="L1892" s="5" t="n"/>
      <c r="M1892" s="5" t="n"/>
      <c r="N1892" s="5" t="n"/>
      <c r="O1892" s="8">
        <f>IF($B1892="","",IF(AND($A1892&lt;&gt;"",COUNTIF(INV_ID,$A1892)&gt;1),"⚠ this Unit ID already exists",IF(AND($H1892&lt;&gt;"",COUNTIF(INV_Serial,$H1892)&gt;1),"⚠ this serial already exists",IF(COUNTIFS(INV_Product,$B1892,INV_No,$C1892)&gt;1,"⚠ piece number reused",""))))</f>
        <v/>
      </c>
      <c r="P1892" s="5" t="n"/>
    </row>
    <row r="1893">
      <c r="A1893" s="8">
        <f>IF(OR($B1893="",$C1893=""),"",IFERROR(INDEX(PM_Short,MATCH($B1893,PM_ID,0))&amp;"-"&amp;TEXT($C1893,"00"),"?? no such product"))</f>
        <v/>
      </c>
      <c r="B1893" s="5" t="n"/>
      <c r="C1893" s="5" t="n"/>
      <c r="D1893" s="8">
        <f>IF($B1893="","",IFERROR(INDEX(PM_Category,MATCH($B1893,PM_ID,0)),""))</f>
        <v/>
      </c>
      <c r="E1893" s="8">
        <f>IF($B1893="","",IFERROR(INDEX(PM_Subcategory,MATCH($B1893,PM_ID,0)),""))</f>
        <v/>
      </c>
      <c r="F1893" s="8">
        <f>IF($B1893="","",IFERROR(INDEX(PM_Brand,MATCH($B1893,PM_ID,0)),""))</f>
        <v/>
      </c>
      <c r="G1893" s="8">
        <f>IF($B1893="","",IFERROR(INDEX(PM_Model,MATCH($B1893,PM_ID,0)),""))</f>
        <v/>
      </c>
      <c r="H1893" s="5" t="n"/>
      <c r="I1893" s="10" t="n"/>
      <c r="J1893" s="9" t="n"/>
      <c r="K1893" s="5" t="n"/>
      <c r="L1893" s="5" t="n"/>
      <c r="M1893" s="5" t="n"/>
      <c r="N1893" s="5" t="n"/>
      <c r="O1893" s="8">
        <f>IF($B1893="","",IF(AND($A1893&lt;&gt;"",COUNTIF(INV_ID,$A1893)&gt;1),"⚠ this Unit ID already exists",IF(AND($H1893&lt;&gt;"",COUNTIF(INV_Serial,$H1893)&gt;1),"⚠ this serial already exists",IF(COUNTIFS(INV_Product,$B1893,INV_No,$C1893)&gt;1,"⚠ piece number reused",""))))</f>
        <v/>
      </c>
      <c r="P1893" s="5" t="n"/>
    </row>
    <row r="1894">
      <c r="A1894" s="8">
        <f>IF(OR($B1894="",$C1894=""),"",IFERROR(INDEX(PM_Short,MATCH($B1894,PM_ID,0))&amp;"-"&amp;TEXT($C1894,"00"),"?? no such product"))</f>
        <v/>
      </c>
      <c r="B1894" s="5" t="n"/>
      <c r="C1894" s="5" t="n"/>
      <c r="D1894" s="8">
        <f>IF($B1894="","",IFERROR(INDEX(PM_Category,MATCH($B1894,PM_ID,0)),""))</f>
        <v/>
      </c>
      <c r="E1894" s="8">
        <f>IF($B1894="","",IFERROR(INDEX(PM_Subcategory,MATCH($B1894,PM_ID,0)),""))</f>
        <v/>
      </c>
      <c r="F1894" s="8">
        <f>IF($B1894="","",IFERROR(INDEX(PM_Brand,MATCH($B1894,PM_ID,0)),""))</f>
        <v/>
      </c>
      <c r="G1894" s="8">
        <f>IF($B1894="","",IFERROR(INDEX(PM_Model,MATCH($B1894,PM_ID,0)),""))</f>
        <v/>
      </c>
      <c r="H1894" s="5" t="n"/>
      <c r="I1894" s="10" t="n"/>
      <c r="J1894" s="9" t="n"/>
      <c r="K1894" s="5" t="n"/>
      <c r="L1894" s="5" t="n"/>
      <c r="M1894" s="5" t="n"/>
      <c r="N1894" s="5" t="n"/>
      <c r="O1894" s="8">
        <f>IF($B1894="","",IF(AND($A1894&lt;&gt;"",COUNTIF(INV_ID,$A1894)&gt;1),"⚠ this Unit ID already exists",IF(AND($H1894&lt;&gt;"",COUNTIF(INV_Serial,$H1894)&gt;1),"⚠ this serial already exists",IF(COUNTIFS(INV_Product,$B1894,INV_No,$C1894)&gt;1,"⚠ piece number reused",""))))</f>
        <v/>
      </c>
      <c r="P1894" s="5" t="n"/>
    </row>
    <row r="1895">
      <c r="A1895" s="8">
        <f>IF(OR($B1895="",$C1895=""),"",IFERROR(INDEX(PM_Short,MATCH($B1895,PM_ID,0))&amp;"-"&amp;TEXT($C1895,"00"),"?? no such product"))</f>
        <v/>
      </c>
      <c r="B1895" s="5" t="n"/>
      <c r="C1895" s="5" t="n"/>
      <c r="D1895" s="8">
        <f>IF($B1895="","",IFERROR(INDEX(PM_Category,MATCH($B1895,PM_ID,0)),""))</f>
        <v/>
      </c>
      <c r="E1895" s="8">
        <f>IF($B1895="","",IFERROR(INDEX(PM_Subcategory,MATCH($B1895,PM_ID,0)),""))</f>
        <v/>
      </c>
      <c r="F1895" s="8">
        <f>IF($B1895="","",IFERROR(INDEX(PM_Brand,MATCH($B1895,PM_ID,0)),""))</f>
        <v/>
      </c>
      <c r="G1895" s="8">
        <f>IF($B1895="","",IFERROR(INDEX(PM_Model,MATCH($B1895,PM_ID,0)),""))</f>
        <v/>
      </c>
      <c r="H1895" s="5" t="n"/>
      <c r="I1895" s="10" t="n"/>
      <c r="J1895" s="9" t="n"/>
      <c r="K1895" s="5" t="n"/>
      <c r="L1895" s="5" t="n"/>
      <c r="M1895" s="5" t="n"/>
      <c r="N1895" s="5" t="n"/>
      <c r="O1895" s="8">
        <f>IF($B1895="","",IF(AND($A1895&lt;&gt;"",COUNTIF(INV_ID,$A1895)&gt;1),"⚠ this Unit ID already exists",IF(AND($H1895&lt;&gt;"",COUNTIF(INV_Serial,$H1895)&gt;1),"⚠ this serial already exists",IF(COUNTIFS(INV_Product,$B1895,INV_No,$C1895)&gt;1,"⚠ piece number reused",""))))</f>
        <v/>
      </c>
      <c r="P1895" s="5" t="n"/>
    </row>
    <row r="1896">
      <c r="A1896" s="8">
        <f>IF(OR($B1896="",$C1896=""),"",IFERROR(INDEX(PM_Short,MATCH($B1896,PM_ID,0))&amp;"-"&amp;TEXT($C1896,"00"),"?? no such product"))</f>
        <v/>
      </c>
      <c r="B1896" s="5" t="n"/>
      <c r="C1896" s="5" t="n"/>
      <c r="D1896" s="8">
        <f>IF($B1896="","",IFERROR(INDEX(PM_Category,MATCH($B1896,PM_ID,0)),""))</f>
        <v/>
      </c>
      <c r="E1896" s="8">
        <f>IF($B1896="","",IFERROR(INDEX(PM_Subcategory,MATCH($B1896,PM_ID,0)),""))</f>
        <v/>
      </c>
      <c r="F1896" s="8">
        <f>IF($B1896="","",IFERROR(INDEX(PM_Brand,MATCH($B1896,PM_ID,0)),""))</f>
        <v/>
      </c>
      <c r="G1896" s="8">
        <f>IF($B1896="","",IFERROR(INDEX(PM_Model,MATCH($B1896,PM_ID,0)),""))</f>
        <v/>
      </c>
      <c r="H1896" s="5" t="n"/>
      <c r="I1896" s="10" t="n"/>
      <c r="J1896" s="9" t="n"/>
      <c r="K1896" s="5" t="n"/>
      <c r="L1896" s="5" t="n"/>
      <c r="M1896" s="5" t="n"/>
      <c r="N1896" s="5" t="n"/>
      <c r="O1896" s="8">
        <f>IF($B1896="","",IF(AND($A1896&lt;&gt;"",COUNTIF(INV_ID,$A1896)&gt;1),"⚠ this Unit ID already exists",IF(AND($H1896&lt;&gt;"",COUNTIF(INV_Serial,$H1896)&gt;1),"⚠ this serial already exists",IF(COUNTIFS(INV_Product,$B1896,INV_No,$C1896)&gt;1,"⚠ piece number reused",""))))</f>
        <v/>
      </c>
      <c r="P1896" s="5" t="n"/>
    </row>
    <row r="1897">
      <c r="A1897" s="8">
        <f>IF(OR($B1897="",$C1897=""),"",IFERROR(INDEX(PM_Short,MATCH($B1897,PM_ID,0))&amp;"-"&amp;TEXT($C1897,"00"),"?? no such product"))</f>
        <v/>
      </c>
      <c r="B1897" s="5" t="n"/>
      <c r="C1897" s="5" t="n"/>
      <c r="D1897" s="8">
        <f>IF($B1897="","",IFERROR(INDEX(PM_Category,MATCH($B1897,PM_ID,0)),""))</f>
        <v/>
      </c>
      <c r="E1897" s="8">
        <f>IF($B1897="","",IFERROR(INDEX(PM_Subcategory,MATCH($B1897,PM_ID,0)),""))</f>
        <v/>
      </c>
      <c r="F1897" s="8">
        <f>IF($B1897="","",IFERROR(INDEX(PM_Brand,MATCH($B1897,PM_ID,0)),""))</f>
        <v/>
      </c>
      <c r="G1897" s="8">
        <f>IF($B1897="","",IFERROR(INDEX(PM_Model,MATCH($B1897,PM_ID,0)),""))</f>
        <v/>
      </c>
      <c r="H1897" s="5" t="n"/>
      <c r="I1897" s="10" t="n"/>
      <c r="J1897" s="9" t="n"/>
      <c r="K1897" s="5" t="n"/>
      <c r="L1897" s="5" t="n"/>
      <c r="M1897" s="5" t="n"/>
      <c r="N1897" s="5" t="n"/>
      <c r="O1897" s="8">
        <f>IF($B1897="","",IF(AND($A1897&lt;&gt;"",COUNTIF(INV_ID,$A1897)&gt;1),"⚠ this Unit ID already exists",IF(AND($H1897&lt;&gt;"",COUNTIF(INV_Serial,$H1897)&gt;1),"⚠ this serial already exists",IF(COUNTIFS(INV_Product,$B1897,INV_No,$C1897)&gt;1,"⚠ piece number reused",""))))</f>
        <v/>
      </c>
      <c r="P1897" s="5" t="n"/>
    </row>
    <row r="1898">
      <c r="A1898" s="8">
        <f>IF(OR($B1898="",$C1898=""),"",IFERROR(INDEX(PM_Short,MATCH($B1898,PM_ID,0))&amp;"-"&amp;TEXT($C1898,"00"),"?? no such product"))</f>
        <v/>
      </c>
      <c r="B1898" s="5" t="n"/>
      <c r="C1898" s="5" t="n"/>
      <c r="D1898" s="8">
        <f>IF($B1898="","",IFERROR(INDEX(PM_Category,MATCH($B1898,PM_ID,0)),""))</f>
        <v/>
      </c>
      <c r="E1898" s="8">
        <f>IF($B1898="","",IFERROR(INDEX(PM_Subcategory,MATCH($B1898,PM_ID,0)),""))</f>
        <v/>
      </c>
      <c r="F1898" s="8">
        <f>IF($B1898="","",IFERROR(INDEX(PM_Brand,MATCH($B1898,PM_ID,0)),""))</f>
        <v/>
      </c>
      <c r="G1898" s="8">
        <f>IF($B1898="","",IFERROR(INDEX(PM_Model,MATCH($B1898,PM_ID,0)),""))</f>
        <v/>
      </c>
      <c r="H1898" s="5" t="n"/>
      <c r="I1898" s="10" t="n"/>
      <c r="J1898" s="9" t="n"/>
      <c r="K1898" s="5" t="n"/>
      <c r="L1898" s="5" t="n"/>
      <c r="M1898" s="5" t="n"/>
      <c r="N1898" s="5" t="n"/>
      <c r="O1898" s="8">
        <f>IF($B1898="","",IF(AND($A1898&lt;&gt;"",COUNTIF(INV_ID,$A1898)&gt;1),"⚠ this Unit ID already exists",IF(AND($H1898&lt;&gt;"",COUNTIF(INV_Serial,$H1898)&gt;1),"⚠ this serial already exists",IF(COUNTIFS(INV_Product,$B1898,INV_No,$C1898)&gt;1,"⚠ piece number reused",""))))</f>
        <v/>
      </c>
      <c r="P1898" s="5" t="n"/>
    </row>
    <row r="1899">
      <c r="A1899" s="8">
        <f>IF(OR($B1899="",$C1899=""),"",IFERROR(INDEX(PM_Short,MATCH($B1899,PM_ID,0))&amp;"-"&amp;TEXT($C1899,"00"),"?? no such product"))</f>
        <v/>
      </c>
      <c r="B1899" s="5" t="n"/>
      <c r="C1899" s="5" t="n"/>
      <c r="D1899" s="8">
        <f>IF($B1899="","",IFERROR(INDEX(PM_Category,MATCH($B1899,PM_ID,0)),""))</f>
        <v/>
      </c>
      <c r="E1899" s="8">
        <f>IF($B1899="","",IFERROR(INDEX(PM_Subcategory,MATCH($B1899,PM_ID,0)),""))</f>
        <v/>
      </c>
      <c r="F1899" s="8">
        <f>IF($B1899="","",IFERROR(INDEX(PM_Brand,MATCH($B1899,PM_ID,0)),""))</f>
        <v/>
      </c>
      <c r="G1899" s="8">
        <f>IF($B1899="","",IFERROR(INDEX(PM_Model,MATCH($B1899,PM_ID,0)),""))</f>
        <v/>
      </c>
      <c r="H1899" s="5" t="n"/>
      <c r="I1899" s="10" t="n"/>
      <c r="J1899" s="9" t="n"/>
      <c r="K1899" s="5" t="n"/>
      <c r="L1899" s="5" t="n"/>
      <c r="M1899" s="5" t="n"/>
      <c r="N1899" s="5" t="n"/>
      <c r="O1899" s="8">
        <f>IF($B1899="","",IF(AND($A1899&lt;&gt;"",COUNTIF(INV_ID,$A1899)&gt;1),"⚠ this Unit ID already exists",IF(AND($H1899&lt;&gt;"",COUNTIF(INV_Serial,$H1899)&gt;1),"⚠ this serial already exists",IF(COUNTIFS(INV_Product,$B1899,INV_No,$C1899)&gt;1,"⚠ piece number reused",""))))</f>
        <v/>
      </c>
      <c r="P1899" s="5" t="n"/>
    </row>
    <row r="1900">
      <c r="A1900" s="8">
        <f>IF(OR($B1900="",$C1900=""),"",IFERROR(INDEX(PM_Short,MATCH($B1900,PM_ID,0))&amp;"-"&amp;TEXT($C1900,"00"),"?? no such product"))</f>
        <v/>
      </c>
      <c r="B1900" s="5" t="n"/>
      <c r="C1900" s="5" t="n"/>
      <c r="D1900" s="8">
        <f>IF($B1900="","",IFERROR(INDEX(PM_Category,MATCH($B1900,PM_ID,0)),""))</f>
        <v/>
      </c>
      <c r="E1900" s="8">
        <f>IF($B1900="","",IFERROR(INDEX(PM_Subcategory,MATCH($B1900,PM_ID,0)),""))</f>
        <v/>
      </c>
      <c r="F1900" s="8">
        <f>IF($B1900="","",IFERROR(INDEX(PM_Brand,MATCH($B1900,PM_ID,0)),""))</f>
        <v/>
      </c>
      <c r="G1900" s="8">
        <f>IF($B1900="","",IFERROR(INDEX(PM_Model,MATCH($B1900,PM_ID,0)),""))</f>
        <v/>
      </c>
      <c r="H1900" s="5" t="n"/>
      <c r="I1900" s="10" t="n"/>
      <c r="J1900" s="9" t="n"/>
      <c r="K1900" s="5" t="n"/>
      <c r="L1900" s="5" t="n"/>
      <c r="M1900" s="5" t="n"/>
      <c r="N1900" s="5" t="n"/>
      <c r="O1900" s="8">
        <f>IF($B1900="","",IF(AND($A1900&lt;&gt;"",COUNTIF(INV_ID,$A1900)&gt;1),"⚠ this Unit ID already exists",IF(AND($H1900&lt;&gt;"",COUNTIF(INV_Serial,$H1900)&gt;1),"⚠ this serial already exists",IF(COUNTIFS(INV_Product,$B1900,INV_No,$C1900)&gt;1,"⚠ piece number reused",""))))</f>
        <v/>
      </c>
      <c r="P1900" s="5" t="n"/>
    </row>
    <row r="1901">
      <c r="A1901" s="8">
        <f>IF(OR($B1901="",$C1901=""),"",IFERROR(INDEX(PM_Short,MATCH($B1901,PM_ID,0))&amp;"-"&amp;TEXT($C1901,"00"),"?? no such product"))</f>
        <v/>
      </c>
      <c r="B1901" s="5" t="n"/>
      <c r="C1901" s="5" t="n"/>
      <c r="D1901" s="8">
        <f>IF($B1901="","",IFERROR(INDEX(PM_Category,MATCH($B1901,PM_ID,0)),""))</f>
        <v/>
      </c>
      <c r="E1901" s="8">
        <f>IF($B1901="","",IFERROR(INDEX(PM_Subcategory,MATCH($B1901,PM_ID,0)),""))</f>
        <v/>
      </c>
      <c r="F1901" s="8">
        <f>IF($B1901="","",IFERROR(INDEX(PM_Brand,MATCH($B1901,PM_ID,0)),""))</f>
        <v/>
      </c>
      <c r="G1901" s="8">
        <f>IF($B1901="","",IFERROR(INDEX(PM_Model,MATCH($B1901,PM_ID,0)),""))</f>
        <v/>
      </c>
      <c r="H1901" s="5" t="n"/>
      <c r="I1901" s="10" t="n"/>
      <c r="J1901" s="9" t="n"/>
      <c r="K1901" s="5" t="n"/>
      <c r="L1901" s="5" t="n"/>
      <c r="M1901" s="5" t="n"/>
      <c r="N1901" s="5" t="n"/>
      <c r="O1901" s="8">
        <f>IF($B1901="","",IF(AND($A1901&lt;&gt;"",COUNTIF(INV_ID,$A1901)&gt;1),"⚠ this Unit ID already exists",IF(AND($H1901&lt;&gt;"",COUNTIF(INV_Serial,$H1901)&gt;1),"⚠ this serial already exists",IF(COUNTIFS(INV_Product,$B1901,INV_No,$C1901)&gt;1,"⚠ piece number reused",""))))</f>
        <v/>
      </c>
      <c r="P1901" s="5" t="n"/>
    </row>
    <row r="1902">
      <c r="A1902" s="8">
        <f>IF(OR($B1902="",$C1902=""),"",IFERROR(INDEX(PM_Short,MATCH($B1902,PM_ID,0))&amp;"-"&amp;TEXT($C1902,"00"),"?? no such product"))</f>
        <v/>
      </c>
      <c r="B1902" s="5" t="n"/>
      <c r="C1902" s="5" t="n"/>
      <c r="D1902" s="8">
        <f>IF($B1902="","",IFERROR(INDEX(PM_Category,MATCH($B1902,PM_ID,0)),""))</f>
        <v/>
      </c>
      <c r="E1902" s="8">
        <f>IF($B1902="","",IFERROR(INDEX(PM_Subcategory,MATCH($B1902,PM_ID,0)),""))</f>
        <v/>
      </c>
      <c r="F1902" s="8">
        <f>IF($B1902="","",IFERROR(INDEX(PM_Brand,MATCH($B1902,PM_ID,0)),""))</f>
        <v/>
      </c>
      <c r="G1902" s="8">
        <f>IF($B1902="","",IFERROR(INDEX(PM_Model,MATCH($B1902,PM_ID,0)),""))</f>
        <v/>
      </c>
      <c r="H1902" s="5" t="n"/>
      <c r="I1902" s="10" t="n"/>
      <c r="J1902" s="9" t="n"/>
      <c r="K1902" s="5" t="n"/>
      <c r="L1902" s="5" t="n"/>
      <c r="M1902" s="5" t="n"/>
      <c r="N1902" s="5" t="n"/>
      <c r="O1902" s="8">
        <f>IF($B1902="","",IF(AND($A1902&lt;&gt;"",COUNTIF(INV_ID,$A1902)&gt;1),"⚠ this Unit ID already exists",IF(AND($H1902&lt;&gt;"",COUNTIF(INV_Serial,$H1902)&gt;1),"⚠ this serial already exists",IF(COUNTIFS(INV_Product,$B1902,INV_No,$C1902)&gt;1,"⚠ piece number reused",""))))</f>
        <v/>
      </c>
      <c r="P1902" s="5" t="n"/>
    </row>
    <row r="1903">
      <c r="A1903" s="8">
        <f>IF(OR($B1903="",$C1903=""),"",IFERROR(INDEX(PM_Short,MATCH($B1903,PM_ID,0))&amp;"-"&amp;TEXT($C1903,"00"),"?? no such product"))</f>
        <v/>
      </c>
      <c r="B1903" s="5" t="n"/>
      <c r="C1903" s="5" t="n"/>
      <c r="D1903" s="8">
        <f>IF($B1903="","",IFERROR(INDEX(PM_Category,MATCH($B1903,PM_ID,0)),""))</f>
        <v/>
      </c>
      <c r="E1903" s="8">
        <f>IF($B1903="","",IFERROR(INDEX(PM_Subcategory,MATCH($B1903,PM_ID,0)),""))</f>
        <v/>
      </c>
      <c r="F1903" s="8">
        <f>IF($B1903="","",IFERROR(INDEX(PM_Brand,MATCH($B1903,PM_ID,0)),""))</f>
        <v/>
      </c>
      <c r="G1903" s="8">
        <f>IF($B1903="","",IFERROR(INDEX(PM_Model,MATCH($B1903,PM_ID,0)),""))</f>
        <v/>
      </c>
      <c r="H1903" s="5" t="n"/>
      <c r="I1903" s="10" t="n"/>
      <c r="J1903" s="9" t="n"/>
      <c r="K1903" s="5" t="n"/>
      <c r="L1903" s="5" t="n"/>
      <c r="M1903" s="5" t="n"/>
      <c r="N1903" s="5" t="n"/>
      <c r="O1903" s="8">
        <f>IF($B1903="","",IF(AND($A1903&lt;&gt;"",COUNTIF(INV_ID,$A1903)&gt;1),"⚠ this Unit ID already exists",IF(AND($H1903&lt;&gt;"",COUNTIF(INV_Serial,$H1903)&gt;1),"⚠ this serial already exists",IF(COUNTIFS(INV_Product,$B1903,INV_No,$C1903)&gt;1,"⚠ piece number reused",""))))</f>
        <v/>
      </c>
      <c r="P1903" s="5" t="n"/>
    </row>
    <row r="1904">
      <c r="A1904" s="8">
        <f>IF(OR($B1904="",$C1904=""),"",IFERROR(INDEX(PM_Short,MATCH($B1904,PM_ID,0))&amp;"-"&amp;TEXT($C1904,"00"),"?? no such product"))</f>
        <v/>
      </c>
      <c r="B1904" s="5" t="n"/>
      <c r="C1904" s="5" t="n"/>
      <c r="D1904" s="8">
        <f>IF($B1904="","",IFERROR(INDEX(PM_Category,MATCH($B1904,PM_ID,0)),""))</f>
        <v/>
      </c>
      <c r="E1904" s="8">
        <f>IF($B1904="","",IFERROR(INDEX(PM_Subcategory,MATCH($B1904,PM_ID,0)),""))</f>
        <v/>
      </c>
      <c r="F1904" s="8">
        <f>IF($B1904="","",IFERROR(INDEX(PM_Brand,MATCH($B1904,PM_ID,0)),""))</f>
        <v/>
      </c>
      <c r="G1904" s="8">
        <f>IF($B1904="","",IFERROR(INDEX(PM_Model,MATCH($B1904,PM_ID,0)),""))</f>
        <v/>
      </c>
      <c r="H1904" s="5" t="n"/>
      <c r="I1904" s="10" t="n"/>
      <c r="J1904" s="9" t="n"/>
      <c r="K1904" s="5" t="n"/>
      <c r="L1904" s="5" t="n"/>
      <c r="M1904" s="5" t="n"/>
      <c r="N1904" s="5" t="n"/>
      <c r="O1904" s="8">
        <f>IF($B1904="","",IF(AND($A1904&lt;&gt;"",COUNTIF(INV_ID,$A1904)&gt;1),"⚠ this Unit ID already exists",IF(AND($H1904&lt;&gt;"",COUNTIF(INV_Serial,$H1904)&gt;1),"⚠ this serial already exists",IF(COUNTIFS(INV_Product,$B1904,INV_No,$C1904)&gt;1,"⚠ piece number reused",""))))</f>
        <v/>
      </c>
      <c r="P1904" s="5" t="n"/>
    </row>
    <row r="1905">
      <c r="A1905" s="8">
        <f>IF(OR($B1905="",$C1905=""),"",IFERROR(INDEX(PM_Short,MATCH($B1905,PM_ID,0))&amp;"-"&amp;TEXT($C1905,"00"),"?? no such product"))</f>
        <v/>
      </c>
      <c r="B1905" s="5" t="n"/>
      <c r="C1905" s="5" t="n"/>
      <c r="D1905" s="8">
        <f>IF($B1905="","",IFERROR(INDEX(PM_Category,MATCH($B1905,PM_ID,0)),""))</f>
        <v/>
      </c>
      <c r="E1905" s="8">
        <f>IF($B1905="","",IFERROR(INDEX(PM_Subcategory,MATCH($B1905,PM_ID,0)),""))</f>
        <v/>
      </c>
      <c r="F1905" s="8">
        <f>IF($B1905="","",IFERROR(INDEX(PM_Brand,MATCH($B1905,PM_ID,0)),""))</f>
        <v/>
      </c>
      <c r="G1905" s="8">
        <f>IF($B1905="","",IFERROR(INDEX(PM_Model,MATCH($B1905,PM_ID,0)),""))</f>
        <v/>
      </c>
      <c r="H1905" s="5" t="n"/>
      <c r="I1905" s="10" t="n"/>
      <c r="J1905" s="9" t="n"/>
      <c r="K1905" s="5" t="n"/>
      <c r="L1905" s="5" t="n"/>
      <c r="M1905" s="5" t="n"/>
      <c r="N1905" s="5" t="n"/>
      <c r="O1905" s="8">
        <f>IF($B1905="","",IF(AND($A1905&lt;&gt;"",COUNTIF(INV_ID,$A1905)&gt;1),"⚠ this Unit ID already exists",IF(AND($H1905&lt;&gt;"",COUNTIF(INV_Serial,$H1905)&gt;1),"⚠ this serial already exists",IF(COUNTIFS(INV_Product,$B1905,INV_No,$C1905)&gt;1,"⚠ piece number reused",""))))</f>
        <v/>
      </c>
      <c r="P1905" s="5" t="n"/>
    </row>
    <row r="1906">
      <c r="A1906" s="8">
        <f>IF(OR($B1906="",$C1906=""),"",IFERROR(INDEX(PM_Short,MATCH($B1906,PM_ID,0))&amp;"-"&amp;TEXT($C1906,"00"),"?? no such product"))</f>
        <v/>
      </c>
      <c r="B1906" s="5" t="n"/>
      <c r="C1906" s="5" t="n"/>
      <c r="D1906" s="8">
        <f>IF($B1906="","",IFERROR(INDEX(PM_Category,MATCH($B1906,PM_ID,0)),""))</f>
        <v/>
      </c>
      <c r="E1906" s="8">
        <f>IF($B1906="","",IFERROR(INDEX(PM_Subcategory,MATCH($B1906,PM_ID,0)),""))</f>
        <v/>
      </c>
      <c r="F1906" s="8">
        <f>IF($B1906="","",IFERROR(INDEX(PM_Brand,MATCH($B1906,PM_ID,0)),""))</f>
        <v/>
      </c>
      <c r="G1906" s="8">
        <f>IF($B1906="","",IFERROR(INDEX(PM_Model,MATCH($B1906,PM_ID,0)),""))</f>
        <v/>
      </c>
      <c r="H1906" s="5" t="n"/>
      <c r="I1906" s="10" t="n"/>
      <c r="J1906" s="9" t="n"/>
      <c r="K1906" s="5" t="n"/>
      <c r="L1906" s="5" t="n"/>
      <c r="M1906" s="5" t="n"/>
      <c r="N1906" s="5" t="n"/>
      <c r="O1906" s="8">
        <f>IF($B1906="","",IF(AND($A1906&lt;&gt;"",COUNTIF(INV_ID,$A1906)&gt;1),"⚠ this Unit ID already exists",IF(AND($H1906&lt;&gt;"",COUNTIF(INV_Serial,$H1906)&gt;1),"⚠ this serial already exists",IF(COUNTIFS(INV_Product,$B1906,INV_No,$C1906)&gt;1,"⚠ piece number reused",""))))</f>
        <v/>
      </c>
      <c r="P1906" s="5" t="n"/>
    </row>
    <row r="1907">
      <c r="A1907" s="8">
        <f>IF(OR($B1907="",$C1907=""),"",IFERROR(INDEX(PM_Short,MATCH($B1907,PM_ID,0))&amp;"-"&amp;TEXT($C1907,"00"),"?? no such product"))</f>
        <v/>
      </c>
      <c r="B1907" s="5" t="n"/>
      <c r="C1907" s="5" t="n"/>
      <c r="D1907" s="8">
        <f>IF($B1907="","",IFERROR(INDEX(PM_Category,MATCH($B1907,PM_ID,0)),""))</f>
        <v/>
      </c>
      <c r="E1907" s="8">
        <f>IF($B1907="","",IFERROR(INDEX(PM_Subcategory,MATCH($B1907,PM_ID,0)),""))</f>
        <v/>
      </c>
      <c r="F1907" s="8">
        <f>IF($B1907="","",IFERROR(INDEX(PM_Brand,MATCH($B1907,PM_ID,0)),""))</f>
        <v/>
      </c>
      <c r="G1907" s="8">
        <f>IF($B1907="","",IFERROR(INDEX(PM_Model,MATCH($B1907,PM_ID,0)),""))</f>
        <v/>
      </c>
      <c r="H1907" s="5" t="n"/>
      <c r="I1907" s="10" t="n"/>
      <c r="J1907" s="9" t="n"/>
      <c r="K1907" s="5" t="n"/>
      <c r="L1907" s="5" t="n"/>
      <c r="M1907" s="5" t="n"/>
      <c r="N1907" s="5" t="n"/>
      <c r="O1907" s="8">
        <f>IF($B1907="","",IF(AND($A1907&lt;&gt;"",COUNTIF(INV_ID,$A1907)&gt;1),"⚠ this Unit ID already exists",IF(AND($H1907&lt;&gt;"",COUNTIF(INV_Serial,$H1907)&gt;1),"⚠ this serial already exists",IF(COUNTIFS(INV_Product,$B1907,INV_No,$C1907)&gt;1,"⚠ piece number reused",""))))</f>
        <v/>
      </c>
      <c r="P1907" s="5" t="n"/>
    </row>
    <row r="1908">
      <c r="A1908" s="8">
        <f>IF(OR($B1908="",$C1908=""),"",IFERROR(INDEX(PM_Short,MATCH($B1908,PM_ID,0))&amp;"-"&amp;TEXT($C1908,"00"),"?? no such product"))</f>
        <v/>
      </c>
      <c r="B1908" s="5" t="n"/>
      <c r="C1908" s="5" t="n"/>
      <c r="D1908" s="8">
        <f>IF($B1908="","",IFERROR(INDEX(PM_Category,MATCH($B1908,PM_ID,0)),""))</f>
        <v/>
      </c>
      <c r="E1908" s="8">
        <f>IF($B1908="","",IFERROR(INDEX(PM_Subcategory,MATCH($B1908,PM_ID,0)),""))</f>
        <v/>
      </c>
      <c r="F1908" s="8">
        <f>IF($B1908="","",IFERROR(INDEX(PM_Brand,MATCH($B1908,PM_ID,0)),""))</f>
        <v/>
      </c>
      <c r="G1908" s="8">
        <f>IF($B1908="","",IFERROR(INDEX(PM_Model,MATCH($B1908,PM_ID,0)),""))</f>
        <v/>
      </c>
      <c r="H1908" s="5" t="n"/>
      <c r="I1908" s="10" t="n"/>
      <c r="J1908" s="9" t="n"/>
      <c r="K1908" s="5" t="n"/>
      <c r="L1908" s="5" t="n"/>
      <c r="M1908" s="5" t="n"/>
      <c r="N1908" s="5" t="n"/>
      <c r="O1908" s="8">
        <f>IF($B1908="","",IF(AND($A1908&lt;&gt;"",COUNTIF(INV_ID,$A1908)&gt;1),"⚠ this Unit ID already exists",IF(AND($H1908&lt;&gt;"",COUNTIF(INV_Serial,$H1908)&gt;1),"⚠ this serial already exists",IF(COUNTIFS(INV_Product,$B1908,INV_No,$C1908)&gt;1,"⚠ piece number reused",""))))</f>
        <v/>
      </c>
      <c r="P1908" s="5" t="n"/>
    </row>
    <row r="1909">
      <c r="A1909" s="8">
        <f>IF(OR($B1909="",$C1909=""),"",IFERROR(INDEX(PM_Short,MATCH($B1909,PM_ID,0))&amp;"-"&amp;TEXT($C1909,"00"),"?? no such product"))</f>
        <v/>
      </c>
      <c r="B1909" s="5" t="n"/>
      <c r="C1909" s="5" t="n"/>
      <c r="D1909" s="8">
        <f>IF($B1909="","",IFERROR(INDEX(PM_Category,MATCH($B1909,PM_ID,0)),""))</f>
        <v/>
      </c>
      <c r="E1909" s="8">
        <f>IF($B1909="","",IFERROR(INDEX(PM_Subcategory,MATCH($B1909,PM_ID,0)),""))</f>
        <v/>
      </c>
      <c r="F1909" s="8">
        <f>IF($B1909="","",IFERROR(INDEX(PM_Brand,MATCH($B1909,PM_ID,0)),""))</f>
        <v/>
      </c>
      <c r="G1909" s="8">
        <f>IF($B1909="","",IFERROR(INDEX(PM_Model,MATCH($B1909,PM_ID,0)),""))</f>
        <v/>
      </c>
      <c r="H1909" s="5" t="n"/>
      <c r="I1909" s="10" t="n"/>
      <c r="J1909" s="9" t="n"/>
      <c r="K1909" s="5" t="n"/>
      <c r="L1909" s="5" t="n"/>
      <c r="M1909" s="5" t="n"/>
      <c r="N1909" s="5" t="n"/>
      <c r="O1909" s="8">
        <f>IF($B1909="","",IF(AND($A1909&lt;&gt;"",COUNTIF(INV_ID,$A1909)&gt;1),"⚠ this Unit ID already exists",IF(AND($H1909&lt;&gt;"",COUNTIF(INV_Serial,$H1909)&gt;1),"⚠ this serial already exists",IF(COUNTIFS(INV_Product,$B1909,INV_No,$C1909)&gt;1,"⚠ piece number reused",""))))</f>
        <v/>
      </c>
      <c r="P1909" s="5" t="n"/>
    </row>
    <row r="1910">
      <c r="A1910" s="8">
        <f>IF(OR($B1910="",$C1910=""),"",IFERROR(INDEX(PM_Short,MATCH($B1910,PM_ID,0))&amp;"-"&amp;TEXT($C1910,"00"),"?? no such product"))</f>
        <v/>
      </c>
      <c r="B1910" s="5" t="n"/>
      <c r="C1910" s="5" t="n"/>
      <c r="D1910" s="8">
        <f>IF($B1910="","",IFERROR(INDEX(PM_Category,MATCH($B1910,PM_ID,0)),""))</f>
        <v/>
      </c>
      <c r="E1910" s="8">
        <f>IF($B1910="","",IFERROR(INDEX(PM_Subcategory,MATCH($B1910,PM_ID,0)),""))</f>
        <v/>
      </c>
      <c r="F1910" s="8">
        <f>IF($B1910="","",IFERROR(INDEX(PM_Brand,MATCH($B1910,PM_ID,0)),""))</f>
        <v/>
      </c>
      <c r="G1910" s="8">
        <f>IF($B1910="","",IFERROR(INDEX(PM_Model,MATCH($B1910,PM_ID,0)),""))</f>
        <v/>
      </c>
      <c r="H1910" s="5" t="n"/>
      <c r="I1910" s="10" t="n"/>
      <c r="J1910" s="9" t="n"/>
      <c r="K1910" s="5" t="n"/>
      <c r="L1910" s="5" t="n"/>
      <c r="M1910" s="5" t="n"/>
      <c r="N1910" s="5" t="n"/>
      <c r="O1910" s="8">
        <f>IF($B1910="","",IF(AND($A1910&lt;&gt;"",COUNTIF(INV_ID,$A1910)&gt;1),"⚠ this Unit ID already exists",IF(AND($H1910&lt;&gt;"",COUNTIF(INV_Serial,$H1910)&gt;1),"⚠ this serial already exists",IF(COUNTIFS(INV_Product,$B1910,INV_No,$C1910)&gt;1,"⚠ piece number reused",""))))</f>
        <v/>
      </c>
      <c r="P1910" s="5" t="n"/>
    </row>
    <row r="1911">
      <c r="A1911" s="8">
        <f>IF(OR($B1911="",$C1911=""),"",IFERROR(INDEX(PM_Short,MATCH($B1911,PM_ID,0))&amp;"-"&amp;TEXT($C1911,"00"),"?? no such product"))</f>
        <v/>
      </c>
      <c r="B1911" s="5" t="n"/>
      <c r="C1911" s="5" t="n"/>
      <c r="D1911" s="8">
        <f>IF($B1911="","",IFERROR(INDEX(PM_Category,MATCH($B1911,PM_ID,0)),""))</f>
        <v/>
      </c>
      <c r="E1911" s="8">
        <f>IF($B1911="","",IFERROR(INDEX(PM_Subcategory,MATCH($B1911,PM_ID,0)),""))</f>
        <v/>
      </c>
      <c r="F1911" s="8">
        <f>IF($B1911="","",IFERROR(INDEX(PM_Brand,MATCH($B1911,PM_ID,0)),""))</f>
        <v/>
      </c>
      <c r="G1911" s="8">
        <f>IF($B1911="","",IFERROR(INDEX(PM_Model,MATCH($B1911,PM_ID,0)),""))</f>
        <v/>
      </c>
      <c r="H1911" s="5" t="n"/>
      <c r="I1911" s="10" t="n"/>
      <c r="J1911" s="9" t="n"/>
      <c r="K1911" s="5" t="n"/>
      <c r="L1911" s="5" t="n"/>
      <c r="M1911" s="5" t="n"/>
      <c r="N1911" s="5" t="n"/>
      <c r="O1911" s="8">
        <f>IF($B1911="","",IF(AND($A1911&lt;&gt;"",COUNTIF(INV_ID,$A1911)&gt;1),"⚠ this Unit ID already exists",IF(AND($H1911&lt;&gt;"",COUNTIF(INV_Serial,$H1911)&gt;1),"⚠ this serial already exists",IF(COUNTIFS(INV_Product,$B1911,INV_No,$C1911)&gt;1,"⚠ piece number reused",""))))</f>
        <v/>
      </c>
      <c r="P1911" s="5" t="n"/>
    </row>
    <row r="1912">
      <c r="A1912" s="8">
        <f>IF(OR($B1912="",$C1912=""),"",IFERROR(INDEX(PM_Short,MATCH($B1912,PM_ID,0))&amp;"-"&amp;TEXT($C1912,"00"),"?? no such product"))</f>
        <v/>
      </c>
      <c r="B1912" s="5" t="n"/>
      <c r="C1912" s="5" t="n"/>
      <c r="D1912" s="8">
        <f>IF($B1912="","",IFERROR(INDEX(PM_Category,MATCH($B1912,PM_ID,0)),""))</f>
        <v/>
      </c>
      <c r="E1912" s="8">
        <f>IF($B1912="","",IFERROR(INDEX(PM_Subcategory,MATCH($B1912,PM_ID,0)),""))</f>
        <v/>
      </c>
      <c r="F1912" s="8">
        <f>IF($B1912="","",IFERROR(INDEX(PM_Brand,MATCH($B1912,PM_ID,0)),""))</f>
        <v/>
      </c>
      <c r="G1912" s="8">
        <f>IF($B1912="","",IFERROR(INDEX(PM_Model,MATCH($B1912,PM_ID,0)),""))</f>
        <v/>
      </c>
      <c r="H1912" s="5" t="n"/>
      <c r="I1912" s="10" t="n"/>
      <c r="J1912" s="9" t="n"/>
      <c r="K1912" s="5" t="n"/>
      <c r="L1912" s="5" t="n"/>
      <c r="M1912" s="5" t="n"/>
      <c r="N1912" s="5" t="n"/>
      <c r="O1912" s="8">
        <f>IF($B1912="","",IF(AND($A1912&lt;&gt;"",COUNTIF(INV_ID,$A1912)&gt;1),"⚠ this Unit ID already exists",IF(AND($H1912&lt;&gt;"",COUNTIF(INV_Serial,$H1912)&gt;1),"⚠ this serial already exists",IF(COUNTIFS(INV_Product,$B1912,INV_No,$C1912)&gt;1,"⚠ piece number reused",""))))</f>
        <v/>
      </c>
      <c r="P1912" s="5" t="n"/>
    </row>
    <row r="1913">
      <c r="A1913" s="8">
        <f>IF(OR($B1913="",$C1913=""),"",IFERROR(INDEX(PM_Short,MATCH($B1913,PM_ID,0))&amp;"-"&amp;TEXT($C1913,"00"),"?? no such product"))</f>
        <v/>
      </c>
      <c r="B1913" s="5" t="n"/>
      <c r="C1913" s="5" t="n"/>
      <c r="D1913" s="8">
        <f>IF($B1913="","",IFERROR(INDEX(PM_Category,MATCH($B1913,PM_ID,0)),""))</f>
        <v/>
      </c>
      <c r="E1913" s="8">
        <f>IF($B1913="","",IFERROR(INDEX(PM_Subcategory,MATCH($B1913,PM_ID,0)),""))</f>
        <v/>
      </c>
      <c r="F1913" s="8">
        <f>IF($B1913="","",IFERROR(INDEX(PM_Brand,MATCH($B1913,PM_ID,0)),""))</f>
        <v/>
      </c>
      <c r="G1913" s="8">
        <f>IF($B1913="","",IFERROR(INDEX(PM_Model,MATCH($B1913,PM_ID,0)),""))</f>
        <v/>
      </c>
      <c r="H1913" s="5" t="n"/>
      <c r="I1913" s="10" t="n"/>
      <c r="J1913" s="9" t="n"/>
      <c r="K1913" s="5" t="n"/>
      <c r="L1913" s="5" t="n"/>
      <c r="M1913" s="5" t="n"/>
      <c r="N1913" s="5" t="n"/>
      <c r="O1913" s="8">
        <f>IF($B1913="","",IF(AND($A1913&lt;&gt;"",COUNTIF(INV_ID,$A1913)&gt;1),"⚠ this Unit ID already exists",IF(AND($H1913&lt;&gt;"",COUNTIF(INV_Serial,$H1913)&gt;1),"⚠ this serial already exists",IF(COUNTIFS(INV_Product,$B1913,INV_No,$C1913)&gt;1,"⚠ piece number reused",""))))</f>
        <v/>
      </c>
      <c r="P1913" s="5" t="n"/>
    </row>
    <row r="1914">
      <c r="A1914" s="8">
        <f>IF(OR($B1914="",$C1914=""),"",IFERROR(INDEX(PM_Short,MATCH($B1914,PM_ID,0))&amp;"-"&amp;TEXT($C1914,"00"),"?? no such product"))</f>
        <v/>
      </c>
      <c r="B1914" s="5" t="n"/>
      <c r="C1914" s="5" t="n"/>
      <c r="D1914" s="8">
        <f>IF($B1914="","",IFERROR(INDEX(PM_Category,MATCH($B1914,PM_ID,0)),""))</f>
        <v/>
      </c>
      <c r="E1914" s="8">
        <f>IF($B1914="","",IFERROR(INDEX(PM_Subcategory,MATCH($B1914,PM_ID,0)),""))</f>
        <v/>
      </c>
      <c r="F1914" s="8">
        <f>IF($B1914="","",IFERROR(INDEX(PM_Brand,MATCH($B1914,PM_ID,0)),""))</f>
        <v/>
      </c>
      <c r="G1914" s="8">
        <f>IF($B1914="","",IFERROR(INDEX(PM_Model,MATCH($B1914,PM_ID,0)),""))</f>
        <v/>
      </c>
      <c r="H1914" s="5" t="n"/>
      <c r="I1914" s="10" t="n"/>
      <c r="J1914" s="9" t="n"/>
      <c r="K1914" s="5" t="n"/>
      <c r="L1914" s="5" t="n"/>
      <c r="M1914" s="5" t="n"/>
      <c r="N1914" s="5" t="n"/>
      <c r="O1914" s="8">
        <f>IF($B1914="","",IF(AND($A1914&lt;&gt;"",COUNTIF(INV_ID,$A1914)&gt;1),"⚠ this Unit ID already exists",IF(AND($H1914&lt;&gt;"",COUNTIF(INV_Serial,$H1914)&gt;1),"⚠ this serial already exists",IF(COUNTIFS(INV_Product,$B1914,INV_No,$C1914)&gt;1,"⚠ piece number reused",""))))</f>
        <v/>
      </c>
      <c r="P1914" s="5" t="n"/>
    </row>
    <row r="1915">
      <c r="A1915" s="8">
        <f>IF(OR($B1915="",$C1915=""),"",IFERROR(INDEX(PM_Short,MATCH($B1915,PM_ID,0))&amp;"-"&amp;TEXT($C1915,"00"),"?? no such product"))</f>
        <v/>
      </c>
      <c r="B1915" s="5" t="n"/>
      <c r="C1915" s="5" t="n"/>
      <c r="D1915" s="8">
        <f>IF($B1915="","",IFERROR(INDEX(PM_Category,MATCH($B1915,PM_ID,0)),""))</f>
        <v/>
      </c>
      <c r="E1915" s="8">
        <f>IF($B1915="","",IFERROR(INDEX(PM_Subcategory,MATCH($B1915,PM_ID,0)),""))</f>
        <v/>
      </c>
      <c r="F1915" s="8">
        <f>IF($B1915="","",IFERROR(INDEX(PM_Brand,MATCH($B1915,PM_ID,0)),""))</f>
        <v/>
      </c>
      <c r="G1915" s="8">
        <f>IF($B1915="","",IFERROR(INDEX(PM_Model,MATCH($B1915,PM_ID,0)),""))</f>
        <v/>
      </c>
      <c r="H1915" s="5" t="n"/>
      <c r="I1915" s="10" t="n"/>
      <c r="J1915" s="9" t="n"/>
      <c r="K1915" s="5" t="n"/>
      <c r="L1915" s="5" t="n"/>
      <c r="M1915" s="5" t="n"/>
      <c r="N1915" s="5" t="n"/>
      <c r="O1915" s="8">
        <f>IF($B1915="","",IF(AND($A1915&lt;&gt;"",COUNTIF(INV_ID,$A1915)&gt;1),"⚠ this Unit ID already exists",IF(AND($H1915&lt;&gt;"",COUNTIF(INV_Serial,$H1915)&gt;1),"⚠ this serial already exists",IF(COUNTIFS(INV_Product,$B1915,INV_No,$C1915)&gt;1,"⚠ piece number reused",""))))</f>
        <v/>
      </c>
      <c r="P1915" s="5" t="n"/>
    </row>
    <row r="1916">
      <c r="A1916" s="8">
        <f>IF(OR($B1916="",$C1916=""),"",IFERROR(INDEX(PM_Short,MATCH($B1916,PM_ID,0))&amp;"-"&amp;TEXT($C1916,"00"),"?? no such product"))</f>
        <v/>
      </c>
      <c r="B1916" s="5" t="n"/>
      <c r="C1916" s="5" t="n"/>
      <c r="D1916" s="8">
        <f>IF($B1916="","",IFERROR(INDEX(PM_Category,MATCH($B1916,PM_ID,0)),""))</f>
        <v/>
      </c>
      <c r="E1916" s="8">
        <f>IF($B1916="","",IFERROR(INDEX(PM_Subcategory,MATCH($B1916,PM_ID,0)),""))</f>
        <v/>
      </c>
      <c r="F1916" s="8">
        <f>IF($B1916="","",IFERROR(INDEX(PM_Brand,MATCH($B1916,PM_ID,0)),""))</f>
        <v/>
      </c>
      <c r="G1916" s="8">
        <f>IF($B1916="","",IFERROR(INDEX(PM_Model,MATCH($B1916,PM_ID,0)),""))</f>
        <v/>
      </c>
      <c r="H1916" s="5" t="n"/>
      <c r="I1916" s="10" t="n"/>
      <c r="J1916" s="9" t="n"/>
      <c r="K1916" s="5" t="n"/>
      <c r="L1916" s="5" t="n"/>
      <c r="M1916" s="5" t="n"/>
      <c r="N1916" s="5" t="n"/>
      <c r="O1916" s="8">
        <f>IF($B1916="","",IF(AND($A1916&lt;&gt;"",COUNTIF(INV_ID,$A1916)&gt;1),"⚠ this Unit ID already exists",IF(AND($H1916&lt;&gt;"",COUNTIF(INV_Serial,$H1916)&gt;1),"⚠ this serial already exists",IF(COUNTIFS(INV_Product,$B1916,INV_No,$C1916)&gt;1,"⚠ piece number reused",""))))</f>
        <v/>
      </c>
      <c r="P1916" s="5" t="n"/>
    </row>
    <row r="1917">
      <c r="A1917" s="8">
        <f>IF(OR($B1917="",$C1917=""),"",IFERROR(INDEX(PM_Short,MATCH($B1917,PM_ID,0))&amp;"-"&amp;TEXT($C1917,"00"),"?? no such product"))</f>
        <v/>
      </c>
      <c r="B1917" s="5" t="n"/>
      <c r="C1917" s="5" t="n"/>
      <c r="D1917" s="8">
        <f>IF($B1917="","",IFERROR(INDEX(PM_Category,MATCH($B1917,PM_ID,0)),""))</f>
        <v/>
      </c>
      <c r="E1917" s="8">
        <f>IF($B1917="","",IFERROR(INDEX(PM_Subcategory,MATCH($B1917,PM_ID,0)),""))</f>
        <v/>
      </c>
      <c r="F1917" s="8">
        <f>IF($B1917="","",IFERROR(INDEX(PM_Brand,MATCH($B1917,PM_ID,0)),""))</f>
        <v/>
      </c>
      <c r="G1917" s="8">
        <f>IF($B1917="","",IFERROR(INDEX(PM_Model,MATCH($B1917,PM_ID,0)),""))</f>
        <v/>
      </c>
      <c r="H1917" s="5" t="n"/>
      <c r="I1917" s="10" t="n"/>
      <c r="J1917" s="9" t="n"/>
      <c r="K1917" s="5" t="n"/>
      <c r="L1917" s="5" t="n"/>
      <c r="M1917" s="5" t="n"/>
      <c r="N1917" s="5" t="n"/>
      <c r="O1917" s="8">
        <f>IF($B1917="","",IF(AND($A1917&lt;&gt;"",COUNTIF(INV_ID,$A1917)&gt;1),"⚠ this Unit ID already exists",IF(AND($H1917&lt;&gt;"",COUNTIF(INV_Serial,$H1917)&gt;1),"⚠ this serial already exists",IF(COUNTIFS(INV_Product,$B1917,INV_No,$C1917)&gt;1,"⚠ piece number reused",""))))</f>
        <v/>
      </c>
      <c r="P1917" s="5" t="n"/>
    </row>
    <row r="1918">
      <c r="A1918" s="8">
        <f>IF(OR($B1918="",$C1918=""),"",IFERROR(INDEX(PM_Short,MATCH($B1918,PM_ID,0))&amp;"-"&amp;TEXT($C1918,"00"),"?? no such product"))</f>
        <v/>
      </c>
      <c r="B1918" s="5" t="n"/>
      <c r="C1918" s="5" t="n"/>
      <c r="D1918" s="8">
        <f>IF($B1918="","",IFERROR(INDEX(PM_Category,MATCH($B1918,PM_ID,0)),""))</f>
        <v/>
      </c>
      <c r="E1918" s="8">
        <f>IF($B1918="","",IFERROR(INDEX(PM_Subcategory,MATCH($B1918,PM_ID,0)),""))</f>
        <v/>
      </c>
      <c r="F1918" s="8">
        <f>IF($B1918="","",IFERROR(INDEX(PM_Brand,MATCH($B1918,PM_ID,0)),""))</f>
        <v/>
      </c>
      <c r="G1918" s="8">
        <f>IF($B1918="","",IFERROR(INDEX(PM_Model,MATCH($B1918,PM_ID,0)),""))</f>
        <v/>
      </c>
      <c r="H1918" s="5" t="n"/>
      <c r="I1918" s="10" t="n"/>
      <c r="J1918" s="9" t="n"/>
      <c r="K1918" s="5" t="n"/>
      <c r="L1918" s="5" t="n"/>
      <c r="M1918" s="5" t="n"/>
      <c r="N1918" s="5" t="n"/>
      <c r="O1918" s="8">
        <f>IF($B1918="","",IF(AND($A1918&lt;&gt;"",COUNTIF(INV_ID,$A1918)&gt;1),"⚠ this Unit ID already exists",IF(AND($H1918&lt;&gt;"",COUNTIF(INV_Serial,$H1918)&gt;1),"⚠ this serial already exists",IF(COUNTIFS(INV_Product,$B1918,INV_No,$C1918)&gt;1,"⚠ piece number reused",""))))</f>
        <v/>
      </c>
      <c r="P1918" s="5" t="n"/>
    </row>
    <row r="1919">
      <c r="A1919" s="8">
        <f>IF(OR($B1919="",$C1919=""),"",IFERROR(INDEX(PM_Short,MATCH($B1919,PM_ID,0))&amp;"-"&amp;TEXT($C1919,"00"),"?? no such product"))</f>
        <v/>
      </c>
      <c r="B1919" s="5" t="n"/>
      <c r="C1919" s="5" t="n"/>
      <c r="D1919" s="8">
        <f>IF($B1919="","",IFERROR(INDEX(PM_Category,MATCH($B1919,PM_ID,0)),""))</f>
        <v/>
      </c>
      <c r="E1919" s="8">
        <f>IF($B1919="","",IFERROR(INDEX(PM_Subcategory,MATCH($B1919,PM_ID,0)),""))</f>
        <v/>
      </c>
      <c r="F1919" s="8">
        <f>IF($B1919="","",IFERROR(INDEX(PM_Brand,MATCH($B1919,PM_ID,0)),""))</f>
        <v/>
      </c>
      <c r="G1919" s="8">
        <f>IF($B1919="","",IFERROR(INDEX(PM_Model,MATCH($B1919,PM_ID,0)),""))</f>
        <v/>
      </c>
      <c r="H1919" s="5" t="n"/>
      <c r="I1919" s="10" t="n"/>
      <c r="J1919" s="9" t="n"/>
      <c r="K1919" s="5" t="n"/>
      <c r="L1919" s="5" t="n"/>
      <c r="M1919" s="5" t="n"/>
      <c r="N1919" s="5" t="n"/>
      <c r="O1919" s="8">
        <f>IF($B1919="","",IF(AND($A1919&lt;&gt;"",COUNTIF(INV_ID,$A1919)&gt;1),"⚠ this Unit ID already exists",IF(AND($H1919&lt;&gt;"",COUNTIF(INV_Serial,$H1919)&gt;1),"⚠ this serial already exists",IF(COUNTIFS(INV_Product,$B1919,INV_No,$C1919)&gt;1,"⚠ piece number reused",""))))</f>
        <v/>
      </c>
      <c r="P1919" s="5" t="n"/>
    </row>
    <row r="1920">
      <c r="A1920" s="8">
        <f>IF(OR($B1920="",$C1920=""),"",IFERROR(INDEX(PM_Short,MATCH($B1920,PM_ID,0))&amp;"-"&amp;TEXT($C1920,"00"),"?? no such product"))</f>
        <v/>
      </c>
      <c r="B1920" s="5" t="n"/>
      <c r="C1920" s="5" t="n"/>
      <c r="D1920" s="8">
        <f>IF($B1920="","",IFERROR(INDEX(PM_Category,MATCH($B1920,PM_ID,0)),""))</f>
        <v/>
      </c>
      <c r="E1920" s="8">
        <f>IF($B1920="","",IFERROR(INDEX(PM_Subcategory,MATCH($B1920,PM_ID,0)),""))</f>
        <v/>
      </c>
      <c r="F1920" s="8">
        <f>IF($B1920="","",IFERROR(INDEX(PM_Brand,MATCH($B1920,PM_ID,0)),""))</f>
        <v/>
      </c>
      <c r="G1920" s="8">
        <f>IF($B1920="","",IFERROR(INDEX(PM_Model,MATCH($B1920,PM_ID,0)),""))</f>
        <v/>
      </c>
      <c r="H1920" s="5" t="n"/>
      <c r="I1920" s="10" t="n"/>
      <c r="J1920" s="9" t="n"/>
      <c r="K1920" s="5" t="n"/>
      <c r="L1920" s="5" t="n"/>
      <c r="M1920" s="5" t="n"/>
      <c r="N1920" s="5" t="n"/>
      <c r="O1920" s="8">
        <f>IF($B1920="","",IF(AND($A1920&lt;&gt;"",COUNTIF(INV_ID,$A1920)&gt;1),"⚠ this Unit ID already exists",IF(AND($H1920&lt;&gt;"",COUNTIF(INV_Serial,$H1920)&gt;1),"⚠ this serial already exists",IF(COUNTIFS(INV_Product,$B1920,INV_No,$C1920)&gt;1,"⚠ piece number reused",""))))</f>
        <v/>
      </c>
      <c r="P1920" s="5" t="n"/>
    </row>
    <row r="1921">
      <c r="A1921" s="8">
        <f>IF(OR($B1921="",$C1921=""),"",IFERROR(INDEX(PM_Short,MATCH($B1921,PM_ID,0))&amp;"-"&amp;TEXT($C1921,"00"),"?? no such product"))</f>
        <v/>
      </c>
      <c r="B1921" s="5" t="n"/>
      <c r="C1921" s="5" t="n"/>
      <c r="D1921" s="8">
        <f>IF($B1921="","",IFERROR(INDEX(PM_Category,MATCH($B1921,PM_ID,0)),""))</f>
        <v/>
      </c>
      <c r="E1921" s="8">
        <f>IF($B1921="","",IFERROR(INDEX(PM_Subcategory,MATCH($B1921,PM_ID,0)),""))</f>
        <v/>
      </c>
      <c r="F1921" s="8">
        <f>IF($B1921="","",IFERROR(INDEX(PM_Brand,MATCH($B1921,PM_ID,0)),""))</f>
        <v/>
      </c>
      <c r="G1921" s="8">
        <f>IF($B1921="","",IFERROR(INDEX(PM_Model,MATCH($B1921,PM_ID,0)),""))</f>
        <v/>
      </c>
      <c r="H1921" s="5" t="n"/>
      <c r="I1921" s="10" t="n"/>
      <c r="J1921" s="9" t="n"/>
      <c r="K1921" s="5" t="n"/>
      <c r="L1921" s="5" t="n"/>
      <c r="M1921" s="5" t="n"/>
      <c r="N1921" s="5" t="n"/>
      <c r="O1921" s="8">
        <f>IF($B1921="","",IF(AND($A1921&lt;&gt;"",COUNTIF(INV_ID,$A1921)&gt;1),"⚠ this Unit ID already exists",IF(AND($H1921&lt;&gt;"",COUNTIF(INV_Serial,$H1921)&gt;1),"⚠ this serial already exists",IF(COUNTIFS(INV_Product,$B1921,INV_No,$C1921)&gt;1,"⚠ piece number reused",""))))</f>
        <v/>
      </c>
      <c r="P1921" s="5" t="n"/>
    </row>
    <row r="1922">
      <c r="A1922" s="8">
        <f>IF(OR($B1922="",$C1922=""),"",IFERROR(INDEX(PM_Short,MATCH($B1922,PM_ID,0))&amp;"-"&amp;TEXT($C1922,"00"),"?? no such product"))</f>
        <v/>
      </c>
      <c r="B1922" s="5" t="n"/>
      <c r="C1922" s="5" t="n"/>
      <c r="D1922" s="8">
        <f>IF($B1922="","",IFERROR(INDEX(PM_Category,MATCH($B1922,PM_ID,0)),""))</f>
        <v/>
      </c>
      <c r="E1922" s="8">
        <f>IF($B1922="","",IFERROR(INDEX(PM_Subcategory,MATCH($B1922,PM_ID,0)),""))</f>
        <v/>
      </c>
      <c r="F1922" s="8">
        <f>IF($B1922="","",IFERROR(INDEX(PM_Brand,MATCH($B1922,PM_ID,0)),""))</f>
        <v/>
      </c>
      <c r="G1922" s="8">
        <f>IF($B1922="","",IFERROR(INDEX(PM_Model,MATCH($B1922,PM_ID,0)),""))</f>
        <v/>
      </c>
      <c r="H1922" s="5" t="n"/>
      <c r="I1922" s="10" t="n"/>
      <c r="J1922" s="9" t="n"/>
      <c r="K1922" s="5" t="n"/>
      <c r="L1922" s="5" t="n"/>
      <c r="M1922" s="5" t="n"/>
      <c r="N1922" s="5" t="n"/>
      <c r="O1922" s="8">
        <f>IF($B1922="","",IF(AND($A1922&lt;&gt;"",COUNTIF(INV_ID,$A1922)&gt;1),"⚠ this Unit ID already exists",IF(AND($H1922&lt;&gt;"",COUNTIF(INV_Serial,$H1922)&gt;1),"⚠ this serial already exists",IF(COUNTIFS(INV_Product,$B1922,INV_No,$C1922)&gt;1,"⚠ piece number reused",""))))</f>
        <v/>
      </c>
      <c r="P1922" s="5" t="n"/>
    </row>
    <row r="1923">
      <c r="A1923" s="8">
        <f>IF(OR($B1923="",$C1923=""),"",IFERROR(INDEX(PM_Short,MATCH($B1923,PM_ID,0))&amp;"-"&amp;TEXT($C1923,"00"),"?? no such product"))</f>
        <v/>
      </c>
      <c r="B1923" s="5" t="n"/>
      <c r="C1923" s="5" t="n"/>
      <c r="D1923" s="8">
        <f>IF($B1923="","",IFERROR(INDEX(PM_Category,MATCH($B1923,PM_ID,0)),""))</f>
        <v/>
      </c>
      <c r="E1923" s="8">
        <f>IF($B1923="","",IFERROR(INDEX(PM_Subcategory,MATCH($B1923,PM_ID,0)),""))</f>
        <v/>
      </c>
      <c r="F1923" s="8">
        <f>IF($B1923="","",IFERROR(INDEX(PM_Brand,MATCH($B1923,PM_ID,0)),""))</f>
        <v/>
      </c>
      <c r="G1923" s="8">
        <f>IF($B1923="","",IFERROR(INDEX(PM_Model,MATCH($B1923,PM_ID,0)),""))</f>
        <v/>
      </c>
      <c r="H1923" s="5" t="n"/>
      <c r="I1923" s="10" t="n"/>
      <c r="J1923" s="9" t="n"/>
      <c r="K1923" s="5" t="n"/>
      <c r="L1923" s="5" t="n"/>
      <c r="M1923" s="5" t="n"/>
      <c r="N1923" s="5" t="n"/>
      <c r="O1923" s="8">
        <f>IF($B1923="","",IF(AND($A1923&lt;&gt;"",COUNTIF(INV_ID,$A1923)&gt;1),"⚠ this Unit ID already exists",IF(AND($H1923&lt;&gt;"",COUNTIF(INV_Serial,$H1923)&gt;1),"⚠ this serial already exists",IF(COUNTIFS(INV_Product,$B1923,INV_No,$C1923)&gt;1,"⚠ piece number reused",""))))</f>
        <v/>
      </c>
      <c r="P1923" s="5" t="n"/>
    </row>
    <row r="1924">
      <c r="A1924" s="8">
        <f>IF(OR($B1924="",$C1924=""),"",IFERROR(INDEX(PM_Short,MATCH($B1924,PM_ID,0))&amp;"-"&amp;TEXT($C1924,"00"),"?? no such product"))</f>
        <v/>
      </c>
      <c r="B1924" s="5" t="n"/>
      <c r="C1924" s="5" t="n"/>
      <c r="D1924" s="8">
        <f>IF($B1924="","",IFERROR(INDEX(PM_Category,MATCH($B1924,PM_ID,0)),""))</f>
        <v/>
      </c>
      <c r="E1924" s="8">
        <f>IF($B1924="","",IFERROR(INDEX(PM_Subcategory,MATCH($B1924,PM_ID,0)),""))</f>
        <v/>
      </c>
      <c r="F1924" s="8">
        <f>IF($B1924="","",IFERROR(INDEX(PM_Brand,MATCH($B1924,PM_ID,0)),""))</f>
        <v/>
      </c>
      <c r="G1924" s="8">
        <f>IF($B1924="","",IFERROR(INDEX(PM_Model,MATCH($B1924,PM_ID,0)),""))</f>
        <v/>
      </c>
      <c r="H1924" s="5" t="n"/>
      <c r="I1924" s="10" t="n"/>
      <c r="J1924" s="9" t="n"/>
      <c r="K1924" s="5" t="n"/>
      <c r="L1924" s="5" t="n"/>
      <c r="M1924" s="5" t="n"/>
      <c r="N1924" s="5" t="n"/>
      <c r="O1924" s="8">
        <f>IF($B1924="","",IF(AND($A1924&lt;&gt;"",COUNTIF(INV_ID,$A1924)&gt;1),"⚠ this Unit ID already exists",IF(AND($H1924&lt;&gt;"",COUNTIF(INV_Serial,$H1924)&gt;1),"⚠ this serial already exists",IF(COUNTIFS(INV_Product,$B1924,INV_No,$C1924)&gt;1,"⚠ piece number reused",""))))</f>
        <v/>
      </c>
      <c r="P1924" s="5" t="n"/>
    </row>
    <row r="1925">
      <c r="A1925" s="8">
        <f>IF(OR($B1925="",$C1925=""),"",IFERROR(INDEX(PM_Short,MATCH($B1925,PM_ID,0))&amp;"-"&amp;TEXT($C1925,"00"),"?? no such product"))</f>
        <v/>
      </c>
      <c r="B1925" s="5" t="n"/>
      <c r="C1925" s="5" t="n"/>
      <c r="D1925" s="8">
        <f>IF($B1925="","",IFERROR(INDEX(PM_Category,MATCH($B1925,PM_ID,0)),""))</f>
        <v/>
      </c>
      <c r="E1925" s="8">
        <f>IF($B1925="","",IFERROR(INDEX(PM_Subcategory,MATCH($B1925,PM_ID,0)),""))</f>
        <v/>
      </c>
      <c r="F1925" s="8">
        <f>IF($B1925="","",IFERROR(INDEX(PM_Brand,MATCH($B1925,PM_ID,0)),""))</f>
        <v/>
      </c>
      <c r="G1925" s="8">
        <f>IF($B1925="","",IFERROR(INDEX(PM_Model,MATCH($B1925,PM_ID,0)),""))</f>
        <v/>
      </c>
      <c r="H1925" s="5" t="n"/>
      <c r="I1925" s="10" t="n"/>
      <c r="J1925" s="9" t="n"/>
      <c r="K1925" s="5" t="n"/>
      <c r="L1925" s="5" t="n"/>
      <c r="M1925" s="5" t="n"/>
      <c r="N1925" s="5" t="n"/>
      <c r="O1925" s="8">
        <f>IF($B1925="","",IF(AND($A1925&lt;&gt;"",COUNTIF(INV_ID,$A1925)&gt;1),"⚠ this Unit ID already exists",IF(AND($H1925&lt;&gt;"",COUNTIF(INV_Serial,$H1925)&gt;1),"⚠ this serial already exists",IF(COUNTIFS(INV_Product,$B1925,INV_No,$C1925)&gt;1,"⚠ piece number reused",""))))</f>
        <v/>
      </c>
      <c r="P1925" s="5" t="n"/>
    </row>
    <row r="1926">
      <c r="A1926" s="8">
        <f>IF(OR($B1926="",$C1926=""),"",IFERROR(INDEX(PM_Short,MATCH($B1926,PM_ID,0))&amp;"-"&amp;TEXT($C1926,"00"),"?? no such product"))</f>
        <v/>
      </c>
      <c r="B1926" s="5" t="n"/>
      <c r="C1926" s="5" t="n"/>
      <c r="D1926" s="8">
        <f>IF($B1926="","",IFERROR(INDEX(PM_Category,MATCH($B1926,PM_ID,0)),""))</f>
        <v/>
      </c>
      <c r="E1926" s="8">
        <f>IF($B1926="","",IFERROR(INDEX(PM_Subcategory,MATCH($B1926,PM_ID,0)),""))</f>
        <v/>
      </c>
      <c r="F1926" s="8">
        <f>IF($B1926="","",IFERROR(INDEX(PM_Brand,MATCH($B1926,PM_ID,0)),""))</f>
        <v/>
      </c>
      <c r="G1926" s="8">
        <f>IF($B1926="","",IFERROR(INDEX(PM_Model,MATCH($B1926,PM_ID,0)),""))</f>
        <v/>
      </c>
      <c r="H1926" s="5" t="n"/>
      <c r="I1926" s="10" t="n"/>
      <c r="J1926" s="9" t="n"/>
      <c r="K1926" s="5" t="n"/>
      <c r="L1926" s="5" t="n"/>
      <c r="M1926" s="5" t="n"/>
      <c r="N1926" s="5" t="n"/>
      <c r="O1926" s="8">
        <f>IF($B1926="","",IF(AND($A1926&lt;&gt;"",COUNTIF(INV_ID,$A1926)&gt;1),"⚠ this Unit ID already exists",IF(AND($H1926&lt;&gt;"",COUNTIF(INV_Serial,$H1926)&gt;1),"⚠ this serial already exists",IF(COUNTIFS(INV_Product,$B1926,INV_No,$C1926)&gt;1,"⚠ piece number reused",""))))</f>
        <v/>
      </c>
      <c r="P1926" s="5" t="n"/>
    </row>
    <row r="1927">
      <c r="A1927" s="8">
        <f>IF(OR($B1927="",$C1927=""),"",IFERROR(INDEX(PM_Short,MATCH($B1927,PM_ID,0))&amp;"-"&amp;TEXT($C1927,"00"),"?? no such product"))</f>
        <v/>
      </c>
      <c r="B1927" s="5" t="n"/>
      <c r="C1927" s="5" t="n"/>
      <c r="D1927" s="8">
        <f>IF($B1927="","",IFERROR(INDEX(PM_Category,MATCH($B1927,PM_ID,0)),""))</f>
        <v/>
      </c>
      <c r="E1927" s="8">
        <f>IF($B1927="","",IFERROR(INDEX(PM_Subcategory,MATCH($B1927,PM_ID,0)),""))</f>
        <v/>
      </c>
      <c r="F1927" s="8">
        <f>IF($B1927="","",IFERROR(INDEX(PM_Brand,MATCH($B1927,PM_ID,0)),""))</f>
        <v/>
      </c>
      <c r="G1927" s="8">
        <f>IF($B1927="","",IFERROR(INDEX(PM_Model,MATCH($B1927,PM_ID,0)),""))</f>
        <v/>
      </c>
      <c r="H1927" s="5" t="n"/>
      <c r="I1927" s="10" t="n"/>
      <c r="J1927" s="9" t="n"/>
      <c r="K1927" s="5" t="n"/>
      <c r="L1927" s="5" t="n"/>
      <c r="M1927" s="5" t="n"/>
      <c r="N1927" s="5" t="n"/>
      <c r="O1927" s="8">
        <f>IF($B1927="","",IF(AND($A1927&lt;&gt;"",COUNTIF(INV_ID,$A1927)&gt;1),"⚠ this Unit ID already exists",IF(AND($H1927&lt;&gt;"",COUNTIF(INV_Serial,$H1927)&gt;1),"⚠ this serial already exists",IF(COUNTIFS(INV_Product,$B1927,INV_No,$C1927)&gt;1,"⚠ piece number reused",""))))</f>
        <v/>
      </c>
      <c r="P1927" s="5" t="n"/>
    </row>
    <row r="1928">
      <c r="A1928" s="8">
        <f>IF(OR($B1928="",$C1928=""),"",IFERROR(INDEX(PM_Short,MATCH($B1928,PM_ID,0))&amp;"-"&amp;TEXT($C1928,"00"),"?? no such product"))</f>
        <v/>
      </c>
      <c r="B1928" s="5" t="n"/>
      <c r="C1928" s="5" t="n"/>
      <c r="D1928" s="8">
        <f>IF($B1928="","",IFERROR(INDEX(PM_Category,MATCH($B1928,PM_ID,0)),""))</f>
        <v/>
      </c>
      <c r="E1928" s="8">
        <f>IF($B1928="","",IFERROR(INDEX(PM_Subcategory,MATCH($B1928,PM_ID,0)),""))</f>
        <v/>
      </c>
      <c r="F1928" s="8">
        <f>IF($B1928="","",IFERROR(INDEX(PM_Brand,MATCH($B1928,PM_ID,0)),""))</f>
        <v/>
      </c>
      <c r="G1928" s="8">
        <f>IF($B1928="","",IFERROR(INDEX(PM_Model,MATCH($B1928,PM_ID,0)),""))</f>
        <v/>
      </c>
      <c r="H1928" s="5" t="n"/>
      <c r="I1928" s="10" t="n"/>
      <c r="J1928" s="9" t="n"/>
      <c r="K1928" s="5" t="n"/>
      <c r="L1928" s="5" t="n"/>
      <c r="M1928" s="5" t="n"/>
      <c r="N1928" s="5" t="n"/>
      <c r="O1928" s="8">
        <f>IF($B1928="","",IF(AND($A1928&lt;&gt;"",COUNTIF(INV_ID,$A1928)&gt;1),"⚠ this Unit ID already exists",IF(AND($H1928&lt;&gt;"",COUNTIF(INV_Serial,$H1928)&gt;1),"⚠ this serial already exists",IF(COUNTIFS(INV_Product,$B1928,INV_No,$C1928)&gt;1,"⚠ piece number reused",""))))</f>
        <v/>
      </c>
      <c r="P1928" s="5" t="n"/>
    </row>
    <row r="1929">
      <c r="A1929" s="8">
        <f>IF(OR($B1929="",$C1929=""),"",IFERROR(INDEX(PM_Short,MATCH($B1929,PM_ID,0))&amp;"-"&amp;TEXT($C1929,"00"),"?? no such product"))</f>
        <v/>
      </c>
      <c r="B1929" s="5" t="n"/>
      <c r="C1929" s="5" t="n"/>
      <c r="D1929" s="8">
        <f>IF($B1929="","",IFERROR(INDEX(PM_Category,MATCH($B1929,PM_ID,0)),""))</f>
        <v/>
      </c>
      <c r="E1929" s="8">
        <f>IF($B1929="","",IFERROR(INDEX(PM_Subcategory,MATCH($B1929,PM_ID,0)),""))</f>
        <v/>
      </c>
      <c r="F1929" s="8">
        <f>IF($B1929="","",IFERROR(INDEX(PM_Brand,MATCH($B1929,PM_ID,0)),""))</f>
        <v/>
      </c>
      <c r="G1929" s="8">
        <f>IF($B1929="","",IFERROR(INDEX(PM_Model,MATCH($B1929,PM_ID,0)),""))</f>
        <v/>
      </c>
      <c r="H1929" s="5" t="n"/>
      <c r="I1929" s="10" t="n"/>
      <c r="J1929" s="9" t="n"/>
      <c r="K1929" s="5" t="n"/>
      <c r="L1929" s="5" t="n"/>
      <c r="M1929" s="5" t="n"/>
      <c r="N1929" s="5" t="n"/>
      <c r="O1929" s="8">
        <f>IF($B1929="","",IF(AND($A1929&lt;&gt;"",COUNTIF(INV_ID,$A1929)&gt;1),"⚠ this Unit ID already exists",IF(AND($H1929&lt;&gt;"",COUNTIF(INV_Serial,$H1929)&gt;1),"⚠ this serial already exists",IF(COUNTIFS(INV_Product,$B1929,INV_No,$C1929)&gt;1,"⚠ piece number reused",""))))</f>
        <v/>
      </c>
      <c r="P1929" s="5" t="n"/>
    </row>
    <row r="1930">
      <c r="A1930" s="8">
        <f>IF(OR($B1930="",$C1930=""),"",IFERROR(INDEX(PM_Short,MATCH($B1930,PM_ID,0))&amp;"-"&amp;TEXT($C1930,"00"),"?? no such product"))</f>
        <v/>
      </c>
      <c r="B1930" s="5" t="n"/>
      <c r="C1930" s="5" t="n"/>
      <c r="D1930" s="8">
        <f>IF($B1930="","",IFERROR(INDEX(PM_Category,MATCH($B1930,PM_ID,0)),""))</f>
        <v/>
      </c>
      <c r="E1930" s="8">
        <f>IF($B1930="","",IFERROR(INDEX(PM_Subcategory,MATCH($B1930,PM_ID,0)),""))</f>
        <v/>
      </c>
      <c r="F1930" s="8">
        <f>IF($B1930="","",IFERROR(INDEX(PM_Brand,MATCH($B1930,PM_ID,0)),""))</f>
        <v/>
      </c>
      <c r="G1930" s="8">
        <f>IF($B1930="","",IFERROR(INDEX(PM_Model,MATCH($B1930,PM_ID,0)),""))</f>
        <v/>
      </c>
      <c r="H1930" s="5" t="n"/>
      <c r="I1930" s="10" t="n"/>
      <c r="J1930" s="9" t="n"/>
      <c r="K1930" s="5" t="n"/>
      <c r="L1930" s="5" t="n"/>
      <c r="M1930" s="5" t="n"/>
      <c r="N1930" s="5" t="n"/>
      <c r="O1930" s="8">
        <f>IF($B1930="","",IF(AND($A1930&lt;&gt;"",COUNTIF(INV_ID,$A1930)&gt;1),"⚠ this Unit ID already exists",IF(AND($H1930&lt;&gt;"",COUNTIF(INV_Serial,$H1930)&gt;1),"⚠ this serial already exists",IF(COUNTIFS(INV_Product,$B1930,INV_No,$C1930)&gt;1,"⚠ piece number reused",""))))</f>
        <v/>
      </c>
      <c r="P1930" s="5" t="n"/>
    </row>
    <row r="1931">
      <c r="A1931" s="8">
        <f>IF(OR($B1931="",$C1931=""),"",IFERROR(INDEX(PM_Short,MATCH($B1931,PM_ID,0))&amp;"-"&amp;TEXT($C1931,"00"),"?? no such product"))</f>
        <v/>
      </c>
      <c r="B1931" s="5" t="n"/>
      <c r="C1931" s="5" t="n"/>
      <c r="D1931" s="8">
        <f>IF($B1931="","",IFERROR(INDEX(PM_Category,MATCH($B1931,PM_ID,0)),""))</f>
        <v/>
      </c>
      <c r="E1931" s="8">
        <f>IF($B1931="","",IFERROR(INDEX(PM_Subcategory,MATCH($B1931,PM_ID,0)),""))</f>
        <v/>
      </c>
      <c r="F1931" s="8">
        <f>IF($B1931="","",IFERROR(INDEX(PM_Brand,MATCH($B1931,PM_ID,0)),""))</f>
        <v/>
      </c>
      <c r="G1931" s="8">
        <f>IF($B1931="","",IFERROR(INDEX(PM_Model,MATCH($B1931,PM_ID,0)),""))</f>
        <v/>
      </c>
      <c r="H1931" s="5" t="n"/>
      <c r="I1931" s="10" t="n"/>
      <c r="J1931" s="9" t="n"/>
      <c r="K1931" s="5" t="n"/>
      <c r="L1931" s="5" t="n"/>
      <c r="M1931" s="5" t="n"/>
      <c r="N1931" s="5" t="n"/>
      <c r="O1931" s="8">
        <f>IF($B1931="","",IF(AND($A1931&lt;&gt;"",COUNTIF(INV_ID,$A1931)&gt;1),"⚠ this Unit ID already exists",IF(AND($H1931&lt;&gt;"",COUNTIF(INV_Serial,$H1931)&gt;1),"⚠ this serial already exists",IF(COUNTIFS(INV_Product,$B1931,INV_No,$C1931)&gt;1,"⚠ piece number reused",""))))</f>
        <v/>
      </c>
      <c r="P1931" s="5" t="n"/>
    </row>
    <row r="1932">
      <c r="A1932" s="8">
        <f>IF(OR($B1932="",$C1932=""),"",IFERROR(INDEX(PM_Short,MATCH($B1932,PM_ID,0))&amp;"-"&amp;TEXT($C1932,"00"),"?? no such product"))</f>
        <v/>
      </c>
      <c r="B1932" s="5" t="n"/>
      <c r="C1932" s="5" t="n"/>
      <c r="D1932" s="8">
        <f>IF($B1932="","",IFERROR(INDEX(PM_Category,MATCH($B1932,PM_ID,0)),""))</f>
        <v/>
      </c>
      <c r="E1932" s="8">
        <f>IF($B1932="","",IFERROR(INDEX(PM_Subcategory,MATCH($B1932,PM_ID,0)),""))</f>
        <v/>
      </c>
      <c r="F1932" s="8">
        <f>IF($B1932="","",IFERROR(INDEX(PM_Brand,MATCH($B1932,PM_ID,0)),""))</f>
        <v/>
      </c>
      <c r="G1932" s="8">
        <f>IF($B1932="","",IFERROR(INDEX(PM_Model,MATCH($B1932,PM_ID,0)),""))</f>
        <v/>
      </c>
      <c r="H1932" s="5" t="n"/>
      <c r="I1932" s="10" t="n"/>
      <c r="J1932" s="9" t="n"/>
      <c r="K1932" s="5" t="n"/>
      <c r="L1932" s="5" t="n"/>
      <c r="M1932" s="5" t="n"/>
      <c r="N1932" s="5" t="n"/>
      <c r="O1932" s="8">
        <f>IF($B1932="","",IF(AND($A1932&lt;&gt;"",COUNTIF(INV_ID,$A1932)&gt;1),"⚠ this Unit ID already exists",IF(AND($H1932&lt;&gt;"",COUNTIF(INV_Serial,$H1932)&gt;1),"⚠ this serial already exists",IF(COUNTIFS(INV_Product,$B1932,INV_No,$C1932)&gt;1,"⚠ piece number reused",""))))</f>
        <v/>
      </c>
      <c r="P1932" s="5" t="n"/>
    </row>
    <row r="1933">
      <c r="A1933" s="8">
        <f>IF(OR($B1933="",$C1933=""),"",IFERROR(INDEX(PM_Short,MATCH($B1933,PM_ID,0))&amp;"-"&amp;TEXT($C1933,"00"),"?? no such product"))</f>
        <v/>
      </c>
      <c r="B1933" s="5" t="n"/>
      <c r="C1933" s="5" t="n"/>
      <c r="D1933" s="8">
        <f>IF($B1933="","",IFERROR(INDEX(PM_Category,MATCH($B1933,PM_ID,0)),""))</f>
        <v/>
      </c>
      <c r="E1933" s="8">
        <f>IF($B1933="","",IFERROR(INDEX(PM_Subcategory,MATCH($B1933,PM_ID,0)),""))</f>
        <v/>
      </c>
      <c r="F1933" s="8">
        <f>IF($B1933="","",IFERROR(INDEX(PM_Brand,MATCH($B1933,PM_ID,0)),""))</f>
        <v/>
      </c>
      <c r="G1933" s="8">
        <f>IF($B1933="","",IFERROR(INDEX(PM_Model,MATCH($B1933,PM_ID,0)),""))</f>
        <v/>
      </c>
      <c r="H1933" s="5" t="n"/>
      <c r="I1933" s="10" t="n"/>
      <c r="J1933" s="9" t="n"/>
      <c r="K1933" s="5" t="n"/>
      <c r="L1933" s="5" t="n"/>
      <c r="M1933" s="5" t="n"/>
      <c r="N1933" s="5" t="n"/>
      <c r="O1933" s="8">
        <f>IF($B1933="","",IF(AND($A1933&lt;&gt;"",COUNTIF(INV_ID,$A1933)&gt;1),"⚠ this Unit ID already exists",IF(AND($H1933&lt;&gt;"",COUNTIF(INV_Serial,$H1933)&gt;1),"⚠ this serial already exists",IF(COUNTIFS(INV_Product,$B1933,INV_No,$C1933)&gt;1,"⚠ piece number reused",""))))</f>
        <v/>
      </c>
      <c r="P1933" s="5" t="n"/>
    </row>
    <row r="1934">
      <c r="A1934" s="8">
        <f>IF(OR($B1934="",$C1934=""),"",IFERROR(INDEX(PM_Short,MATCH($B1934,PM_ID,0))&amp;"-"&amp;TEXT($C1934,"00"),"?? no such product"))</f>
        <v/>
      </c>
      <c r="B1934" s="5" t="n"/>
      <c r="C1934" s="5" t="n"/>
      <c r="D1934" s="8">
        <f>IF($B1934="","",IFERROR(INDEX(PM_Category,MATCH($B1934,PM_ID,0)),""))</f>
        <v/>
      </c>
      <c r="E1934" s="8">
        <f>IF($B1934="","",IFERROR(INDEX(PM_Subcategory,MATCH($B1934,PM_ID,0)),""))</f>
        <v/>
      </c>
      <c r="F1934" s="8">
        <f>IF($B1934="","",IFERROR(INDEX(PM_Brand,MATCH($B1934,PM_ID,0)),""))</f>
        <v/>
      </c>
      <c r="G1934" s="8">
        <f>IF($B1934="","",IFERROR(INDEX(PM_Model,MATCH($B1934,PM_ID,0)),""))</f>
        <v/>
      </c>
      <c r="H1934" s="5" t="n"/>
      <c r="I1934" s="10" t="n"/>
      <c r="J1934" s="9" t="n"/>
      <c r="K1934" s="5" t="n"/>
      <c r="L1934" s="5" t="n"/>
      <c r="M1934" s="5" t="n"/>
      <c r="N1934" s="5" t="n"/>
      <c r="O1934" s="8">
        <f>IF($B1934="","",IF(AND($A1934&lt;&gt;"",COUNTIF(INV_ID,$A1934)&gt;1),"⚠ this Unit ID already exists",IF(AND($H1934&lt;&gt;"",COUNTIF(INV_Serial,$H1934)&gt;1),"⚠ this serial already exists",IF(COUNTIFS(INV_Product,$B1934,INV_No,$C1934)&gt;1,"⚠ piece number reused",""))))</f>
        <v/>
      </c>
      <c r="P1934" s="5" t="n"/>
    </row>
    <row r="1935">
      <c r="A1935" s="8">
        <f>IF(OR($B1935="",$C1935=""),"",IFERROR(INDEX(PM_Short,MATCH($B1935,PM_ID,0))&amp;"-"&amp;TEXT($C1935,"00"),"?? no such product"))</f>
        <v/>
      </c>
      <c r="B1935" s="5" t="n"/>
      <c r="C1935" s="5" t="n"/>
      <c r="D1935" s="8">
        <f>IF($B1935="","",IFERROR(INDEX(PM_Category,MATCH($B1935,PM_ID,0)),""))</f>
        <v/>
      </c>
      <c r="E1935" s="8">
        <f>IF($B1935="","",IFERROR(INDEX(PM_Subcategory,MATCH($B1935,PM_ID,0)),""))</f>
        <v/>
      </c>
      <c r="F1935" s="8">
        <f>IF($B1935="","",IFERROR(INDEX(PM_Brand,MATCH($B1935,PM_ID,0)),""))</f>
        <v/>
      </c>
      <c r="G1935" s="8">
        <f>IF($B1935="","",IFERROR(INDEX(PM_Model,MATCH($B1935,PM_ID,0)),""))</f>
        <v/>
      </c>
      <c r="H1935" s="5" t="n"/>
      <c r="I1935" s="10" t="n"/>
      <c r="J1935" s="9" t="n"/>
      <c r="K1935" s="5" t="n"/>
      <c r="L1935" s="5" t="n"/>
      <c r="M1935" s="5" t="n"/>
      <c r="N1935" s="5" t="n"/>
      <c r="O1935" s="8">
        <f>IF($B1935="","",IF(AND($A1935&lt;&gt;"",COUNTIF(INV_ID,$A1935)&gt;1),"⚠ this Unit ID already exists",IF(AND($H1935&lt;&gt;"",COUNTIF(INV_Serial,$H1935)&gt;1),"⚠ this serial already exists",IF(COUNTIFS(INV_Product,$B1935,INV_No,$C1935)&gt;1,"⚠ piece number reused",""))))</f>
        <v/>
      </c>
      <c r="P1935" s="5" t="n"/>
    </row>
    <row r="1936">
      <c r="A1936" s="8">
        <f>IF(OR($B1936="",$C1936=""),"",IFERROR(INDEX(PM_Short,MATCH($B1936,PM_ID,0))&amp;"-"&amp;TEXT($C1936,"00"),"?? no such product"))</f>
        <v/>
      </c>
      <c r="B1936" s="5" t="n"/>
      <c r="C1936" s="5" t="n"/>
      <c r="D1936" s="8">
        <f>IF($B1936="","",IFERROR(INDEX(PM_Category,MATCH($B1936,PM_ID,0)),""))</f>
        <v/>
      </c>
      <c r="E1936" s="8">
        <f>IF($B1936="","",IFERROR(INDEX(PM_Subcategory,MATCH($B1936,PM_ID,0)),""))</f>
        <v/>
      </c>
      <c r="F1936" s="8">
        <f>IF($B1936="","",IFERROR(INDEX(PM_Brand,MATCH($B1936,PM_ID,0)),""))</f>
        <v/>
      </c>
      <c r="G1936" s="8">
        <f>IF($B1936="","",IFERROR(INDEX(PM_Model,MATCH($B1936,PM_ID,0)),""))</f>
        <v/>
      </c>
      <c r="H1936" s="5" t="n"/>
      <c r="I1936" s="10" t="n"/>
      <c r="J1936" s="9" t="n"/>
      <c r="K1936" s="5" t="n"/>
      <c r="L1936" s="5" t="n"/>
      <c r="M1936" s="5" t="n"/>
      <c r="N1936" s="5" t="n"/>
      <c r="O1936" s="8">
        <f>IF($B1936="","",IF(AND($A1936&lt;&gt;"",COUNTIF(INV_ID,$A1936)&gt;1),"⚠ this Unit ID already exists",IF(AND($H1936&lt;&gt;"",COUNTIF(INV_Serial,$H1936)&gt;1),"⚠ this serial already exists",IF(COUNTIFS(INV_Product,$B1936,INV_No,$C1936)&gt;1,"⚠ piece number reused",""))))</f>
        <v/>
      </c>
      <c r="P1936" s="5" t="n"/>
    </row>
    <row r="1937">
      <c r="A1937" s="8">
        <f>IF(OR($B1937="",$C1937=""),"",IFERROR(INDEX(PM_Short,MATCH($B1937,PM_ID,0))&amp;"-"&amp;TEXT($C1937,"00"),"?? no such product"))</f>
        <v/>
      </c>
      <c r="B1937" s="5" t="n"/>
      <c r="C1937" s="5" t="n"/>
      <c r="D1937" s="8">
        <f>IF($B1937="","",IFERROR(INDEX(PM_Category,MATCH($B1937,PM_ID,0)),""))</f>
        <v/>
      </c>
      <c r="E1937" s="8">
        <f>IF($B1937="","",IFERROR(INDEX(PM_Subcategory,MATCH($B1937,PM_ID,0)),""))</f>
        <v/>
      </c>
      <c r="F1937" s="8">
        <f>IF($B1937="","",IFERROR(INDEX(PM_Brand,MATCH($B1937,PM_ID,0)),""))</f>
        <v/>
      </c>
      <c r="G1937" s="8">
        <f>IF($B1937="","",IFERROR(INDEX(PM_Model,MATCH($B1937,PM_ID,0)),""))</f>
        <v/>
      </c>
      <c r="H1937" s="5" t="n"/>
      <c r="I1937" s="10" t="n"/>
      <c r="J1937" s="9" t="n"/>
      <c r="K1937" s="5" t="n"/>
      <c r="L1937" s="5" t="n"/>
      <c r="M1937" s="5" t="n"/>
      <c r="N1937" s="5" t="n"/>
      <c r="O1937" s="8">
        <f>IF($B1937="","",IF(AND($A1937&lt;&gt;"",COUNTIF(INV_ID,$A1937)&gt;1),"⚠ this Unit ID already exists",IF(AND($H1937&lt;&gt;"",COUNTIF(INV_Serial,$H1937)&gt;1),"⚠ this serial already exists",IF(COUNTIFS(INV_Product,$B1937,INV_No,$C1937)&gt;1,"⚠ piece number reused",""))))</f>
        <v/>
      </c>
      <c r="P1937" s="5" t="n"/>
    </row>
    <row r="1938">
      <c r="A1938" s="8">
        <f>IF(OR($B1938="",$C1938=""),"",IFERROR(INDEX(PM_Short,MATCH($B1938,PM_ID,0))&amp;"-"&amp;TEXT($C1938,"00"),"?? no such product"))</f>
        <v/>
      </c>
      <c r="B1938" s="5" t="n"/>
      <c r="C1938" s="5" t="n"/>
      <c r="D1938" s="8">
        <f>IF($B1938="","",IFERROR(INDEX(PM_Category,MATCH($B1938,PM_ID,0)),""))</f>
        <v/>
      </c>
      <c r="E1938" s="8">
        <f>IF($B1938="","",IFERROR(INDEX(PM_Subcategory,MATCH($B1938,PM_ID,0)),""))</f>
        <v/>
      </c>
      <c r="F1938" s="8">
        <f>IF($B1938="","",IFERROR(INDEX(PM_Brand,MATCH($B1938,PM_ID,0)),""))</f>
        <v/>
      </c>
      <c r="G1938" s="8">
        <f>IF($B1938="","",IFERROR(INDEX(PM_Model,MATCH($B1938,PM_ID,0)),""))</f>
        <v/>
      </c>
      <c r="H1938" s="5" t="n"/>
      <c r="I1938" s="10" t="n"/>
      <c r="J1938" s="9" t="n"/>
      <c r="K1938" s="5" t="n"/>
      <c r="L1938" s="5" t="n"/>
      <c r="M1938" s="5" t="n"/>
      <c r="N1938" s="5" t="n"/>
      <c r="O1938" s="8">
        <f>IF($B1938="","",IF(AND($A1938&lt;&gt;"",COUNTIF(INV_ID,$A1938)&gt;1),"⚠ this Unit ID already exists",IF(AND($H1938&lt;&gt;"",COUNTIF(INV_Serial,$H1938)&gt;1),"⚠ this serial already exists",IF(COUNTIFS(INV_Product,$B1938,INV_No,$C1938)&gt;1,"⚠ piece number reused",""))))</f>
        <v/>
      </c>
      <c r="P1938" s="5" t="n"/>
    </row>
    <row r="1939">
      <c r="A1939" s="8">
        <f>IF(OR($B1939="",$C1939=""),"",IFERROR(INDEX(PM_Short,MATCH($B1939,PM_ID,0))&amp;"-"&amp;TEXT($C1939,"00"),"?? no such product"))</f>
        <v/>
      </c>
      <c r="B1939" s="5" t="n"/>
      <c r="C1939" s="5" t="n"/>
      <c r="D1939" s="8">
        <f>IF($B1939="","",IFERROR(INDEX(PM_Category,MATCH($B1939,PM_ID,0)),""))</f>
        <v/>
      </c>
      <c r="E1939" s="8">
        <f>IF($B1939="","",IFERROR(INDEX(PM_Subcategory,MATCH($B1939,PM_ID,0)),""))</f>
        <v/>
      </c>
      <c r="F1939" s="8">
        <f>IF($B1939="","",IFERROR(INDEX(PM_Brand,MATCH($B1939,PM_ID,0)),""))</f>
        <v/>
      </c>
      <c r="G1939" s="8">
        <f>IF($B1939="","",IFERROR(INDEX(PM_Model,MATCH($B1939,PM_ID,0)),""))</f>
        <v/>
      </c>
      <c r="H1939" s="5" t="n"/>
      <c r="I1939" s="10" t="n"/>
      <c r="J1939" s="9" t="n"/>
      <c r="K1939" s="5" t="n"/>
      <c r="L1939" s="5" t="n"/>
      <c r="M1939" s="5" t="n"/>
      <c r="N1939" s="5" t="n"/>
      <c r="O1939" s="8">
        <f>IF($B1939="","",IF(AND($A1939&lt;&gt;"",COUNTIF(INV_ID,$A1939)&gt;1),"⚠ this Unit ID already exists",IF(AND($H1939&lt;&gt;"",COUNTIF(INV_Serial,$H1939)&gt;1),"⚠ this serial already exists",IF(COUNTIFS(INV_Product,$B1939,INV_No,$C1939)&gt;1,"⚠ piece number reused",""))))</f>
        <v/>
      </c>
      <c r="P1939" s="5" t="n"/>
    </row>
    <row r="1940">
      <c r="A1940" s="8">
        <f>IF(OR($B1940="",$C1940=""),"",IFERROR(INDEX(PM_Short,MATCH($B1940,PM_ID,0))&amp;"-"&amp;TEXT($C1940,"00"),"?? no such product"))</f>
        <v/>
      </c>
      <c r="B1940" s="5" t="n"/>
      <c r="C1940" s="5" t="n"/>
      <c r="D1940" s="8">
        <f>IF($B1940="","",IFERROR(INDEX(PM_Category,MATCH($B1940,PM_ID,0)),""))</f>
        <v/>
      </c>
      <c r="E1940" s="8">
        <f>IF($B1940="","",IFERROR(INDEX(PM_Subcategory,MATCH($B1940,PM_ID,0)),""))</f>
        <v/>
      </c>
      <c r="F1940" s="8">
        <f>IF($B1940="","",IFERROR(INDEX(PM_Brand,MATCH($B1940,PM_ID,0)),""))</f>
        <v/>
      </c>
      <c r="G1940" s="8">
        <f>IF($B1940="","",IFERROR(INDEX(PM_Model,MATCH($B1940,PM_ID,0)),""))</f>
        <v/>
      </c>
      <c r="H1940" s="5" t="n"/>
      <c r="I1940" s="10" t="n"/>
      <c r="J1940" s="9" t="n"/>
      <c r="K1940" s="5" t="n"/>
      <c r="L1940" s="5" t="n"/>
      <c r="M1940" s="5" t="n"/>
      <c r="N1940" s="5" t="n"/>
      <c r="O1940" s="8">
        <f>IF($B1940="","",IF(AND($A1940&lt;&gt;"",COUNTIF(INV_ID,$A1940)&gt;1),"⚠ this Unit ID already exists",IF(AND($H1940&lt;&gt;"",COUNTIF(INV_Serial,$H1940)&gt;1),"⚠ this serial already exists",IF(COUNTIFS(INV_Product,$B1940,INV_No,$C1940)&gt;1,"⚠ piece number reused",""))))</f>
        <v/>
      </c>
      <c r="P1940" s="5" t="n"/>
    </row>
    <row r="1941">
      <c r="A1941" s="8">
        <f>IF(OR($B1941="",$C1941=""),"",IFERROR(INDEX(PM_Short,MATCH($B1941,PM_ID,0))&amp;"-"&amp;TEXT($C1941,"00"),"?? no such product"))</f>
        <v/>
      </c>
      <c r="B1941" s="5" t="n"/>
      <c r="C1941" s="5" t="n"/>
      <c r="D1941" s="8">
        <f>IF($B1941="","",IFERROR(INDEX(PM_Category,MATCH($B1941,PM_ID,0)),""))</f>
        <v/>
      </c>
      <c r="E1941" s="8">
        <f>IF($B1941="","",IFERROR(INDEX(PM_Subcategory,MATCH($B1941,PM_ID,0)),""))</f>
        <v/>
      </c>
      <c r="F1941" s="8">
        <f>IF($B1941="","",IFERROR(INDEX(PM_Brand,MATCH($B1941,PM_ID,0)),""))</f>
        <v/>
      </c>
      <c r="G1941" s="8">
        <f>IF($B1941="","",IFERROR(INDEX(PM_Model,MATCH($B1941,PM_ID,0)),""))</f>
        <v/>
      </c>
      <c r="H1941" s="5" t="n"/>
      <c r="I1941" s="10" t="n"/>
      <c r="J1941" s="9" t="n"/>
      <c r="K1941" s="5" t="n"/>
      <c r="L1941" s="5" t="n"/>
      <c r="M1941" s="5" t="n"/>
      <c r="N1941" s="5" t="n"/>
      <c r="O1941" s="8">
        <f>IF($B1941="","",IF(AND($A1941&lt;&gt;"",COUNTIF(INV_ID,$A1941)&gt;1),"⚠ this Unit ID already exists",IF(AND($H1941&lt;&gt;"",COUNTIF(INV_Serial,$H1941)&gt;1),"⚠ this serial already exists",IF(COUNTIFS(INV_Product,$B1941,INV_No,$C1941)&gt;1,"⚠ piece number reused",""))))</f>
        <v/>
      </c>
      <c r="P1941" s="5" t="n"/>
    </row>
    <row r="1942">
      <c r="A1942" s="8">
        <f>IF(OR($B1942="",$C1942=""),"",IFERROR(INDEX(PM_Short,MATCH($B1942,PM_ID,0))&amp;"-"&amp;TEXT($C1942,"00"),"?? no such product"))</f>
        <v/>
      </c>
      <c r="B1942" s="5" t="n"/>
      <c r="C1942" s="5" t="n"/>
      <c r="D1942" s="8">
        <f>IF($B1942="","",IFERROR(INDEX(PM_Category,MATCH($B1942,PM_ID,0)),""))</f>
        <v/>
      </c>
      <c r="E1942" s="8">
        <f>IF($B1942="","",IFERROR(INDEX(PM_Subcategory,MATCH($B1942,PM_ID,0)),""))</f>
        <v/>
      </c>
      <c r="F1942" s="8">
        <f>IF($B1942="","",IFERROR(INDEX(PM_Brand,MATCH($B1942,PM_ID,0)),""))</f>
        <v/>
      </c>
      <c r="G1942" s="8">
        <f>IF($B1942="","",IFERROR(INDEX(PM_Model,MATCH($B1942,PM_ID,0)),""))</f>
        <v/>
      </c>
      <c r="H1942" s="5" t="n"/>
      <c r="I1942" s="10" t="n"/>
      <c r="J1942" s="9" t="n"/>
      <c r="K1942" s="5" t="n"/>
      <c r="L1942" s="5" t="n"/>
      <c r="M1942" s="5" t="n"/>
      <c r="N1942" s="5" t="n"/>
      <c r="O1942" s="8">
        <f>IF($B1942="","",IF(AND($A1942&lt;&gt;"",COUNTIF(INV_ID,$A1942)&gt;1),"⚠ this Unit ID already exists",IF(AND($H1942&lt;&gt;"",COUNTIF(INV_Serial,$H1942)&gt;1),"⚠ this serial already exists",IF(COUNTIFS(INV_Product,$B1942,INV_No,$C1942)&gt;1,"⚠ piece number reused",""))))</f>
        <v/>
      </c>
      <c r="P1942" s="5" t="n"/>
    </row>
    <row r="1943">
      <c r="A1943" s="8">
        <f>IF(OR($B1943="",$C1943=""),"",IFERROR(INDEX(PM_Short,MATCH($B1943,PM_ID,0))&amp;"-"&amp;TEXT($C1943,"00"),"?? no such product"))</f>
        <v/>
      </c>
      <c r="B1943" s="5" t="n"/>
      <c r="C1943" s="5" t="n"/>
      <c r="D1943" s="8">
        <f>IF($B1943="","",IFERROR(INDEX(PM_Category,MATCH($B1943,PM_ID,0)),""))</f>
        <v/>
      </c>
      <c r="E1943" s="8">
        <f>IF($B1943="","",IFERROR(INDEX(PM_Subcategory,MATCH($B1943,PM_ID,0)),""))</f>
        <v/>
      </c>
      <c r="F1943" s="8">
        <f>IF($B1943="","",IFERROR(INDEX(PM_Brand,MATCH($B1943,PM_ID,0)),""))</f>
        <v/>
      </c>
      <c r="G1943" s="8">
        <f>IF($B1943="","",IFERROR(INDEX(PM_Model,MATCH($B1943,PM_ID,0)),""))</f>
        <v/>
      </c>
      <c r="H1943" s="5" t="n"/>
      <c r="I1943" s="10" t="n"/>
      <c r="J1943" s="9" t="n"/>
      <c r="K1943" s="5" t="n"/>
      <c r="L1943" s="5" t="n"/>
      <c r="M1943" s="5" t="n"/>
      <c r="N1943" s="5" t="n"/>
      <c r="O1943" s="8">
        <f>IF($B1943="","",IF(AND($A1943&lt;&gt;"",COUNTIF(INV_ID,$A1943)&gt;1),"⚠ this Unit ID already exists",IF(AND($H1943&lt;&gt;"",COUNTIF(INV_Serial,$H1943)&gt;1),"⚠ this serial already exists",IF(COUNTIFS(INV_Product,$B1943,INV_No,$C1943)&gt;1,"⚠ piece number reused",""))))</f>
        <v/>
      </c>
      <c r="P1943" s="5" t="n"/>
    </row>
    <row r="1944">
      <c r="A1944" s="8">
        <f>IF(OR($B1944="",$C1944=""),"",IFERROR(INDEX(PM_Short,MATCH($B1944,PM_ID,0))&amp;"-"&amp;TEXT($C1944,"00"),"?? no such product"))</f>
        <v/>
      </c>
      <c r="B1944" s="5" t="n"/>
      <c r="C1944" s="5" t="n"/>
      <c r="D1944" s="8">
        <f>IF($B1944="","",IFERROR(INDEX(PM_Category,MATCH($B1944,PM_ID,0)),""))</f>
        <v/>
      </c>
      <c r="E1944" s="8">
        <f>IF($B1944="","",IFERROR(INDEX(PM_Subcategory,MATCH($B1944,PM_ID,0)),""))</f>
        <v/>
      </c>
      <c r="F1944" s="8">
        <f>IF($B1944="","",IFERROR(INDEX(PM_Brand,MATCH($B1944,PM_ID,0)),""))</f>
        <v/>
      </c>
      <c r="G1944" s="8">
        <f>IF($B1944="","",IFERROR(INDEX(PM_Model,MATCH($B1944,PM_ID,0)),""))</f>
        <v/>
      </c>
      <c r="H1944" s="5" t="n"/>
      <c r="I1944" s="10" t="n"/>
      <c r="J1944" s="9" t="n"/>
      <c r="K1944" s="5" t="n"/>
      <c r="L1944" s="5" t="n"/>
      <c r="M1944" s="5" t="n"/>
      <c r="N1944" s="5" t="n"/>
      <c r="O1944" s="8">
        <f>IF($B1944="","",IF(AND($A1944&lt;&gt;"",COUNTIF(INV_ID,$A1944)&gt;1),"⚠ this Unit ID already exists",IF(AND($H1944&lt;&gt;"",COUNTIF(INV_Serial,$H1944)&gt;1),"⚠ this serial already exists",IF(COUNTIFS(INV_Product,$B1944,INV_No,$C1944)&gt;1,"⚠ piece number reused",""))))</f>
        <v/>
      </c>
      <c r="P1944" s="5" t="n"/>
    </row>
    <row r="1945">
      <c r="A1945" s="8">
        <f>IF(OR($B1945="",$C1945=""),"",IFERROR(INDEX(PM_Short,MATCH($B1945,PM_ID,0))&amp;"-"&amp;TEXT($C1945,"00"),"?? no such product"))</f>
        <v/>
      </c>
      <c r="B1945" s="5" t="n"/>
      <c r="C1945" s="5" t="n"/>
      <c r="D1945" s="8">
        <f>IF($B1945="","",IFERROR(INDEX(PM_Category,MATCH($B1945,PM_ID,0)),""))</f>
        <v/>
      </c>
      <c r="E1945" s="8">
        <f>IF($B1945="","",IFERROR(INDEX(PM_Subcategory,MATCH($B1945,PM_ID,0)),""))</f>
        <v/>
      </c>
      <c r="F1945" s="8">
        <f>IF($B1945="","",IFERROR(INDEX(PM_Brand,MATCH($B1945,PM_ID,0)),""))</f>
        <v/>
      </c>
      <c r="G1945" s="8">
        <f>IF($B1945="","",IFERROR(INDEX(PM_Model,MATCH($B1945,PM_ID,0)),""))</f>
        <v/>
      </c>
      <c r="H1945" s="5" t="n"/>
      <c r="I1945" s="10" t="n"/>
      <c r="J1945" s="9" t="n"/>
      <c r="K1945" s="5" t="n"/>
      <c r="L1945" s="5" t="n"/>
      <c r="M1945" s="5" t="n"/>
      <c r="N1945" s="5" t="n"/>
      <c r="O1945" s="8">
        <f>IF($B1945="","",IF(AND($A1945&lt;&gt;"",COUNTIF(INV_ID,$A1945)&gt;1),"⚠ this Unit ID already exists",IF(AND($H1945&lt;&gt;"",COUNTIF(INV_Serial,$H1945)&gt;1),"⚠ this serial already exists",IF(COUNTIFS(INV_Product,$B1945,INV_No,$C1945)&gt;1,"⚠ piece number reused",""))))</f>
        <v/>
      </c>
      <c r="P1945" s="5" t="n"/>
    </row>
    <row r="1946">
      <c r="A1946" s="8">
        <f>IF(OR($B1946="",$C1946=""),"",IFERROR(INDEX(PM_Short,MATCH($B1946,PM_ID,0))&amp;"-"&amp;TEXT($C1946,"00"),"?? no such product"))</f>
        <v/>
      </c>
      <c r="B1946" s="5" t="n"/>
      <c r="C1946" s="5" t="n"/>
      <c r="D1946" s="8">
        <f>IF($B1946="","",IFERROR(INDEX(PM_Category,MATCH($B1946,PM_ID,0)),""))</f>
        <v/>
      </c>
      <c r="E1946" s="8">
        <f>IF($B1946="","",IFERROR(INDEX(PM_Subcategory,MATCH($B1946,PM_ID,0)),""))</f>
        <v/>
      </c>
      <c r="F1946" s="8">
        <f>IF($B1946="","",IFERROR(INDEX(PM_Brand,MATCH($B1946,PM_ID,0)),""))</f>
        <v/>
      </c>
      <c r="G1946" s="8">
        <f>IF($B1946="","",IFERROR(INDEX(PM_Model,MATCH($B1946,PM_ID,0)),""))</f>
        <v/>
      </c>
      <c r="H1946" s="5" t="n"/>
      <c r="I1946" s="10" t="n"/>
      <c r="J1946" s="9" t="n"/>
      <c r="K1946" s="5" t="n"/>
      <c r="L1946" s="5" t="n"/>
      <c r="M1946" s="5" t="n"/>
      <c r="N1946" s="5" t="n"/>
      <c r="O1946" s="8">
        <f>IF($B1946="","",IF(AND($A1946&lt;&gt;"",COUNTIF(INV_ID,$A1946)&gt;1),"⚠ this Unit ID already exists",IF(AND($H1946&lt;&gt;"",COUNTIF(INV_Serial,$H1946)&gt;1),"⚠ this serial already exists",IF(COUNTIFS(INV_Product,$B1946,INV_No,$C1946)&gt;1,"⚠ piece number reused",""))))</f>
        <v/>
      </c>
      <c r="P1946" s="5" t="n"/>
    </row>
    <row r="1947">
      <c r="A1947" s="8">
        <f>IF(OR($B1947="",$C1947=""),"",IFERROR(INDEX(PM_Short,MATCH($B1947,PM_ID,0))&amp;"-"&amp;TEXT($C1947,"00"),"?? no such product"))</f>
        <v/>
      </c>
      <c r="B1947" s="5" t="n"/>
      <c r="C1947" s="5" t="n"/>
      <c r="D1947" s="8">
        <f>IF($B1947="","",IFERROR(INDEX(PM_Category,MATCH($B1947,PM_ID,0)),""))</f>
        <v/>
      </c>
      <c r="E1947" s="8">
        <f>IF($B1947="","",IFERROR(INDEX(PM_Subcategory,MATCH($B1947,PM_ID,0)),""))</f>
        <v/>
      </c>
      <c r="F1947" s="8">
        <f>IF($B1947="","",IFERROR(INDEX(PM_Brand,MATCH($B1947,PM_ID,0)),""))</f>
        <v/>
      </c>
      <c r="G1947" s="8">
        <f>IF($B1947="","",IFERROR(INDEX(PM_Model,MATCH($B1947,PM_ID,0)),""))</f>
        <v/>
      </c>
      <c r="H1947" s="5" t="n"/>
      <c r="I1947" s="10" t="n"/>
      <c r="J1947" s="9" t="n"/>
      <c r="K1947" s="5" t="n"/>
      <c r="L1947" s="5" t="n"/>
      <c r="M1947" s="5" t="n"/>
      <c r="N1947" s="5" t="n"/>
      <c r="O1947" s="8">
        <f>IF($B1947="","",IF(AND($A1947&lt;&gt;"",COUNTIF(INV_ID,$A1947)&gt;1),"⚠ this Unit ID already exists",IF(AND($H1947&lt;&gt;"",COUNTIF(INV_Serial,$H1947)&gt;1),"⚠ this serial already exists",IF(COUNTIFS(INV_Product,$B1947,INV_No,$C1947)&gt;1,"⚠ piece number reused",""))))</f>
        <v/>
      </c>
      <c r="P1947" s="5" t="n"/>
    </row>
    <row r="1948">
      <c r="A1948" s="8">
        <f>IF(OR($B1948="",$C1948=""),"",IFERROR(INDEX(PM_Short,MATCH($B1948,PM_ID,0))&amp;"-"&amp;TEXT($C1948,"00"),"?? no such product"))</f>
        <v/>
      </c>
      <c r="B1948" s="5" t="n"/>
      <c r="C1948" s="5" t="n"/>
      <c r="D1948" s="8">
        <f>IF($B1948="","",IFERROR(INDEX(PM_Category,MATCH($B1948,PM_ID,0)),""))</f>
        <v/>
      </c>
      <c r="E1948" s="8">
        <f>IF($B1948="","",IFERROR(INDEX(PM_Subcategory,MATCH($B1948,PM_ID,0)),""))</f>
        <v/>
      </c>
      <c r="F1948" s="8">
        <f>IF($B1948="","",IFERROR(INDEX(PM_Brand,MATCH($B1948,PM_ID,0)),""))</f>
        <v/>
      </c>
      <c r="G1948" s="8">
        <f>IF($B1948="","",IFERROR(INDEX(PM_Model,MATCH($B1948,PM_ID,0)),""))</f>
        <v/>
      </c>
      <c r="H1948" s="5" t="n"/>
      <c r="I1948" s="10" t="n"/>
      <c r="J1948" s="9" t="n"/>
      <c r="K1948" s="5" t="n"/>
      <c r="L1948" s="5" t="n"/>
      <c r="M1948" s="5" t="n"/>
      <c r="N1948" s="5" t="n"/>
      <c r="O1948" s="8">
        <f>IF($B1948="","",IF(AND($A1948&lt;&gt;"",COUNTIF(INV_ID,$A1948)&gt;1),"⚠ this Unit ID already exists",IF(AND($H1948&lt;&gt;"",COUNTIF(INV_Serial,$H1948)&gt;1),"⚠ this serial already exists",IF(COUNTIFS(INV_Product,$B1948,INV_No,$C1948)&gt;1,"⚠ piece number reused",""))))</f>
        <v/>
      </c>
      <c r="P1948" s="5" t="n"/>
    </row>
    <row r="1949">
      <c r="A1949" s="8">
        <f>IF(OR($B1949="",$C1949=""),"",IFERROR(INDEX(PM_Short,MATCH($B1949,PM_ID,0))&amp;"-"&amp;TEXT($C1949,"00"),"?? no such product"))</f>
        <v/>
      </c>
      <c r="B1949" s="5" t="n"/>
      <c r="C1949" s="5" t="n"/>
      <c r="D1949" s="8">
        <f>IF($B1949="","",IFERROR(INDEX(PM_Category,MATCH($B1949,PM_ID,0)),""))</f>
        <v/>
      </c>
      <c r="E1949" s="8">
        <f>IF($B1949="","",IFERROR(INDEX(PM_Subcategory,MATCH($B1949,PM_ID,0)),""))</f>
        <v/>
      </c>
      <c r="F1949" s="8">
        <f>IF($B1949="","",IFERROR(INDEX(PM_Brand,MATCH($B1949,PM_ID,0)),""))</f>
        <v/>
      </c>
      <c r="G1949" s="8">
        <f>IF($B1949="","",IFERROR(INDEX(PM_Model,MATCH($B1949,PM_ID,0)),""))</f>
        <v/>
      </c>
      <c r="H1949" s="5" t="n"/>
      <c r="I1949" s="10" t="n"/>
      <c r="J1949" s="9" t="n"/>
      <c r="K1949" s="5" t="n"/>
      <c r="L1949" s="5" t="n"/>
      <c r="M1949" s="5" t="n"/>
      <c r="N1949" s="5" t="n"/>
      <c r="O1949" s="8">
        <f>IF($B1949="","",IF(AND($A1949&lt;&gt;"",COUNTIF(INV_ID,$A1949)&gt;1),"⚠ this Unit ID already exists",IF(AND($H1949&lt;&gt;"",COUNTIF(INV_Serial,$H1949)&gt;1),"⚠ this serial already exists",IF(COUNTIFS(INV_Product,$B1949,INV_No,$C1949)&gt;1,"⚠ piece number reused",""))))</f>
        <v/>
      </c>
      <c r="P1949" s="5" t="n"/>
    </row>
    <row r="1950">
      <c r="A1950" s="8">
        <f>IF(OR($B1950="",$C1950=""),"",IFERROR(INDEX(PM_Short,MATCH($B1950,PM_ID,0))&amp;"-"&amp;TEXT($C1950,"00"),"?? no such product"))</f>
        <v/>
      </c>
      <c r="B1950" s="5" t="n"/>
      <c r="C1950" s="5" t="n"/>
      <c r="D1950" s="8">
        <f>IF($B1950="","",IFERROR(INDEX(PM_Category,MATCH($B1950,PM_ID,0)),""))</f>
        <v/>
      </c>
      <c r="E1950" s="8">
        <f>IF($B1950="","",IFERROR(INDEX(PM_Subcategory,MATCH($B1950,PM_ID,0)),""))</f>
        <v/>
      </c>
      <c r="F1950" s="8">
        <f>IF($B1950="","",IFERROR(INDEX(PM_Brand,MATCH($B1950,PM_ID,0)),""))</f>
        <v/>
      </c>
      <c r="G1950" s="8">
        <f>IF($B1950="","",IFERROR(INDEX(PM_Model,MATCH($B1950,PM_ID,0)),""))</f>
        <v/>
      </c>
      <c r="H1950" s="5" t="n"/>
      <c r="I1950" s="10" t="n"/>
      <c r="J1950" s="9" t="n"/>
      <c r="K1950" s="5" t="n"/>
      <c r="L1950" s="5" t="n"/>
      <c r="M1950" s="5" t="n"/>
      <c r="N1950" s="5" t="n"/>
      <c r="O1950" s="8">
        <f>IF($B1950="","",IF(AND($A1950&lt;&gt;"",COUNTIF(INV_ID,$A1950)&gt;1),"⚠ this Unit ID already exists",IF(AND($H1950&lt;&gt;"",COUNTIF(INV_Serial,$H1950)&gt;1),"⚠ this serial already exists",IF(COUNTIFS(INV_Product,$B1950,INV_No,$C1950)&gt;1,"⚠ piece number reused",""))))</f>
        <v/>
      </c>
      <c r="P1950" s="5" t="n"/>
    </row>
    <row r="1951">
      <c r="A1951" s="8">
        <f>IF(OR($B1951="",$C1951=""),"",IFERROR(INDEX(PM_Short,MATCH($B1951,PM_ID,0))&amp;"-"&amp;TEXT($C1951,"00"),"?? no such product"))</f>
        <v/>
      </c>
      <c r="B1951" s="5" t="n"/>
      <c r="C1951" s="5" t="n"/>
      <c r="D1951" s="8">
        <f>IF($B1951="","",IFERROR(INDEX(PM_Category,MATCH($B1951,PM_ID,0)),""))</f>
        <v/>
      </c>
      <c r="E1951" s="8">
        <f>IF($B1951="","",IFERROR(INDEX(PM_Subcategory,MATCH($B1951,PM_ID,0)),""))</f>
        <v/>
      </c>
      <c r="F1951" s="8">
        <f>IF($B1951="","",IFERROR(INDEX(PM_Brand,MATCH($B1951,PM_ID,0)),""))</f>
        <v/>
      </c>
      <c r="G1951" s="8">
        <f>IF($B1951="","",IFERROR(INDEX(PM_Model,MATCH($B1951,PM_ID,0)),""))</f>
        <v/>
      </c>
      <c r="H1951" s="5" t="n"/>
      <c r="I1951" s="10" t="n"/>
      <c r="J1951" s="9" t="n"/>
      <c r="K1951" s="5" t="n"/>
      <c r="L1951" s="5" t="n"/>
      <c r="M1951" s="5" t="n"/>
      <c r="N1951" s="5" t="n"/>
      <c r="O1951" s="8">
        <f>IF($B1951="","",IF(AND($A1951&lt;&gt;"",COUNTIF(INV_ID,$A1951)&gt;1),"⚠ this Unit ID already exists",IF(AND($H1951&lt;&gt;"",COUNTIF(INV_Serial,$H1951)&gt;1),"⚠ this serial already exists",IF(COUNTIFS(INV_Product,$B1951,INV_No,$C1951)&gt;1,"⚠ piece number reused",""))))</f>
        <v/>
      </c>
      <c r="P1951" s="5" t="n"/>
    </row>
    <row r="1952">
      <c r="A1952" s="8">
        <f>IF(OR($B1952="",$C1952=""),"",IFERROR(INDEX(PM_Short,MATCH($B1952,PM_ID,0))&amp;"-"&amp;TEXT($C1952,"00"),"?? no such product"))</f>
        <v/>
      </c>
      <c r="B1952" s="5" t="n"/>
      <c r="C1952" s="5" t="n"/>
      <c r="D1952" s="8">
        <f>IF($B1952="","",IFERROR(INDEX(PM_Category,MATCH($B1952,PM_ID,0)),""))</f>
        <v/>
      </c>
      <c r="E1952" s="8">
        <f>IF($B1952="","",IFERROR(INDEX(PM_Subcategory,MATCH($B1952,PM_ID,0)),""))</f>
        <v/>
      </c>
      <c r="F1952" s="8">
        <f>IF($B1952="","",IFERROR(INDEX(PM_Brand,MATCH($B1952,PM_ID,0)),""))</f>
        <v/>
      </c>
      <c r="G1952" s="8">
        <f>IF($B1952="","",IFERROR(INDEX(PM_Model,MATCH($B1952,PM_ID,0)),""))</f>
        <v/>
      </c>
      <c r="H1952" s="5" t="n"/>
      <c r="I1952" s="10" t="n"/>
      <c r="J1952" s="9" t="n"/>
      <c r="K1952" s="5" t="n"/>
      <c r="L1952" s="5" t="n"/>
      <c r="M1952" s="5" t="n"/>
      <c r="N1952" s="5" t="n"/>
      <c r="O1952" s="8">
        <f>IF($B1952="","",IF(AND($A1952&lt;&gt;"",COUNTIF(INV_ID,$A1952)&gt;1),"⚠ this Unit ID already exists",IF(AND($H1952&lt;&gt;"",COUNTIF(INV_Serial,$H1952)&gt;1),"⚠ this serial already exists",IF(COUNTIFS(INV_Product,$B1952,INV_No,$C1952)&gt;1,"⚠ piece number reused",""))))</f>
        <v/>
      </c>
      <c r="P1952" s="5" t="n"/>
    </row>
    <row r="1953">
      <c r="A1953" s="8">
        <f>IF(OR($B1953="",$C1953=""),"",IFERROR(INDEX(PM_Short,MATCH($B1953,PM_ID,0))&amp;"-"&amp;TEXT($C1953,"00"),"?? no such product"))</f>
        <v/>
      </c>
      <c r="B1953" s="5" t="n"/>
      <c r="C1953" s="5" t="n"/>
      <c r="D1953" s="8">
        <f>IF($B1953="","",IFERROR(INDEX(PM_Category,MATCH($B1953,PM_ID,0)),""))</f>
        <v/>
      </c>
      <c r="E1953" s="8">
        <f>IF($B1953="","",IFERROR(INDEX(PM_Subcategory,MATCH($B1953,PM_ID,0)),""))</f>
        <v/>
      </c>
      <c r="F1953" s="8">
        <f>IF($B1953="","",IFERROR(INDEX(PM_Brand,MATCH($B1953,PM_ID,0)),""))</f>
        <v/>
      </c>
      <c r="G1953" s="8">
        <f>IF($B1953="","",IFERROR(INDEX(PM_Model,MATCH($B1953,PM_ID,0)),""))</f>
        <v/>
      </c>
      <c r="H1953" s="5" t="n"/>
      <c r="I1953" s="10" t="n"/>
      <c r="J1953" s="9" t="n"/>
      <c r="K1953" s="5" t="n"/>
      <c r="L1953" s="5" t="n"/>
      <c r="M1953" s="5" t="n"/>
      <c r="N1953" s="5" t="n"/>
      <c r="O1953" s="8">
        <f>IF($B1953="","",IF(AND($A1953&lt;&gt;"",COUNTIF(INV_ID,$A1953)&gt;1),"⚠ this Unit ID already exists",IF(AND($H1953&lt;&gt;"",COUNTIF(INV_Serial,$H1953)&gt;1),"⚠ this serial already exists",IF(COUNTIFS(INV_Product,$B1953,INV_No,$C1953)&gt;1,"⚠ piece number reused",""))))</f>
        <v/>
      </c>
      <c r="P1953" s="5" t="n"/>
    </row>
    <row r="1954">
      <c r="A1954" s="8">
        <f>IF(OR($B1954="",$C1954=""),"",IFERROR(INDEX(PM_Short,MATCH($B1954,PM_ID,0))&amp;"-"&amp;TEXT($C1954,"00"),"?? no such product"))</f>
        <v/>
      </c>
      <c r="B1954" s="5" t="n"/>
      <c r="C1954" s="5" t="n"/>
      <c r="D1954" s="8">
        <f>IF($B1954="","",IFERROR(INDEX(PM_Category,MATCH($B1954,PM_ID,0)),""))</f>
        <v/>
      </c>
      <c r="E1954" s="8">
        <f>IF($B1954="","",IFERROR(INDEX(PM_Subcategory,MATCH($B1954,PM_ID,0)),""))</f>
        <v/>
      </c>
      <c r="F1954" s="8">
        <f>IF($B1954="","",IFERROR(INDEX(PM_Brand,MATCH($B1954,PM_ID,0)),""))</f>
        <v/>
      </c>
      <c r="G1954" s="8">
        <f>IF($B1954="","",IFERROR(INDEX(PM_Model,MATCH($B1954,PM_ID,0)),""))</f>
        <v/>
      </c>
      <c r="H1954" s="5" t="n"/>
      <c r="I1954" s="10" t="n"/>
      <c r="J1954" s="9" t="n"/>
      <c r="K1954" s="5" t="n"/>
      <c r="L1954" s="5" t="n"/>
      <c r="M1954" s="5" t="n"/>
      <c r="N1954" s="5" t="n"/>
      <c r="O1954" s="8">
        <f>IF($B1954="","",IF(AND($A1954&lt;&gt;"",COUNTIF(INV_ID,$A1954)&gt;1),"⚠ this Unit ID already exists",IF(AND($H1954&lt;&gt;"",COUNTIF(INV_Serial,$H1954)&gt;1),"⚠ this serial already exists",IF(COUNTIFS(INV_Product,$B1954,INV_No,$C1954)&gt;1,"⚠ piece number reused",""))))</f>
        <v/>
      </c>
      <c r="P1954" s="5" t="n"/>
    </row>
    <row r="1955">
      <c r="A1955" s="8">
        <f>IF(OR($B1955="",$C1955=""),"",IFERROR(INDEX(PM_Short,MATCH($B1955,PM_ID,0))&amp;"-"&amp;TEXT($C1955,"00"),"?? no such product"))</f>
        <v/>
      </c>
      <c r="B1955" s="5" t="n"/>
      <c r="C1955" s="5" t="n"/>
      <c r="D1955" s="8">
        <f>IF($B1955="","",IFERROR(INDEX(PM_Category,MATCH($B1955,PM_ID,0)),""))</f>
        <v/>
      </c>
      <c r="E1955" s="8">
        <f>IF($B1955="","",IFERROR(INDEX(PM_Subcategory,MATCH($B1955,PM_ID,0)),""))</f>
        <v/>
      </c>
      <c r="F1955" s="8">
        <f>IF($B1955="","",IFERROR(INDEX(PM_Brand,MATCH($B1955,PM_ID,0)),""))</f>
        <v/>
      </c>
      <c r="G1955" s="8">
        <f>IF($B1955="","",IFERROR(INDEX(PM_Model,MATCH($B1955,PM_ID,0)),""))</f>
        <v/>
      </c>
      <c r="H1955" s="5" t="n"/>
      <c r="I1955" s="10" t="n"/>
      <c r="J1955" s="9" t="n"/>
      <c r="K1955" s="5" t="n"/>
      <c r="L1955" s="5" t="n"/>
      <c r="M1955" s="5" t="n"/>
      <c r="N1955" s="5" t="n"/>
      <c r="O1955" s="8">
        <f>IF($B1955="","",IF(AND($A1955&lt;&gt;"",COUNTIF(INV_ID,$A1955)&gt;1),"⚠ this Unit ID already exists",IF(AND($H1955&lt;&gt;"",COUNTIF(INV_Serial,$H1955)&gt;1),"⚠ this serial already exists",IF(COUNTIFS(INV_Product,$B1955,INV_No,$C1955)&gt;1,"⚠ piece number reused",""))))</f>
        <v/>
      </c>
      <c r="P1955" s="5" t="n"/>
    </row>
    <row r="1956">
      <c r="A1956" s="8">
        <f>IF(OR($B1956="",$C1956=""),"",IFERROR(INDEX(PM_Short,MATCH($B1956,PM_ID,0))&amp;"-"&amp;TEXT($C1956,"00"),"?? no such product"))</f>
        <v/>
      </c>
      <c r="B1956" s="5" t="n"/>
      <c r="C1956" s="5" t="n"/>
      <c r="D1956" s="8">
        <f>IF($B1956="","",IFERROR(INDEX(PM_Category,MATCH($B1956,PM_ID,0)),""))</f>
        <v/>
      </c>
      <c r="E1956" s="8">
        <f>IF($B1956="","",IFERROR(INDEX(PM_Subcategory,MATCH($B1956,PM_ID,0)),""))</f>
        <v/>
      </c>
      <c r="F1956" s="8">
        <f>IF($B1956="","",IFERROR(INDEX(PM_Brand,MATCH($B1956,PM_ID,0)),""))</f>
        <v/>
      </c>
      <c r="G1956" s="8">
        <f>IF($B1956="","",IFERROR(INDEX(PM_Model,MATCH($B1956,PM_ID,0)),""))</f>
        <v/>
      </c>
      <c r="H1956" s="5" t="n"/>
      <c r="I1956" s="10" t="n"/>
      <c r="J1956" s="9" t="n"/>
      <c r="K1956" s="5" t="n"/>
      <c r="L1956" s="5" t="n"/>
      <c r="M1956" s="5" t="n"/>
      <c r="N1956" s="5" t="n"/>
      <c r="O1956" s="8">
        <f>IF($B1956="","",IF(AND($A1956&lt;&gt;"",COUNTIF(INV_ID,$A1956)&gt;1),"⚠ this Unit ID already exists",IF(AND($H1956&lt;&gt;"",COUNTIF(INV_Serial,$H1956)&gt;1),"⚠ this serial already exists",IF(COUNTIFS(INV_Product,$B1956,INV_No,$C1956)&gt;1,"⚠ piece number reused",""))))</f>
        <v/>
      </c>
      <c r="P1956" s="5" t="n"/>
    </row>
    <row r="1957">
      <c r="A1957" s="8">
        <f>IF(OR($B1957="",$C1957=""),"",IFERROR(INDEX(PM_Short,MATCH($B1957,PM_ID,0))&amp;"-"&amp;TEXT($C1957,"00"),"?? no such product"))</f>
        <v/>
      </c>
      <c r="B1957" s="5" t="n"/>
      <c r="C1957" s="5" t="n"/>
      <c r="D1957" s="8">
        <f>IF($B1957="","",IFERROR(INDEX(PM_Category,MATCH($B1957,PM_ID,0)),""))</f>
        <v/>
      </c>
      <c r="E1957" s="8">
        <f>IF($B1957="","",IFERROR(INDEX(PM_Subcategory,MATCH($B1957,PM_ID,0)),""))</f>
        <v/>
      </c>
      <c r="F1957" s="8">
        <f>IF($B1957="","",IFERROR(INDEX(PM_Brand,MATCH($B1957,PM_ID,0)),""))</f>
        <v/>
      </c>
      <c r="G1957" s="8">
        <f>IF($B1957="","",IFERROR(INDEX(PM_Model,MATCH($B1957,PM_ID,0)),""))</f>
        <v/>
      </c>
      <c r="H1957" s="5" t="n"/>
      <c r="I1957" s="10" t="n"/>
      <c r="J1957" s="9" t="n"/>
      <c r="K1957" s="5" t="n"/>
      <c r="L1957" s="5" t="n"/>
      <c r="M1957" s="5" t="n"/>
      <c r="N1957" s="5" t="n"/>
      <c r="O1957" s="8">
        <f>IF($B1957="","",IF(AND($A1957&lt;&gt;"",COUNTIF(INV_ID,$A1957)&gt;1),"⚠ this Unit ID already exists",IF(AND($H1957&lt;&gt;"",COUNTIF(INV_Serial,$H1957)&gt;1),"⚠ this serial already exists",IF(COUNTIFS(INV_Product,$B1957,INV_No,$C1957)&gt;1,"⚠ piece number reused",""))))</f>
        <v/>
      </c>
      <c r="P1957" s="5" t="n"/>
    </row>
    <row r="1958">
      <c r="A1958" s="8">
        <f>IF(OR($B1958="",$C1958=""),"",IFERROR(INDEX(PM_Short,MATCH($B1958,PM_ID,0))&amp;"-"&amp;TEXT($C1958,"00"),"?? no such product"))</f>
        <v/>
      </c>
      <c r="B1958" s="5" t="n"/>
      <c r="C1958" s="5" t="n"/>
      <c r="D1958" s="8">
        <f>IF($B1958="","",IFERROR(INDEX(PM_Category,MATCH($B1958,PM_ID,0)),""))</f>
        <v/>
      </c>
      <c r="E1958" s="8">
        <f>IF($B1958="","",IFERROR(INDEX(PM_Subcategory,MATCH($B1958,PM_ID,0)),""))</f>
        <v/>
      </c>
      <c r="F1958" s="8">
        <f>IF($B1958="","",IFERROR(INDEX(PM_Brand,MATCH($B1958,PM_ID,0)),""))</f>
        <v/>
      </c>
      <c r="G1958" s="8">
        <f>IF($B1958="","",IFERROR(INDEX(PM_Model,MATCH($B1958,PM_ID,0)),""))</f>
        <v/>
      </c>
      <c r="H1958" s="5" t="n"/>
      <c r="I1958" s="10" t="n"/>
      <c r="J1958" s="9" t="n"/>
      <c r="K1958" s="5" t="n"/>
      <c r="L1958" s="5" t="n"/>
      <c r="M1958" s="5" t="n"/>
      <c r="N1958" s="5" t="n"/>
      <c r="O1958" s="8">
        <f>IF($B1958="","",IF(AND($A1958&lt;&gt;"",COUNTIF(INV_ID,$A1958)&gt;1),"⚠ this Unit ID already exists",IF(AND($H1958&lt;&gt;"",COUNTIF(INV_Serial,$H1958)&gt;1),"⚠ this serial already exists",IF(COUNTIFS(INV_Product,$B1958,INV_No,$C1958)&gt;1,"⚠ piece number reused",""))))</f>
        <v/>
      </c>
      <c r="P1958" s="5" t="n"/>
    </row>
    <row r="1959">
      <c r="A1959" s="8">
        <f>IF(OR($B1959="",$C1959=""),"",IFERROR(INDEX(PM_Short,MATCH($B1959,PM_ID,0))&amp;"-"&amp;TEXT($C1959,"00"),"?? no such product"))</f>
        <v/>
      </c>
      <c r="B1959" s="5" t="n"/>
      <c r="C1959" s="5" t="n"/>
      <c r="D1959" s="8">
        <f>IF($B1959="","",IFERROR(INDEX(PM_Category,MATCH($B1959,PM_ID,0)),""))</f>
        <v/>
      </c>
      <c r="E1959" s="8">
        <f>IF($B1959="","",IFERROR(INDEX(PM_Subcategory,MATCH($B1959,PM_ID,0)),""))</f>
        <v/>
      </c>
      <c r="F1959" s="8">
        <f>IF($B1959="","",IFERROR(INDEX(PM_Brand,MATCH($B1959,PM_ID,0)),""))</f>
        <v/>
      </c>
      <c r="G1959" s="8">
        <f>IF($B1959="","",IFERROR(INDEX(PM_Model,MATCH($B1959,PM_ID,0)),""))</f>
        <v/>
      </c>
      <c r="H1959" s="5" t="n"/>
      <c r="I1959" s="10" t="n"/>
      <c r="J1959" s="9" t="n"/>
      <c r="K1959" s="5" t="n"/>
      <c r="L1959" s="5" t="n"/>
      <c r="M1959" s="5" t="n"/>
      <c r="N1959" s="5" t="n"/>
      <c r="O1959" s="8">
        <f>IF($B1959="","",IF(AND($A1959&lt;&gt;"",COUNTIF(INV_ID,$A1959)&gt;1),"⚠ this Unit ID already exists",IF(AND($H1959&lt;&gt;"",COUNTIF(INV_Serial,$H1959)&gt;1),"⚠ this serial already exists",IF(COUNTIFS(INV_Product,$B1959,INV_No,$C1959)&gt;1,"⚠ piece number reused",""))))</f>
        <v/>
      </c>
      <c r="P1959" s="5" t="n"/>
    </row>
    <row r="1960">
      <c r="A1960" s="8">
        <f>IF(OR($B1960="",$C1960=""),"",IFERROR(INDEX(PM_Short,MATCH($B1960,PM_ID,0))&amp;"-"&amp;TEXT($C1960,"00"),"?? no such product"))</f>
        <v/>
      </c>
      <c r="B1960" s="5" t="n"/>
      <c r="C1960" s="5" t="n"/>
      <c r="D1960" s="8">
        <f>IF($B1960="","",IFERROR(INDEX(PM_Category,MATCH($B1960,PM_ID,0)),""))</f>
        <v/>
      </c>
      <c r="E1960" s="8">
        <f>IF($B1960="","",IFERROR(INDEX(PM_Subcategory,MATCH($B1960,PM_ID,0)),""))</f>
        <v/>
      </c>
      <c r="F1960" s="8">
        <f>IF($B1960="","",IFERROR(INDEX(PM_Brand,MATCH($B1960,PM_ID,0)),""))</f>
        <v/>
      </c>
      <c r="G1960" s="8">
        <f>IF($B1960="","",IFERROR(INDEX(PM_Model,MATCH($B1960,PM_ID,0)),""))</f>
        <v/>
      </c>
      <c r="H1960" s="5" t="n"/>
      <c r="I1960" s="10" t="n"/>
      <c r="J1960" s="9" t="n"/>
      <c r="K1960" s="5" t="n"/>
      <c r="L1960" s="5" t="n"/>
      <c r="M1960" s="5" t="n"/>
      <c r="N1960" s="5" t="n"/>
      <c r="O1960" s="8">
        <f>IF($B1960="","",IF(AND($A1960&lt;&gt;"",COUNTIF(INV_ID,$A1960)&gt;1),"⚠ this Unit ID already exists",IF(AND($H1960&lt;&gt;"",COUNTIF(INV_Serial,$H1960)&gt;1),"⚠ this serial already exists",IF(COUNTIFS(INV_Product,$B1960,INV_No,$C1960)&gt;1,"⚠ piece number reused",""))))</f>
        <v/>
      </c>
      <c r="P1960" s="5" t="n"/>
    </row>
    <row r="1961">
      <c r="A1961" s="8">
        <f>IF(OR($B1961="",$C1961=""),"",IFERROR(INDEX(PM_Short,MATCH($B1961,PM_ID,0))&amp;"-"&amp;TEXT($C1961,"00"),"?? no such product"))</f>
        <v/>
      </c>
      <c r="B1961" s="5" t="n"/>
      <c r="C1961" s="5" t="n"/>
      <c r="D1961" s="8">
        <f>IF($B1961="","",IFERROR(INDEX(PM_Category,MATCH($B1961,PM_ID,0)),""))</f>
        <v/>
      </c>
      <c r="E1961" s="8">
        <f>IF($B1961="","",IFERROR(INDEX(PM_Subcategory,MATCH($B1961,PM_ID,0)),""))</f>
        <v/>
      </c>
      <c r="F1961" s="8">
        <f>IF($B1961="","",IFERROR(INDEX(PM_Brand,MATCH($B1961,PM_ID,0)),""))</f>
        <v/>
      </c>
      <c r="G1961" s="8">
        <f>IF($B1961="","",IFERROR(INDEX(PM_Model,MATCH($B1961,PM_ID,0)),""))</f>
        <v/>
      </c>
      <c r="H1961" s="5" t="n"/>
      <c r="I1961" s="10" t="n"/>
      <c r="J1961" s="9" t="n"/>
      <c r="K1961" s="5" t="n"/>
      <c r="L1961" s="5" t="n"/>
      <c r="M1961" s="5" t="n"/>
      <c r="N1961" s="5" t="n"/>
      <c r="O1961" s="8">
        <f>IF($B1961="","",IF(AND($A1961&lt;&gt;"",COUNTIF(INV_ID,$A1961)&gt;1),"⚠ this Unit ID already exists",IF(AND($H1961&lt;&gt;"",COUNTIF(INV_Serial,$H1961)&gt;1),"⚠ this serial already exists",IF(COUNTIFS(INV_Product,$B1961,INV_No,$C1961)&gt;1,"⚠ piece number reused",""))))</f>
        <v/>
      </c>
      <c r="P1961" s="5" t="n"/>
    </row>
    <row r="1962">
      <c r="A1962" s="8">
        <f>IF(OR($B1962="",$C1962=""),"",IFERROR(INDEX(PM_Short,MATCH($B1962,PM_ID,0))&amp;"-"&amp;TEXT($C1962,"00"),"?? no such product"))</f>
        <v/>
      </c>
      <c r="B1962" s="5" t="n"/>
      <c r="C1962" s="5" t="n"/>
      <c r="D1962" s="8">
        <f>IF($B1962="","",IFERROR(INDEX(PM_Category,MATCH($B1962,PM_ID,0)),""))</f>
        <v/>
      </c>
      <c r="E1962" s="8">
        <f>IF($B1962="","",IFERROR(INDEX(PM_Subcategory,MATCH($B1962,PM_ID,0)),""))</f>
        <v/>
      </c>
      <c r="F1962" s="8">
        <f>IF($B1962="","",IFERROR(INDEX(PM_Brand,MATCH($B1962,PM_ID,0)),""))</f>
        <v/>
      </c>
      <c r="G1962" s="8">
        <f>IF($B1962="","",IFERROR(INDEX(PM_Model,MATCH($B1962,PM_ID,0)),""))</f>
        <v/>
      </c>
      <c r="H1962" s="5" t="n"/>
      <c r="I1962" s="10" t="n"/>
      <c r="J1962" s="9" t="n"/>
      <c r="K1962" s="5" t="n"/>
      <c r="L1962" s="5" t="n"/>
      <c r="M1962" s="5" t="n"/>
      <c r="N1962" s="5" t="n"/>
      <c r="O1962" s="8">
        <f>IF($B1962="","",IF(AND($A1962&lt;&gt;"",COUNTIF(INV_ID,$A1962)&gt;1),"⚠ this Unit ID already exists",IF(AND($H1962&lt;&gt;"",COUNTIF(INV_Serial,$H1962)&gt;1),"⚠ this serial already exists",IF(COUNTIFS(INV_Product,$B1962,INV_No,$C1962)&gt;1,"⚠ piece number reused",""))))</f>
        <v/>
      </c>
      <c r="P1962" s="5" t="n"/>
    </row>
    <row r="1963">
      <c r="A1963" s="8">
        <f>IF(OR($B1963="",$C1963=""),"",IFERROR(INDEX(PM_Short,MATCH($B1963,PM_ID,0))&amp;"-"&amp;TEXT($C1963,"00"),"?? no such product"))</f>
        <v/>
      </c>
      <c r="B1963" s="5" t="n"/>
      <c r="C1963" s="5" t="n"/>
      <c r="D1963" s="8">
        <f>IF($B1963="","",IFERROR(INDEX(PM_Category,MATCH($B1963,PM_ID,0)),""))</f>
        <v/>
      </c>
      <c r="E1963" s="8">
        <f>IF($B1963="","",IFERROR(INDEX(PM_Subcategory,MATCH($B1963,PM_ID,0)),""))</f>
        <v/>
      </c>
      <c r="F1963" s="8">
        <f>IF($B1963="","",IFERROR(INDEX(PM_Brand,MATCH($B1963,PM_ID,0)),""))</f>
        <v/>
      </c>
      <c r="G1963" s="8">
        <f>IF($B1963="","",IFERROR(INDEX(PM_Model,MATCH($B1963,PM_ID,0)),""))</f>
        <v/>
      </c>
      <c r="H1963" s="5" t="n"/>
      <c r="I1963" s="10" t="n"/>
      <c r="J1963" s="9" t="n"/>
      <c r="K1963" s="5" t="n"/>
      <c r="L1963" s="5" t="n"/>
      <c r="M1963" s="5" t="n"/>
      <c r="N1963" s="5" t="n"/>
      <c r="O1963" s="8">
        <f>IF($B1963="","",IF(AND($A1963&lt;&gt;"",COUNTIF(INV_ID,$A1963)&gt;1),"⚠ this Unit ID already exists",IF(AND($H1963&lt;&gt;"",COUNTIF(INV_Serial,$H1963)&gt;1),"⚠ this serial already exists",IF(COUNTIFS(INV_Product,$B1963,INV_No,$C1963)&gt;1,"⚠ piece number reused",""))))</f>
        <v/>
      </c>
      <c r="P1963" s="5" t="n"/>
    </row>
    <row r="1964">
      <c r="A1964" s="8">
        <f>IF(OR($B1964="",$C1964=""),"",IFERROR(INDEX(PM_Short,MATCH($B1964,PM_ID,0))&amp;"-"&amp;TEXT($C1964,"00"),"?? no such product"))</f>
        <v/>
      </c>
      <c r="B1964" s="5" t="n"/>
      <c r="C1964" s="5" t="n"/>
      <c r="D1964" s="8">
        <f>IF($B1964="","",IFERROR(INDEX(PM_Category,MATCH($B1964,PM_ID,0)),""))</f>
        <v/>
      </c>
      <c r="E1964" s="8">
        <f>IF($B1964="","",IFERROR(INDEX(PM_Subcategory,MATCH($B1964,PM_ID,0)),""))</f>
        <v/>
      </c>
      <c r="F1964" s="8">
        <f>IF($B1964="","",IFERROR(INDEX(PM_Brand,MATCH($B1964,PM_ID,0)),""))</f>
        <v/>
      </c>
      <c r="G1964" s="8">
        <f>IF($B1964="","",IFERROR(INDEX(PM_Model,MATCH($B1964,PM_ID,0)),""))</f>
        <v/>
      </c>
      <c r="H1964" s="5" t="n"/>
      <c r="I1964" s="10" t="n"/>
      <c r="J1964" s="9" t="n"/>
      <c r="K1964" s="5" t="n"/>
      <c r="L1964" s="5" t="n"/>
      <c r="M1964" s="5" t="n"/>
      <c r="N1964" s="5" t="n"/>
      <c r="O1964" s="8">
        <f>IF($B1964="","",IF(AND($A1964&lt;&gt;"",COUNTIF(INV_ID,$A1964)&gt;1),"⚠ this Unit ID already exists",IF(AND($H1964&lt;&gt;"",COUNTIF(INV_Serial,$H1964)&gt;1),"⚠ this serial already exists",IF(COUNTIFS(INV_Product,$B1964,INV_No,$C1964)&gt;1,"⚠ piece number reused",""))))</f>
        <v/>
      </c>
      <c r="P1964" s="5" t="n"/>
    </row>
    <row r="1965">
      <c r="A1965" s="8">
        <f>IF(OR($B1965="",$C1965=""),"",IFERROR(INDEX(PM_Short,MATCH($B1965,PM_ID,0))&amp;"-"&amp;TEXT($C1965,"00"),"?? no such product"))</f>
        <v/>
      </c>
      <c r="B1965" s="5" t="n"/>
      <c r="C1965" s="5" t="n"/>
      <c r="D1965" s="8">
        <f>IF($B1965="","",IFERROR(INDEX(PM_Category,MATCH($B1965,PM_ID,0)),""))</f>
        <v/>
      </c>
      <c r="E1965" s="8">
        <f>IF($B1965="","",IFERROR(INDEX(PM_Subcategory,MATCH($B1965,PM_ID,0)),""))</f>
        <v/>
      </c>
      <c r="F1965" s="8">
        <f>IF($B1965="","",IFERROR(INDEX(PM_Brand,MATCH($B1965,PM_ID,0)),""))</f>
        <v/>
      </c>
      <c r="G1965" s="8">
        <f>IF($B1965="","",IFERROR(INDEX(PM_Model,MATCH($B1965,PM_ID,0)),""))</f>
        <v/>
      </c>
      <c r="H1965" s="5" t="n"/>
      <c r="I1965" s="10" t="n"/>
      <c r="J1965" s="9" t="n"/>
      <c r="K1965" s="5" t="n"/>
      <c r="L1965" s="5" t="n"/>
      <c r="M1965" s="5" t="n"/>
      <c r="N1965" s="5" t="n"/>
      <c r="O1965" s="8">
        <f>IF($B1965="","",IF(AND($A1965&lt;&gt;"",COUNTIF(INV_ID,$A1965)&gt;1),"⚠ this Unit ID already exists",IF(AND($H1965&lt;&gt;"",COUNTIF(INV_Serial,$H1965)&gt;1),"⚠ this serial already exists",IF(COUNTIFS(INV_Product,$B1965,INV_No,$C1965)&gt;1,"⚠ piece number reused",""))))</f>
        <v/>
      </c>
      <c r="P1965" s="5" t="n"/>
    </row>
    <row r="1966">
      <c r="A1966" s="8">
        <f>IF(OR($B1966="",$C1966=""),"",IFERROR(INDEX(PM_Short,MATCH($B1966,PM_ID,0))&amp;"-"&amp;TEXT($C1966,"00"),"?? no such product"))</f>
        <v/>
      </c>
      <c r="B1966" s="5" t="n"/>
      <c r="C1966" s="5" t="n"/>
      <c r="D1966" s="8">
        <f>IF($B1966="","",IFERROR(INDEX(PM_Category,MATCH($B1966,PM_ID,0)),""))</f>
        <v/>
      </c>
      <c r="E1966" s="8">
        <f>IF($B1966="","",IFERROR(INDEX(PM_Subcategory,MATCH($B1966,PM_ID,0)),""))</f>
        <v/>
      </c>
      <c r="F1966" s="8">
        <f>IF($B1966="","",IFERROR(INDEX(PM_Brand,MATCH($B1966,PM_ID,0)),""))</f>
        <v/>
      </c>
      <c r="G1966" s="8">
        <f>IF($B1966="","",IFERROR(INDEX(PM_Model,MATCH($B1966,PM_ID,0)),""))</f>
        <v/>
      </c>
      <c r="H1966" s="5" t="n"/>
      <c r="I1966" s="10" t="n"/>
      <c r="J1966" s="9" t="n"/>
      <c r="K1966" s="5" t="n"/>
      <c r="L1966" s="5" t="n"/>
      <c r="M1966" s="5" t="n"/>
      <c r="N1966" s="5" t="n"/>
      <c r="O1966" s="8">
        <f>IF($B1966="","",IF(AND($A1966&lt;&gt;"",COUNTIF(INV_ID,$A1966)&gt;1),"⚠ this Unit ID already exists",IF(AND($H1966&lt;&gt;"",COUNTIF(INV_Serial,$H1966)&gt;1),"⚠ this serial already exists",IF(COUNTIFS(INV_Product,$B1966,INV_No,$C1966)&gt;1,"⚠ piece number reused",""))))</f>
        <v/>
      </c>
      <c r="P1966" s="5" t="n"/>
    </row>
    <row r="1967">
      <c r="A1967" s="8">
        <f>IF(OR($B1967="",$C1967=""),"",IFERROR(INDEX(PM_Short,MATCH($B1967,PM_ID,0))&amp;"-"&amp;TEXT($C1967,"00"),"?? no such product"))</f>
        <v/>
      </c>
      <c r="B1967" s="5" t="n"/>
      <c r="C1967" s="5" t="n"/>
      <c r="D1967" s="8">
        <f>IF($B1967="","",IFERROR(INDEX(PM_Category,MATCH($B1967,PM_ID,0)),""))</f>
        <v/>
      </c>
      <c r="E1967" s="8">
        <f>IF($B1967="","",IFERROR(INDEX(PM_Subcategory,MATCH($B1967,PM_ID,0)),""))</f>
        <v/>
      </c>
      <c r="F1967" s="8">
        <f>IF($B1967="","",IFERROR(INDEX(PM_Brand,MATCH($B1967,PM_ID,0)),""))</f>
        <v/>
      </c>
      <c r="G1967" s="8">
        <f>IF($B1967="","",IFERROR(INDEX(PM_Model,MATCH($B1967,PM_ID,0)),""))</f>
        <v/>
      </c>
      <c r="H1967" s="5" t="n"/>
      <c r="I1967" s="10" t="n"/>
      <c r="J1967" s="9" t="n"/>
      <c r="K1967" s="5" t="n"/>
      <c r="L1967" s="5" t="n"/>
      <c r="M1967" s="5" t="n"/>
      <c r="N1967" s="5" t="n"/>
      <c r="O1967" s="8">
        <f>IF($B1967="","",IF(AND($A1967&lt;&gt;"",COUNTIF(INV_ID,$A1967)&gt;1),"⚠ this Unit ID already exists",IF(AND($H1967&lt;&gt;"",COUNTIF(INV_Serial,$H1967)&gt;1),"⚠ this serial already exists",IF(COUNTIFS(INV_Product,$B1967,INV_No,$C1967)&gt;1,"⚠ piece number reused",""))))</f>
        <v/>
      </c>
      <c r="P1967" s="5" t="n"/>
    </row>
    <row r="1968">
      <c r="A1968" s="8">
        <f>IF(OR($B1968="",$C1968=""),"",IFERROR(INDEX(PM_Short,MATCH($B1968,PM_ID,0))&amp;"-"&amp;TEXT($C1968,"00"),"?? no such product"))</f>
        <v/>
      </c>
      <c r="B1968" s="5" t="n"/>
      <c r="C1968" s="5" t="n"/>
      <c r="D1968" s="8">
        <f>IF($B1968="","",IFERROR(INDEX(PM_Category,MATCH($B1968,PM_ID,0)),""))</f>
        <v/>
      </c>
      <c r="E1968" s="8">
        <f>IF($B1968="","",IFERROR(INDEX(PM_Subcategory,MATCH($B1968,PM_ID,0)),""))</f>
        <v/>
      </c>
      <c r="F1968" s="8">
        <f>IF($B1968="","",IFERROR(INDEX(PM_Brand,MATCH($B1968,PM_ID,0)),""))</f>
        <v/>
      </c>
      <c r="G1968" s="8">
        <f>IF($B1968="","",IFERROR(INDEX(PM_Model,MATCH($B1968,PM_ID,0)),""))</f>
        <v/>
      </c>
      <c r="H1968" s="5" t="n"/>
      <c r="I1968" s="10" t="n"/>
      <c r="J1968" s="9" t="n"/>
      <c r="K1968" s="5" t="n"/>
      <c r="L1968" s="5" t="n"/>
      <c r="M1968" s="5" t="n"/>
      <c r="N1968" s="5" t="n"/>
      <c r="O1968" s="8">
        <f>IF($B1968="","",IF(AND($A1968&lt;&gt;"",COUNTIF(INV_ID,$A1968)&gt;1),"⚠ this Unit ID already exists",IF(AND($H1968&lt;&gt;"",COUNTIF(INV_Serial,$H1968)&gt;1),"⚠ this serial already exists",IF(COUNTIFS(INV_Product,$B1968,INV_No,$C1968)&gt;1,"⚠ piece number reused",""))))</f>
        <v/>
      </c>
      <c r="P1968" s="5" t="n"/>
    </row>
    <row r="1969">
      <c r="A1969" s="8">
        <f>IF(OR($B1969="",$C1969=""),"",IFERROR(INDEX(PM_Short,MATCH($B1969,PM_ID,0))&amp;"-"&amp;TEXT($C1969,"00"),"?? no such product"))</f>
        <v/>
      </c>
      <c r="B1969" s="5" t="n"/>
      <c r="C1969" s="5" t="n"/>
      <c r="D1969" s="8">
        <f>IF($B1969="","",IFERROR(INDEX(PM_Category,MATCH($B1969,PM_ID,0)),""))</f>
        <v/>
      </c>
      <c r="E1969" s="8">
        <f>IF($B1969="","",IFERROR(INDEX(PM_Subcategory,MATCH($B1969,PM_ID,0)),""))</f>
        <v/>
      </c>
      <c r="F1969" s="8">
        <f>IF($B1969="","",IFERROR(INDEX(PM_Brand,MATCH($B1969,PM_ID,0)),""))</f>
        <v/>
      </c>
      <c r="G1969" s="8">
        <f>IF($B1969="","",IFERROR(INDEX(PM_Model,MATCH($B1969,PM_ID,0)),""))</f>
        <v/>
      </c>
      <c r="H1969" s="5" t="n"/>
      <c r="I1969" s="10" t="n"/>
      <c r="J1969" s="9" t="n"/>
      <c r="K1969" s="5" t="n"/>
      <c r="L1969" s="5" t="n"/>
      <c r="M1969" s="5" t="n"/>
      <c r="N1969" s="5" t="n"/>
      <c r="O1969" s="8">
        <f>IF($B1969="","",IF(AND($A1969&lt;&gt;"",COUNTIF(INV_ID,$A1969)&gt;1),"⚠ this Unit ID already exists",IF(AND($H1969&lt;&gt;"",COUNTIF(INV_Serial,$H1969)&gt;1),"⚠ this serial already exists",IF(COUNTIFS(INV_Product,$B1969,INV_No,$C1969)&gt;1,"⚠ piece number reused",""))))</f>
        <v/>
      </c>
      <c r="P1969" s="5" t="n"/>
    </row>
    <row r="1970">
      <c r="A1970" s="8">
        <f>IF(OR($B1970="",$C1970=""),"",IFERROR(INDEX(PM_Short,MATCH($B1970,PM_ID,0))&amp;"-"&amp;TEXT($C1970,"00"),"?? no such product"))</f>
        <v/>
      </c>
      <c r="B1970" s="5" t="n"/>
      <c r="C1970" s="5" t="n"/>
      <c r="D1970" s="8">
        <f>IF($B1970="","",IFERROR(INDEX(PM_Category,MATCH($B1970,PM_ID,0)),""))</f>
        <v/>
      </c>
      <c r="E1970" s="8">
        <f>IF($B1970="","",IFERROR(INDEX(PM_Subcategory,MATCH($B1970,PM_ID,0)),""))</f>
        <v/>
      </c>
      <c r="F1970" s="8">
        <f>IF($B1970="","",IFERROR(INDEX(PM_Brand,MATCH($B1970,PM_ID,0)),""))</f>
        <v/>
      </c>
      <c r="G1970" s="8">
        <f>IF($B1970="","",IFERROR(INDEX(PM_Model,MATCH($B1970,PM_ID,0)),""))</f>
        <v/>
      </c>
      <c r="H1970" s="5" t="n"/>
      <c r="I1970" s="10" t="n"/>
      <c r="J1970" s="9" t="n"/>
      <c r="K1970" s="5" t="n"/>
      <c r="L1970" s="5" t="n"/>
      <c r="M1970" s="5" t="n"/>
      <c r="N1970" s="5" t="n"/>
      <c r="O1970" s="8">
        <f>IF($B1970="","",IF(AND($A1970&lt;&gt;"",COUNTIF(INV_ID,$A1970)&gt;1),"⚠ this Unit ID already exists",IF(AND($H1970&lt;&gt;"",COUNTIF(INV_Serial,$H1970)&gt;1),"⚠ this serial already exists",IF(COUNTIFS(INV_Product,$B1970,INV_No,$C1970)&gt;1,"⚠ piece number reused",""))))</f>
        <v/>
      </c>
      <c r="P1970" s="5" t="n"/>
    </row>
    <row r="1971">
      <c r="A1971" s="8">
        <f>IF(OR($B1971="",$C1971=""),"",IFERROR(INDEX(PM_Short,MATCH($B1971,PM_ID,0))&amp;"-"&amp;TEXT($C1971,"00"),"?? no such product"))</f>
        <v/>
      </c>
      <c r="B1971" s="5" t="n"/>
      <c r="C1971" s="5" t="n"/>
      <c r="D1971" s="8">
        <f>IF($B1971="","",IFERROR(INDEX(PM_Category,MATCH($B1971,PM_ID,0)),""))</f>
        <v/>
      </c>
      <c r="E1971" s="8">
        <f>IF($B1971="","",IFERROR(INDEX(PM_Subcategory,MATCH($B1971,PM_ID,0)),""))</f>
        <v/>
      </c>
      <c r="F1971" s="8">
        <f>IF($B1971="","",IFERROR(INDEX(PM_Brand,MATCH($B1971,PM_ID,0)),""))</f>
        <v/>
      </c>
      <c r="G1971" s="8">
        <f>IF($B1971="","",IFERROR(INDEX(PM_Model,MATCH($B1971,PM_ID,0)),""))</f>
        <v/>
      </c>
      <c r="H1971" s="5" t="n"/>
      <c r="I1971" s="10" t="n"/>
      <c r="J1971" s="9" t="n"/>
      <c r="K1971" s="5" t="n"/>
      <c r="L1971" s="5" t="n"/>
      <c r="M1971" s="5" t="n"/>
      <c r="N1971" s="5" t="n"/>
      <c r="O1971" s="8">
        <f>IF($B1971="","",IF(AND($A1971&lt;&gt;"",COUNTIF(INV_ID,$A1971)&gt;1),"⚠ this Unit ID already exists",IF(AND($H1971&lt;&gt;"",COUNTIF(INV_Serial,$H1971)&gt;1),"⚠ this serial already exists",IF(COUNTIFS(INV_Product,$B1971,INV_No,$C1971)&gt;1,"⚠ piece number reused",""))))</f>
        <v/>
      </c>
      <c r="P1971" s="5" t="n"/>
    </row>
    <row r="1972">
      <c r="A1972" s="8">
        <f>IF(OR($B1972="",$C1972=""),"",IFERROR(INDEX(PM_Short,MATCH($B1972,PM_ID,0))&amp;"-"&amp;TEXT($C1972,"00"),"?? no such product"))</f>
        <v/>
      </c>
      <c r="B1972" s="5" t="n"/>
      <c r="C1972" s="5" t="n"/>
      <c r="D1972" s="8">
        <f>IF($B1972="","",IFERROR(INDEX(PM_Category,MATCH($B1972,PM_ID,0)),""))</f>
        <v/>
      </c>
      <c r="E1972" s="8">
        <f>IF($B1972="","",IFERROR(INDEX(PM_Subcategory,MATCH($B1972,PM_ID,0)),""))</f>
        <v/>
      </c>
      <c r="F1972" s="8">
        <f>IF($B1972="","",IFERROR(INDEX(PM_Brand,MATCH($B1972,PM_ID,0)),""))</f>
        <v/>
      </c>
      <c r="G1972" s="8">
        <f>IF($B1972="","",IFERROR(INDEX(PM_Model,MATCH($B1972,PM_ID,0)),""))</f>
        <v/>
      </c>
      <c r="H1972" s="5" t="n"/>
      <c r="I1972" s="10" t="n"/>
      <c r="J1972" s="9" t="n"/>
      <c r="K1972" s="5" t="n"/>
      <c r="L1972" s="5" t="n"/>
      <c r="M1972" s="5" t="n"/>
      <c r="N1972" s="5" t="n"/>
      <c r="O1972" s="8">
        <f>IF($B1972="","",IF(AND($A1972&lt;&gt;"",COUNTIF(INV_ID,$A1972)&gt;1),"⚠ this Unit ID already exists",IF(AND($H1972&lt;&gt;"",COUNTIF(INV_Serial,$H1972)&gt;1),"⚠ this serial already exists",IF(COUNTIFS(INV_Product,$B1972,INV_No,$C1972)&gt;1,"⚠ piece number reused",""))))</f>
        <v/>
      </c>
      <c r="P1972" s="5" t="n"/>
    </row>
    <row r="1973">
      <c r="A1973" s="8">
        <f>IF(OR($B1973="",$C1973=""),"",IFERROR(INDEX(PM_Short,MATCH($B1973,PM_ID,0))&amp;"-"&amp;TEXT($C1973,"00"),"?? no such product"))</f>
        <v/>
      </c>
      <c r="B1973" s="5" t="n"/>
      <c r="C1973" s="5" t="n"/>
      <c r="D1973" s="8">
        <f>IF($B1973="","",IFERROR(INDEX(PM_Category,MATCH($B1973,PM_ID,0)),""))</f>
        <v/>
      </c>
      <c r="E1973" s="8">
        <f>IF($B1973="","",IFERROR(INDEX(PM_Subcategory,MATCH($B1973,PM_ID,0)),""))</f>
        <v/>
      </c>
      <c r="F1973" s="8">
        <f>IF($B1973="","",IFERROR(INDEX(PM_Brand,MATCH($B1973,PM_ID,0)),""))</f>
        <v/>
      </c>
      <c r="G1973" s="8">
        <f>IF($B1973="","",IFERROR(INDEX(PM_Model,MATCH($B1973,PM_ID,0)),""))</f>
        <v/>
      </c>
      <c r="H1973" s="5" t="n"/>
      <c r="I1973" s="10" t="n"/>
      <c r="J1973" s="9" t="n"/>
      <c r="K1973" s="5" t="n"/>
      <c r="L1973" s="5" t="n"/>
      <c r="M1973" s="5" t="n"/>
      <c r="N1973" s="5" t="n"/>
      <c r="O1973" s="8">
        <f>IF($B1973="","",IF(AND($A1973&lt;&gt;"",COUNTIF(INV_ID,$A1973)&gt;1),"⚠ this Unit ID already exists",IF(AND($H1973&lt;&gt;"",COUNTIF(INV_Serial,$H1973)&gt;1),"⚠ this serial already exists",IF(COUNTIFS(INV_Product,$B1973,INV_No,$C1973)&gt;1,"⚠ piece number reused",""))))</f>
        <v/>
      </c>
      <c r="P1973" s="5" t="n"/>
    </row>
    <row r="1974">
      <c r="A1974" s="8">
        <f>IF(OR($B1974="",$C1974=""),"",IFERROR(INDEX(PM_Short,MATCH($B1974,PM_ID,0))&amp;"-"&amp;TEXT($C1974,"00"),"?? no such product"))</f>
        <v/>
      </c>
      <c r="B1974" s="5" t="n"/>
      <c r="C1974" s="5" t="n"/>
      <c r="D1974" s="8">
        <f>IF($B1974="","",IFERROR(INDEX(PM_Category,MATCH($B1974,PM_ID,0)),""))</f>
        <v/>
      </c>
      <c r="E1974" s="8">
        <f>IF($B1974="","",IFERROR(INDEX(PM_Subcategory,MATCH($B1974,PM_ID,0)),""))</f>
        <v/>
      </c>
      <c r="F1974" s="8">
        <f>IF($B1974="","",IFERROR(INDEX(PM_Brand,MATCH($B1974,PM_ID,0)),""))</f>
        <v/>
      </c>
      <c r="G1974" s="8">
        <f>IF($B1974="","",IFERROR(INDEX(PM_Model,MATCH($B1974,PM_ID,0)),""))</f>
        <v/>
      </c>
      <c r="H1974" s="5" t="n"/>
      <c r="I1974" s="10" t="n"/>
      <c r="J1974" s="9" t="n"/>
      <c r="K1974" s="5" t="n"/>
      <c r="L1974" s="5" t="n"/>
      <c r="M1974" s="5" t="n"/>
      <c r="N1974" s="5" t="n"/>
      <c r="O1974" s="8">
        <f>IF($B1974="","",IF(AND($A1974&lt;&gt;"",COUNTIF(INV_ID,$A1974)&gt;1),"⚠ this Unit ID already exists",IF(AND($H1974&lt;&gt;"",COUNTIF(INV_Serial,$H1974)&gt;1),"⚠ this serial already exists",IF(COUNTIFS(INV_Product,$B1974,INV_No,$C1974)&gt;1,"⚠ piece number reused",""))))</f>
        <v/>
      </c>
      <c r="P1974" s="5" t="n"/>
    </row>
    <row r="1975">
      <c r="A1975" s="8">
        <f>IF(OR($B1975="",$C1975=""),"",IFERROR(INDEX(PM_Short,MATCH($B1975,PM_ID,0))&amp;"-"&amp;TEXT($C1975,"00"),"?? no such product"))</f>
        <v/>
      </c>
      <c r="B1975" s="5" t="n"/>
      <c r="C1975" s="5" t="n"/>
      <c r="D1975" s="8">
        <f>IF($B1975="","",IFERROR(INDEX(PM_Category,MATCH($B1975,PM_ID,0)),""))</f>
        <v/>
      </c>
      <c r="E1975" s="8">
        <f>IF($B1975="","",IFERROR(INDEX(PM_Subcategory,MATCH($B1975,PM_ID,0)),""))</f>
        <v/>
      </c>
      <c r="F1975" s="8">
        <f>IF($B1975="","",IFERROR(INDEX(PM_Brand,MATCH($B1975,PM_ID,0)),""))</f>
        <v/>
      </c>
      <c r="G1975" s="8">
        <f>IF($B1975="","",IFERROR(INDEX(PM_Model,MATCH($B1975,PM_ID,0)),""))</f>
        <v/>
      </c>
      <c r="H1975" s="5" t="n"/>
      <c r="I1975" s="10" t="n"/>
      <c r="J1975" s="9" t="n"/>
      <c r="K1975" s="5" t="n"/>
      <c r="L1975" s="5" t="n"/>
      <c r="M1975" s="5" t="n"/>
      <c r="N1975" s="5" t="n"/>
      <c r="O1975" s="8">
        <f>IF($B1975="","",IF(AND($A1975&lt;&gt;"",COUNTIF(INV_ID,$A1975)&gt;1),"⚠ this Unit ID already exists",IF(AND($H1975&lt;&gt;"",COUNTIF(INV_Serial,$H1975)&gt;1),"⚠ this serial already exists",IF(COUNTIFS(INV_Product,$B1975,INV_No,$C1975)&gt;1,"⚠ piece number reused",""))))</f>
        <v/>
      </c>
      <c r="P1975" s="5" t="n"/>
    </row>
    <row r="1976">
      <c r="A1976" s="8">
        <f>IF(OR($B1976="",$C1976=""),"",IFERROR(INDEX(PM_Short,MATCH($B1976,PM_ID,0))&amp;"-"&amp;TEXT($C1976,"00"),"?? no such product"))</f>
        <v/>
      </c>
      <c r="B1976" s="5" t="n"/>
      <c r="C1976" s="5" t="n"/>
      <c r="D1976" s="8">
        <f>IF($B1976="","",IFERROR(INDEX(PM_Category,MATCH($B1976,PM_ID,0)),""))</f>
        <v/>
      </c>
      <c r="E1976" s="8">
        <f>IF($B1976="","",IFERROR(INDEX(PM_Subcategory,MATCH($B1976,PM_ID,0)),""))</f>
        <v/>
      </c>
      <c r="F1976" s="8">
        <f>IF($B1976="","",IFERROR(INDEX(PM_Brand,MATCH($B1976,PM_ID,0)),""))</f>
        <v/>
      </c>
      <c r="G1976" s="8">
        <f>IF($B1976="","",IFERROR(INDEX(PM_Model,MATCH($B1976,PM_ID,0)),""))</f>
        <v/>
      </c>
      <c r="H1976" s="5" t="n"/>
      <c r="I1976" s="10" t="n"/>
      <c r="J1976" s="9" t="n"/>
      <c r="K1976" s="5" t="n"/>
      <c r="L1976" s="5" t="n"/>
      <c r="M1976" s="5" t="n"/>
      <c r="N1976" s="5" t="n"/>
      <c r="O1976" s="8">
        <f>IF($B1976="","",IF(AND($A1976&lt;&gt;"",COUNTIF(INV_ID,$A1976)&gt;1),"⚠ this Unit ID already exists",IF(AND($H1976&lt;&gt;"",COUNTIF(INV_Serial,$H1976)&gt;1),"⚠ this serial already exists",IF(COUNTIFS(INV_Product,$B1976,INV_No,$C1976)&gt;1,"⚠ piece number reused",""))))</f>
        <v/>
      </c>
      <c r="P1976" s="5" t="n"/>
    </row>
    <row r="1977">
      <c r="A1977" s="8">
        <f>IF(OR($B1977="",$C1977=""),"",IFERROR(INDEX(PM_Short,MATCH($B1977,PM_ID,0))&amp;"-"&amp;TEXT($C1977,"00"),"?? no such product"))</f>
        <v/>
      </c>
      <c r="B1977" s="5" t="n"/>
      <c r="C1977" s="5" t="n"/>
      <c r="D1977" s="8">
        <f>IF($B1977="","",IFERROR(INDEX(PM_Category,MATCH($B1977,PM_ID,0)),""))</f>
        <v/>
      </c>
      <c r="E1977" s="8">
        <f>IF($B1977="","",IFERROR(INDEX(PM_Subcategory,MATCH($B1977,PM_ID,0)),""))</f>
        <v/>
      </c>
      <c r="F1977" s="8">
        <f>IF($B1977="","",IFERROR(INDEX(PM_Brand,MATCH($B1977,PM_ID,0)),""))</f>
        <v/>
      </c>
      <c r="G1977" s="8">
        <f>IF($B1977="","",IFERROR(INDEX(PM_Model,MATCH($B1977,PM_ID,0)),""))</f>
        <v/>
      </c>
      <c r="H1977" s="5" t="n"/>
      <c r="I1977" s="10" t="n"/>
      <c r="J1977" s="9" t="n"/>
      <c r="K1977" s="5" t="n"/>
      <c r="L1977" s="5" t="n"/>
      <c r="M1977" s="5" t="n"/>
      <c r="N1977" s="5" t="n"/>
      <c r="O1977" s="8">
        <f>IF($B1977="","",IF(AND($A1977&lt;&gt;"",COUNTIF(INV_ID,$A1977)&gt;1),"⚠ this Unit ID already exists",IF(AND($H1977&lt;&gt;"",COUNTIF(INV_Serial,$H1977)&gt;1),"⚠ this serial already exists",IF(COUNTIFS(INV_Product,$B1977,INV_No,$C1977)&gt;1,"⚠ piece number reused",""))))</f>
        <v/>
      </c>
      <c r="P1977" s="5" t="n"/>
    </row>
    <row r="1978">
      <c r="A1978" s="8">
        <f>IF(OR($B1978="",$C1978=""),"",IFERROR(INDEX(PM_Short,MATCH($B1978,PM_ID,0))&amp;"-"&amp;TEXT($C1978,"00"),"?? no such product"))</f>
        <v/>
      </c>
      <c r="B1978" s="5" t="n"/>
      <c r="C1978" s="5" t="n"/>
      <c r="D1978" s="8">
        <f>IF($B1978="","",IFERROR(INDEX(PM_Category,MATCH($B1978,PM_ID,0)),""))</f>
        <v/>
      </c>
      <c r="E1978" s="8">
        <f>IF($B1978="","",IFERROR(INDEX(PM_Subcategory,MATCH($B1978,PM_ID,0)),""))</f>
        <v/>
      </c>
      <c r="F1978" s="8">
        <f>IF($B1978="","",IFERROR(INDEX(PM_Brand,MATCH($B1978,PM_ID,0)),""))</f>
        <v/>
      </c>
      <c r="G1978" s="8">
        <f>IF($B1978="","",IFERROR(INDEX(PM_Model,MATCH($B1978,PM_ID,0)),""))</f>
        <v/>
      </c>
      <c r="H1978" s="5" t="n"/>
      <c r="I1978" s="10" t="n"/>
      <c r="J1978" s="9" t="n"/>
      <c r="K1978" s="5" t="n"/>
      <c r="L1978" s="5" t="n"/>
      <c r="M1978" s="5" t="n"/>
      <c r="N1978" s="5" t="n"/>
      <c r="O1978" s="8">
        <f>IF($B1978="","",IF(AND($A1978&lt;&gt;"",COUNTIF(INV_ID,$A1978)&gt;1),"⚠ this Unit ID already exists",IF(AND($H1978&lt;&gt;"",COUNTIF(INV_Serial,$H1978)&gt;1),"⚠ this serial already exists",IF(COUNTIFS(INV_Product,$B1978,INV_No,$C1978)&gt;1,"⚠ piece number reused",""))))</f>
        <v/>
      </c>
      <c r="P1978" s="5" t="n"/>
    </row>
    <row r="1979">
      <c r="A1979" s="8">
        <f>IF(OR($B1979="",$C1979=""),"",IFERROR(INDEX(PM_Short,MATCH($B1979,PM_ID,0))&amp;"-"&amp;TEXT($C1979,"00"),"?? no such product"))</f>
        <v/>
      </c>
      <c r="B1979" s="5" t="n"/>
      <c r="C1979" s="5" t="n"/>
      <c r="D1979" s="8">
        <f>IF($B1979="","",IFERROR(INDEX(PM_Category,MATCH($B1979,PM_ID,0)),""))</f>
        <v/>
      </c>
      <c r="E1979" s="8">
        <f>IF($B1979="","",IFERROR(INDEX(PM_Subcategory,MATCH($B1979,PM_ID,0)),""))</f>
        <v/>
      </c>
      <c r="F1979" s="8">
        <f>IF($B1979="","",IFERROR(INDEX(PM_Brand,MATCH($B1979,PM_ID,0)),""))</f>
        <v/>
      </c>
      <c r="G1979" s="8">
        <f>IF($B1979="","",IFERROR(INDEX(PM_Model,MATCH($B1979,PM_ID,0)),""))</f>
        <v/>
      </c>
      <c r="H1979" s="5" t="n"/>
      <c r="I1979" s="10" t="n"/>
      <c r="J1979" s="9" t="n"/>
      <c r="K1979" s="5" t="n"/>
      <c r="L1979" s="5" t="n"/>
      <c r="M1979" s="5" t="n"/>
      <c r="N1979" s="5" t="n"/>
      <c r="O1979" s="8">
        <f>IF($B1979="","",IF(AND($A1979&lt;&gt;"",COUNTIF(INV_ID,$A1979)&gt;1),"⚠ this Unit ID already exists",IF(AND($H1979&lt;&gt;"",COUNTIF(INV_Serial,$H1979)&gt;1),"⚠ this serial already exists",IF(COUNTIFS(INV_Product,$B1979,INV_No,$C1979)&gt;1,"⚠ piece number reused",""))))</f>
        <v/>
      </c>
      <c r="P1979" s="5" t="n"/>
    </row>
    <row r="1980">
      <c r="A1980" s="8">
        <f>IF(OR($B1980="",$C1980=""),"",IFERROR(INDEX(PM_Short,MATCH($B1980,PM_ID,0))&amp;"-"&amp;TEXT($C1980,"00"),"?? no such product"))</f>
        <v/>
      </c>
      <c r="B1980" s="5" t="n"/>
      <c r="C1980" s="5" t="n"/>
      <c r="D1980" s="8">
        <f>IF($B1980="","",IFERROR(INDEX(PM_Category,MATCH($B1980,PM_ID,0)),""))</f>
        <v/>
      </c>
      <c r="E1980" s="8">
        <f>IF($B1980="","",IFERROR(INDEX(PM_Subcategory,MATCH($B1980,PM_ID,0)),""))</f>
        <v/>
      </c>
      <c r="F1980" s="8">
        <f>IF($B1980="","",IFERROR(INDEX(PM_Brand,MATCH($B1980,PM_ID,0)),""))</f>
        <v/>
      </c>
      <c r="G1980" s="8">
        <f>IF($B1980="","",IFERROR(INDEX(PM_Model,MATCH($B1980,PM_ID,0)),""))</f>
        <v/>
      </c>
      <c r="H1980" s="5" t="n"/>
      <c r="I1980" s="10" t="n"/>
      <c r="J1980" s="9" t="n"/>
      <c r="K1980" s="5" t="n"/>
      <c r="L1980" s="5" t="n"/>
      <c r="M1980" s="5" t="n"/>
      <c r="N1980" s="5" t="n"/>
      <c r="O1980" s="8">
        <f>IF($B1980="","",IF(AND($A1980&lt;&gt;"",COUNTIF(INV_ID,$A1980)&gt;1),"⚠ this Unit ID already exists",IF(AND($H1980&lt;&gt;"",COUNTIF(INV_Serial,$H1980)&gt;1),"⚠ this serial already exists",IF(COUNTIFS(INV_Product,$B1980,INV_No,$C1980)&gt;1,"⚠ piece number reused",""))))</f>
        <v/>
      </c>
      <c r="P1980" s="5" t="n"/>
    </row>
    <row r="1981">
      <c r="A1981" s="8">
        <f>IF(OR($B1981="",$C1981=""),"",IFERROR(INDEX(PM_Short,MATCH($B1981,PM_ID,0))&amp;"-"&amp;TEXT($C1981,"00"),"?? no such product"))</f>
        <v/>
      </c>
      <c r="B1981" s="5" t="n"/>
      <c r="C1981" s="5" t="n"/>
      <c r="D1981" s="8">
        <f>IF($B1981="","",IFERROR(INDEX(PM_Category,MATCH($B1981,PM_ID,0)),""))</f>
        <v/>
      </c>
      <c r="E1981" s="8">
        <f>IF($B1981="","",IFERROR(INDEX(PM_Subcategory,MATCH($B1981,PM_ID,0)),""))</f>
        <v/>
      </c>
      <c r="F1981" s="8">
        <f>IF($B1981="","",IFERROR(INDEX(PM_Brand,MATCH($B1981,PM_ID,0)),""))</f>
        <v/>
      </c>
      <c r="G1981" s="8">
        <f>IF($B1981="","",IFERROR(INDEX(PM_Model,MATCH($B1981,PM_ID,0)),""))</f>
        <v/>
      </c>
      <c r="H1981" s="5" t="n"/>
      <c r="I1981" s="10" t="n"/>
      <c r="J1981" s="9" t="n"/>
      <c r="K1981" s="5" t="n"/>
      <c r="L1981" s="5" t="n"/>
      <c r="M1981" s="5" t="n"/>
      <c r="N1981" s="5" t="n"/>
      <c r="O1981" s="8">
        <f>IF($B1981="","",IF(AND($A1981&lt;&gt;"",COUNTIF(INV_ID,$A1981)&gt;1),"⚠ this Unit ID already exists",IF(AND($H1981&lt;&gt;"",COUNTIF(INV_Serial,$H1981)&gt;1),"⚠ this serial already exists",IF(COUNTIFS(INV_Product,$B1981,INV_No,$C1981)&gt;1,"⚠ piece number reused",""))))</f>
        <v/>
      </c>
      <c r="P1981" s="5" t="n"/>
    </row>
    <row r="1982">
      <c r="A1982" s="8">
        <f>IF(OR($B1982="",$C1982=""),"",IFERROR(INDEX(PM_Short,MATCH($B1982,PM_ID,0))&amp;"-"&amp;TEXT($C1982,"00"),"?? no such product"))</f>
        <v/>
      </c>
      <c r="B1982" s="5" t="n"/>
      <c r="C1982" s="5" t="n"/>
      <c r="D1982" s="8">
        <f>IF($B1982="","",IFERROR(INDEX(PM_Category,MATCH($B1982,PM_ID,0)),""))</f>
        <v/>
      </c>
      <c r="E1982" s="8">
        <f>IF($B1982="","",IFERROR(INDEX(PM_Subcategory,MATCH($B1982,PM_ID,0)),""))</f>
        <v/>
      </c>
      <c r="F1982" s="8">
        <f>IF($B1982="","",IFERROR(INDEX(PM_Brand,MATCH($B1982,PM_ID,0)),""))</f>
        <v/>
      </c>
      <c r="G1982" s="8">
        <f>IF($B1982="","",IFERROR(INDEX(PM_Model,MATCH($B1982,PM_ID,0)),""))</f>
        <v/>
      </c>
      <c r="H1982" s="5" t="n"/>
      <c r="I1982" s="10" t="n"/>
      <c r="J1982" s="9" t="n"/>
      <c r="K1982" s="5" t="n"/>
      <c r="L1982" s="5" t="n"/>
      <c r="M1982" s="5" t="n"/>
      <c r="N1982" s="5" t="n"/>
      <c r="O1982" s="8">
        <f>IF($B1982="","",IF(AND($A1982&lt;&gt;"",COUNTIF(INV_ID,$A1982)&gt;1),"⚠ this Unit ID already exists",IF(AND($H1982&lt;&gt;"",COUNTIF(INV_Serial,$H1982)&gt;1),"⚠ this serial already exists",IF(COUNTIFS(INV_Product,$B1982,INV_No,$C1982)&gt;1,"⚠ piece number reused",""))))</f>
        <v/>
      </c>
      <c r="P1982" s="5" t="n"/>
    </row>
    <row r="1983">
      <c r="A1983" s="8">
        <f>IF(OR($B1983="",$C1983=""),"",IFERROR(INDEX(PM_Short,MATCH($B1983,PM_ID,0))&amp;"-"&amp;TEXT($C1983,"00"),"?? no such product"))</f>
        <v/>
      </c>
      <c r="B1983" s="5" t="n"/>
      <c r="C1983" s="5" t="n"/>
      <c r="D1983" s="8">
        <f>IF($B1983="","",IFERROR(INDEX(PM_Category,MATCH($B1983,PM_ID,0)),""))</f>
        <v/>
      </c>
      <c r="E1983" s="8">
        <f>IF($B1983="","",IFERROR(INDEX(PM_Subcategory,MATCH($B1983,PM_ID,0)),""))</f>
        <v/>
      </c>
      <c r="F1983" s="8">
        <f>IF($B1983="","",IFERROR(INDEX(PM_Brand,MATCH($B1983,PM_ID,0)),""))</f>
        <v/>
      </c>
      <c r="G1983" s="8">
        <f>IF($B1983="","",IFERROR(INDEX(PM_Model,MATCH($B1983,PM_ID,0)),""))</f>
        <v/>
      </c>
      <c r="H1983" s="5" t="n"/>
      <c r="I1983" s="10" t="n"/>
      <c r="J1983" s="9" t="n"/>
      <c r="K1983" s="5" t="n"/>
      <c r="L1983" s="5" t="n"/>
      <c r="M1983" s="5" t="n"/>
      <c r="N1983" s="5" t="n"/>
      <c r="O1983" s="8">
        <f>IF($B1983="","",IF(AND($A1983&lt;&gt;"",COUNTIF(INV_ID,$A1983)&gt;1),"⚠ this Unit ID already exists",IF(AND($H1983&lt;&gt;"",COUNTIF(INV_Serial,$H1983)&gt;1),"⚠ this serial already exists",IF(COUNTIFS(INV_Product,$B1983,INV_No,$C1983)&gt;1,"⚠ piece number reused",""))))</f>
        <v/>
      </c>
      <c r="P1983" s="5" t="n"/>
    </row>
    <row r="1984">
      <c r="A1984" s="8">
        <f>IF(OR($B1984="",$C1984=""),"",IFERROR(INDEX(PM_Short,MATCH($B1984,PM_ID,0))&amp;"-"&amp;TEXT($C1984,"00"),"?? no such product"))</f>
        <v/>
      </c>
      <c r="B1984" s="5" t="n"/>
      <c r="C1984" s="5" t="n"/>
      <c r="D1984" s="8">
        <f>IF($B1984="","",IFERROR(INDEX(PM_Category,MATCH($B1984,PM_ID,0)),""))</f>
        <v/>
      </c>
      <c r="E1984" s="8">
        <f>IF($B1984="","",IFERROR(INDEX(PM_Subcategory,MATCH($B1984,PM_ID,0)),""))</f>
        <v/>
      </c>
      <c r="F1984" s="8">
        <f>IF($B1984="","",IFERROR(INDEX(PM_Brand,MATCH($B1984,PM_ID,0)),""))</f>
        <v/>
      </c>
      <c r="G1984" s="8">
        <f>IF($B1984="","",IFERROR(INDEX(PM_Model,MATCH($B1984,PM_ID,0)),""))</f>
        <v/>
      </c>
      <c r="H1984" s="5" t="n"/>
      <c r="I1984" s="10" t="n"/>
      <c r="J1984" s="9" t="n"/>
      <c r="K1984" s="5" t="n"/>
      <c r="L1984" s="5" t="n"/>
      <c r="M1984" s="5" t="n"/>
      <c r="N1984" s="5" t="n"/>
      <c r="O1984" s="8">
        <f>IF($B1984="","",IF(AND($A1984&lt;&gt;"",COUNTIF(INV_ID,$A1984)&gt;1),"⚠ this Unit ID already exists",IF(AND($H1984&lt;&gt;"",COUNTIF(INV_Serial,$H1984)&gt;1),"⚠ this serial already exists",IF(COUNTIFS(INV_Product,$B1984,INV_No,$C1984)&gt;1,"⚠ piece number reused",""))))</f>
        <v/>
      </c>
      <c r="P1984" s="5" t="n"/>
    </row>
    <row r="1985">
      <c r="A1985" s="8">
        <f>IF(OR($B1985="",$C1985=""),"",IFERROR(INDEX(PM_Short,MATCH($B1985,PM_ID,0))&amp;"-"&amp;TEXT($C1985,"00"),"?? no such product"))</f>
        <v/>
      </c>
      <c r="B1985" s="5" t="n"/>
      <c r="C1985" s="5" t="n"/>
      <c r="D1985" s="8">
        <f>IF($B1985="","",IFERROR(INDEX(PM_Category,MATCH($B1985,PM_ID,0)),""))</f>
        <v/>
      </c>
      <c r="E1985" s="8">
        <f>IF($B1985="","",IFERROR(INDEX(PM_Subcategory,MATCH($B1985,PM_ID,0)),""))</f>
        <v/>
      </c>
      <c r="F1985" s="8">
        <f>IF($B1985="","",IFERROR(INDEX(PM_Brand,MATCH($B1985,PM_ID,0)),""))</f>
        <v/>
      </c>
      <c r="G1985" s="8">
        <f>IF($B1985="","",IFERROR(INDEX(PM_Model,MATCH($B1985,PM_ID,0)),""))</f>
        <v/>
      </c>
      <c r="H1985" s="5" t="n"/>
      <c r="I1985" s="10" t="n"/>
      <c r="J1985" s="9" t="n"/>
      <c r="K1985" s="5" t="n"/>
      <c r="L1985" s="5" t="n"/>
      <c r="M1985" s="5" t="n"/>
      <c r="N1985" s="5" t="n"/>
      <c r="O1985" s="8">
        <f>IF($B1985="","",IF(AND($A1985&lt;&gt;"",COUNTIF(INV_ID,$A1985)&gt;1),"⚠ this Unit ID already exists",IF(AND($H1985&lt;&gt;"",COUNTIF(INV_Serial,$H1985)&gt;1),"⚠ this serial already exists",IF(COUNTIFS(INV_Product,$B1985,INV_No,$C1985)&gt;1,"⚠ piece number reused",""))))</f>
        <v/>
      </c>
      <c r="P1985" s="5" t="n"/>
    </row>
    <row r="1986">
      <c r="A1986" s="8">
        <f>IF(OR($B1986="",$C1986=""),"",IFERROR(INDEX(PM_Short,MATCH($B1986,PM_ID,0))&amp;"-"&amp;TEXT($C1986,"00"),"?? no such product"))</f>
        <v/>
      </c>
      <c r="B1986" s="5" t="n"/>
      <c r="C1986" s="5" t="n"/>
      <c r="D1986" s="8">
        <f>IF($B1986="","",IFERROR(INDEX(PM_Category,MATCH($B1986,PM_ID,0)),""))</f>
        <v/>
      </c>
      <c r="E1986" s="8">
        <f>IF($B1986="","",IFERROR(INDEX(PM_Subcategory,MATCH($B1986,PM_ID,0)),""))</f>
        <v/>
      </c>
      <c r="F1986" s="8">
        <f>IF($B1986="","",IFERROR(INDEX(PM_Brand,MATCH($B1986,PM_ID,0)),""))</f>
        <v/>
      </c>
      <c r="G1986" s="8">
        <f>IF($B1986="","",IFERROR(INDEX(PM_Model,MATCH($B1986,PM_ID,0)),""))</f>
        <v/>
      </c>
      <c r="H1986" s="5" t="n"/>
      <c r="I1986" s="10" t="n"/>
      <c r="J1986" s="9" t="n"/>
      <c r="K1986" s="5" t="n"/>
      <c r="L1986" s="5" t="n"/>
      <c r="M1986" s="5" t="n"/>
      <c r="N1986" s="5" t="n"/>
      <c r="O1986" s="8">
        <f>IF($B1986="","",IF(AND($A1986&lt;&gt;"",COUNTIF(INV_ID,$A1986)&gt;1),"⚠ this Unit ID already exists",IF(AND($H1986&lt;&gt;"",COUNTIF(INV_Serial,$H1986)&gt;1),"⚠ this serial already exists",IF(COUNTIFS(INV_Product,$B1986,INV_No,$C1986)&gt;1,"⚠ piece number reused",""))))</f>
        <v/>
      </c>
      <c r="P1986" s="5" t="n"/>
    </row>
    <row r="1987">
      <c r="A1987" s="8">
        <f>IF(OR($B1987="",$C1987=""),"",IFERROR(INDEX(PM_Short,MATCH($B1987,PM_ID,0))&amp;"-"&amp;TEXT($C1987,"00"),"?? no such product"))</f>
        <v/>
      </c>
      <c r="B1987" s="5" t="n"/>
      <c r="C1987" s="5" t="n"/>
      <c r="D1987" s="8">
        <f>IF($B1987="","",IFERROR(INDEX(PM_Category,MATCH($B1987,PM_ID,0)),""))</f>
        <v/>
      </c>
      <c r="E1987" s="8">
        <f>IF($B1987="","",IFERROR(INDEX(PM_Subcategory,MATCH($B1987,PM_ID,0)),""))</f>
        <v/>
      </c>
      <c r="F1987" s="8">
        <f>IF($B1987="","",IFERROR(INDEX(PM_Brand,MATCH($B1987,PM_ID,0)),""))</f>
        <v/>
      </c>
      <c r="G1987" s="8">
        <f>IF($B1987="","",IFERROR(INDEX(PM_Model,MATCH($B1987,PM_ID,0)),""))</f>
        <v/>
      </c>
      <c r="H1987" s="5" t="n"/>
      <c r="I1987" s="10" t="n"/>
      <c r="J1987" s="9" t="n"/>
      <c r="K1987" s="5" t="n"/>
      <c r="L1987" s="5" t="n"/>
      <c r="M1987" s="5" t="n"/>
      <c r="N1987" s="5" t="n"/>
      <c r="O1987" s="8">
        <f>IF($B1987="","",IF(AND($A1987&lt;&gt;"",COUNTIF(INV_ID,$A1987)&gt;1),"⚠ this Unit ID already exists",IF(AND($H1987&lt;&gt;"",COUNTIF(INV_Serial,$H1987)&gt;1),"⚠ this serial already exists",IF(COUNTIFS(INV_Product,$B1987,INV_No,$C1987)&gt;1,"⚠ piece number reused",""))))</f>
        <v/>
      </c>
      <c r="P1987" s="5" t="n"/>
    </row>
    <row r="1988">
      <c r="A1988" s="8">
        <f>IF(OR($B1988="",$C1988=""),"",IFERROR(INDEX(PM_Short,MATCH($B1988,PM_ID,0))&amp;"-"&amp;TEXT($C1988,"00"),"?? no such product"))</f>
        <v/>
      </c>
      <c r="B1988" s="5" t="n"/>
      <c r="C1988" s="5" t="n"/>
      <c r="D1988" s="8">
        <f>IF($B1988="","",IFERROR(INDEX(PM_Category,MATCH($B1988,PM_ID,0)),""))</f>
        <v/>
      </c>
      <c r="E1988" s="8">
        <f>IF($B1988="","",IFERROR(INDEX(PM_Subcategory,MATCH($B1988,PM_ID,0)),""))</f>
        <v/>
      </c>
      <c r="F1988" s="8">
        <f>IF($B1988="","",IFERROR(INDEX(PM_Brand,MATCH($B1988,PM_ID,0)),""))</f>
        <v/>
      </c>
      <c r="G1988" s="8">
        <f>IF($B1988="","",IFERROR(INDEX(PM_Model,MATCH($B1988,PM_ID,0)),""))</f>
        <v/>
      </c>
      <c r="H1988" s="5" t="n"/>
      <c r="I1988" s="10" t="n"/>
      <c r="J1988" s="9" t="n"/>
      <c r="K1988" s="5" t="n"/>
      <c r="L1988" s="5" t="n"/>
      <c r="M1988" s="5" t="n"/>
      <c r="N1988" s="5" t="n"/>
      <c r="O1988" s="8">
        <f>IF($B1988="","",IF(AND($A1988&lt;&gt;"",COUNTIF(INV_ID,$A1988)&gt;1),"⚠ this Unit ID already exists",IF(AND($H1988&lt;&gt;"",COUNTIF(INV_Serial,$H1988)&gt;1),"⚠ this serial already exists",IF(COUNTIFS(INV_Product,$B1988,INV_No,$C1988)&gt;1,"⚠ piece number reused",""))))</f>
        <v/>
      </c>
      <c r="P1988" s="5" t="n"/>
    </row>
    <row r="1989">
      <c r="A1989" s="8">
        <f>IF(OR($B1989="",$C1989=""),"",IFERROR(INDEX(PM_Short,MATCH($B1989,PM_ID,0))&amp;"-"&amp;TEXT($C1989,"00"),"?? no such product"))</f>
        <v/>
      </c>
      <c r="B1989" s="5" t="n"/>
      <c r="C1989" s="5" t="n"/>
      <c r="D1989" s="8">
        <f>IF($B1989="","",IFERROR(INDEX(PM_Category,MATCH($B1989,PM_ID,0)),""))</f>
        <v/>
      </c>
      <c r="E1989" s="8">
        <f>IF($B1989="","",IFERROR(INDEX(PM_Subcategory,MATCH($B1989,PM_ID,0)),""))</f>
        <v/>
      </c>
      <c r="F1989" s="8">
        <f>IF($B1989="","",IFERROR(INDEX(PM_Brand,MATCH($B1989,PM_ID,0)),""))</f>
        <v/>
      </c>
      <c r="G1989" s="8">
        <f>IF($B1989="","",IFERROR(INDEX(PM_Model,MATCH($B1989,PM_ID,0)),""))</f>
        <v/>
      </c>
      <c r="H1989" s="5" t="n"/>
      <c r="I1989" s="10" t="n"/>
      <c r="J1989" s="9" t="n"/>
      <c r="K1989" s="5" t="n"/>
      <c r="L1989" s="5" t="n"/>
      <c r="M1989" s="5" t="n"/>
      <c r="N1989" s="5" t="n"/>
      <c r="O1989" s="8">
        <f>IF($B1989="","",IF(AND($A1989&lt;&gt;"",COUNTIF(INV_ID,$A1989)&gt;1),"⚠ this Unit ID already exists",IF(AND($H1989&lt;&gt;"",COUNTIF(INV_Serial,$H1989)&gt;1),"⚠ this serial already exists",IF(COUNTIFS(INV_Product,$B1989,INV_No,$C1989)&gt;1,"⚠ piece number reused",""))))</f>
        <v/>
      </c>
      <c r="P1989" s="5" t="n"/>
    </row>
    <row r="1990">
      <c r="A1990" s="8">
        <f>IF(OR($B1990="",$C1990=""),"",IFERROR(INDEX(PM_Short,MATCH($B1990,PM_ID,0))&amp;"-"&amp;TEXT($C1990,"00"),"?? no such product"))</f>
        <v/>
      </c>
      <c r="B1990" s="5" t="n"/>
      <c r="C1990" s="5" t="n"/>
      <c r="D1990" s="8">
        <f>IF($B1990="","",IFERROR(INDEX(PM_Category,MATCH($B1990,PM_ID,0)),""))</f>
        <v/>
      </c>
      <c r="E1990" s="8">
        <f>IF($B1990="","",IFERROR(INDEX(PM_Subcategory,MATCH($B1990,PM_ID,0)),""))</f>
        <v/>
      </c>
      <c r="F1990" s="8">
        <f>IF($B1990="","",IFERROR(INDEX(PM_Brand,MATCH($B1990,PM_ID,0)),""))</f>
        <v/>
      </c>
      <c r="G1990" s="8">
        <f>IF($B1990="","",IFERROR(INDEX(PM_Model,MATCH($B1990,PM_ID,0)),""))</f>
        <v/>
      </c>
      <c r="H1990" s="5" t="n"/>
      <c r="I1990" s="10" t="n"/>
      <c r="J1990" s="9" t="n"/>
      <c r="K1990" s="5" t="n"/>
      <c r="L1990" s="5" t="n"/>
      <c r="M1990" s="5" t="n"/>
      <c r="N1990" s="5" t="n"/>
      <c r="O1990" s="8">
        <f>IF($B1990="","",IF(AND($A1990&lt;&gt;"",COUNTIF(INV_ID,$A1990)&gt;1),"⚠ this Unit ID already exists",IF(AND($H1990&lt;&gt;"",COUNTIF(INV_Serial,$H1990)&gt;1),"⚠ this serial already exists",IF(COUNTIFS(INV_Product,$B1990,INV_No,$C1990)&gt;1,"⚠ piece number reused",""))))</f>
        <v/>
      </c>
      <c r="P1990" s="5" t="n"/>
    </row>
    <row r="1991">
      <c r="A1991" s="8">
        <f>IF(OR($B1991="",$C1991=""),"",IFERROR(INDEX(PM_Short,MATCH($B1991,PM_ID,0))&amp;"-"&amp;TEXT($C1991,"00"),"?? no such product"))</f>
        <v/>
      </c>
      <c r="B1991" s="5" t="n"/>
      <c r="C1991" s="5" t="n"/>
      <c r="D1991" s="8">
        <f>IF($B1991="","",IFERROR(INDEX(PM_Category,MATCH($B1991,PM_ID,0)),""))</f>
        <v/>
      </c>
      <c r="E1991" s="8">
        <f>IF($B1991="","",IFERROR(INDEX(PM_Subcategory,MATCH($B1991,PM_ID,0)),""))</f>
        <v/>
      </c>
      <c r="F1991" s="8">
        <f>IF($B1991="","",IFERROR(INDEX(PM_Brand,MATCH($B1991,PM_ID,0)),""))</f>
        <v/>
      </c>
      <c r="G1991" s="8">
        <f>IF($B1991="","",IFERROR(INDEX(PM_Model,MATCH($B1991,PM_ID,0)),""))</f>
        <v/>
      </c>
      <c r="H1991" s="5" t="n"/>
      <c r="I1991" s="10" t="n"/>
      <c r="J1991" s="9" t="n"/>
      <c r="K1991" s="5" t="n"/>
      <c r="L1991" s="5" t="n"/>
      <c r="M1991" s="5" t="n"/>
      <c r="N1991" s="5" t="n"/>
      <c r="O1991" s="8">
        <f>IF($B1991="","",IF(AND($A1991&lt;&gt;"",COUNTIF(INV_ID,$A1991)&gt;1),"⚠ this Unit ID already exists",IF(AND($H1991&lt;&gt;"",COUNTIF(INV_Serial,$H1991)&gt;1),"⚠ this serial already exists",IF(COUNTIFS(INV_Product,$B1991,INV_No,$C1991)&gt;1,"⚠ piece number reused",""))))</f>
        <v/>
      </c>
      <c r="P1991" s="5" t="n"/>
    </row>
    <row r="1992">
      <c r="A1992" s="8">
        <f>IF(OR($B1992="",$C1992=""),"",IFERROR(INDEX(PM_Short,MATCH($B1992,PM_ID,0))&amp;"-"&amp;TEXT($C1992,"00"),"?? no such product"))</f>
        <v/>
      </c>
      <c r="B1992" s="5" t="n"/>
      <c r="C1992" s="5" t="n"/>
      <c r="D1992" s="8">
        <f>IF($B1992="","",IFERROR(INDEX(PM_Category,MATCH($B1992,PM_ID,0)),""))</f>
        <v/>
      </c>
      <c r="E1992" s="8">
        <f>IF($B1992="","",IFERROR(INDEX(PM_Subcategory,MATCH($B1992,PM_ID,0)),""))</f>
        <v/>
      </c>
      <c r="F1992" s="8">
        <f>IF($B1992="","",IFERROR(INDEX(PM_Brand,MATCH($B1992,PM_ID,0)),""))</f>
        <v/>
      </c>
      <c r="G1992" s="8">
        <f>IF($B1992="","",IFERROR(INDEX(PM_Model,MATCH($B1992,PM_ID,0)),""))</f>
        <v/>
      </c>
      <c r="H1992" s="5" t="n"/>
      <c r="I1992" s="10" t="n"/>
      <c r="J1992" s="9" t="n"/>
      <c r="K1992" s="5" t="n"/>
      <c r="L1992" s="5" t="n"/>
      <c r="M1992" s="5" t="n"/>
      <c r="N1992" s="5" t="n"/>
      <c r="O1992" s="8">
        <f>IF($B1992="","",IF(AND($A1992&lt;&gt;"",COUNTIF(INV_ID,$A1992)&gt;1),"⚠ this Unit ID already exists",IF(AND($H1992&lt;&gt;"",COUNTIF(INV_Serial,$H1992)&gt;1),"⚠ this serial already exists",IF(COUNTIFS(INV_Product,$B1992,INV_No,$C1992)&gt;1,"⚠ piece number reused",""))))</f>
        <v/>
      </c>
      <c r="P1992" s="5" t="n"/>
    </row>
    <row r="1993">
      <c r="A1993" s="8">
        <f>IF(OR($B1993="",$C1993=""),"",IFERROR(INDEX(PM_Short,MATCH($B1993,PM_ID,0))&amp;"-"&amp;TEXT($C1993,"00"),"?? no such product"))</f>
        <v/>
      </c>
      <c r="B1993" s="5" t="n"/>
      <c r="C1993" s="5" t="n"/>
      <c r="D1993" s="8">
        <f>IF($B1993="","",IFERROR(INDEX(PM_Category,MATCH($B1993,PM_ID,0)),""))</f>
        <v/>
      </c>
      <c r="E1993" s="8">
        <f>IF($B1993="","",IFERROR(INDEX(PM_Subcategory,MATCH($B1993,PM_ID,0)),""))</f>
        <v/>
      </c>
      <c r="F1993" s="8">
        <f>IF($B1993="","",IFERROR(INDEX(PM_Brand,MATCH($B1993,PM_ID,0)),""))</f>
        <v/>
      </c>
      <c r="G1993" s="8">
        <f>IF($B1993="","",IFERROR(INDEX(PM_Model,MATCH($B1993,PM_ID,0)),""))</f>
        <v/>
      </c>
      <c r="H1993" s="5" t="n"/>
      <c r="I1993" s="10" t="n"/>
      <c r="J1993" s="9" t="n"/>
      <c r="K1993" s="5" t="n"/>
      <c r="L1993" s="5" t="n"/>
      <c r="M1993" s="5" t="n"/>
      <c r="N1993" s="5" t="n"/>
      <c r="O1993" s="8">
        <f>IF($B1993="","",IF(AND($A1993&lt;&gt;"",COUNTIF(INV_ID,$A1993)&gt;1),"⚠ this Unit ID already exists",IF(AND($H1993&lt;&gt;"",COUNTIF(INV_Serial,$H1993)&gt;1),"⚠ this serial already exists",IF(COUNTIFS(INV_Product,$B1993,INV_No,$C1993)&gt;1,"⚠ piece number reused",""))))</f>
        <v/>
      </c>
      <c r="P1993" s="5" t="n"/>
    </row>
    <row r="1994">
      <c r="A1994" s="8">
        <f>IF(OR($B1994="",$C1994=""),"",IFERROR(INDEX(PM_Short,MATCH($B1994,PM_ID,0))&amp;"-"&amp;TEXT($C1994,"00"),"?? no such product"))</f>
        <v/>
      </c>
      <c r="B1994" s="5" t="n"/>
      <c r="C1994" s="5" t="n"/>
      <c r="D1994" s="8">
        <f>IF($B1994="","",IFERROR(INDEX(PM_Category,MATCH($B1994,PM_ID,0)),""))</f>
        <v/>
      </c>
      <c r="E1994" s="8">
        <f>IF($B1994="","",IFERROR(INDEX(PM_Subcategory,MATCH($B1994,PM_ID,0)),""))</f>
        <v/>
      </c>
      <c r="F1994" s="8">
        <f>IF($B1994="","",IFERROR(INDEX(PM_Brand,MATCH($B1994,PM_ID,0)),""))</f>
        <v/>
      </c>
      <c r="G1994" s="8">
        <f>IF($B1994="","",IFERROR(INDEX(PM_Model,MATCH($B1994,PM_ID,0)),""))</f>
        <v/>
      </c>
      <c r="H1994" s="5" t="n"/>
      <c r="I1994" s="10" t="n"/>
      <c r="J1994" s="9" t="n"/>
      <c r="K1994" s="5" t="n"/>
      <c r="L1994" s="5" t="n"/>
      <c r="M1994" s="5" t="n"/>
      <c r="N1994" s="5" t="n"/>
      <c r="O1994" s="8">
        <f>IF($B1994="","",IF(AND($A1994&lt;&gt;"",COUNTIF(INV_ID,$A1994)&gt;1),"⚠ this Unit ID already exists",IF(AND($H1994&lt;&gt;"",COUNTIF(INV_Serial,$H1994)&gt;1),"⚠ this serial already exists",IF(COUNTIFS(INV_Product,$B1994,INV_No,$C1994)&gt;1,"⚠ piece number reused",""))))</f>
        <v/>
      </c>
      <c r="P1994" s="5" t="n"/>
    </row>
    <row r="1995">
      <c r="A1995" s="8">
        <f>IF(OR($B1995="",$C1995=""),"",IFERROR(INDEX(PM_Short,MATCH($B1995,PM_ID,0))&amp;"-"&amp;TEXT($C1995,"00"),"?? no such product"))</f>
        <v/>
      </c>
      <c r="B1995" s="5" t="n"/>
      <c r="C1995" s="5" t="n"/>
      <c r="D1995" s="8">
        <f>IF($B1995="","",IFERROR(INDEX(PM_Category,MATCH($B1995,PM_ID,0)),""))</f>
        <v/>
      </c>
      <c r="E1995" s="8">
        <f>IF($B1995="","",IFERROR(INDEX(PM_Subcategory,MATCH($B1995,PM_ID,0)),""))</f>
        <v/>
      </c>
      <c r="F1995" s="8">
        <f>IF($B1995="","",IFERROR(INDEX(PM_Brand,MATCH($B1995,PM_ID,0)),""))</f>
        <v/>
      </c>
      <c r="G1995" s="8">
        <f>IF($B1995="","",IFERROR(INDEX(PM_Model,MATCH($B1995,PM_ID,0)),""))</f>
        <v/>
      </c>
      <c r="H1995" s="5" t="n"/>
      <c r="I1995" s="10" t="n"/>
      <c r="J1995" s="9" t="n"/>
      <c r="K1995" s="5" t="n"/>
      <c r="L1995" s="5" t="n"/>
      <c r="M1995" s="5" t="n"/>
      <c r="N1995" s="5" t="n"/>
      <c r="O1995" s="8">
        <f>IF($B1995="","",IF(AND($A1995&lt;&gt;"",COUNTIF(INV_ID,$A1995)&gt;1),"⚠ this Unit ID already exists",IF(AND($H1995&lt;&gt;"",COUNTIF(INV_Serial,$H1995)&gt;1),"⚠ this serial already exists",IF(COUNTIFS(INV_Product,$B1995,INV_No,$C1995)&gt;1,"⚠ piece number reused",""))))</f>
        <v/>
      </c>
      <c r="P1995" s="5" t="n"/>
    </row>
    <row r="1996">
      <c r="A1996" s="8">
        <f>IF(OR($B1996="",$C1996=""),"",IFERROR(INDEX(PM_Short,MATCH($B1996,PM_ID,0))&amp;"-"&amp;TEXT($C1996,"00"),"?? no such product"))</f>
        <v/>
      </c>
      <c r="B1996" s="5" t="n"/>
      <c r="C1996" s="5" t="n"/>
      <c r="D1996" s="8">
        <f>IF($B1996="","",IFERROR(INDEX(PM_Category,MATCH($B1996,PM_ID,0)),""))</f>
        <v/>
      </c>
      <c r="E1996" s="8">
        <f>IF($B1996="","",IFERROR(INDEX(PM_Subcategory,MATCH($B1996,PM_ID,0)),""))</f>
        <v/>
      </c>
      <c r="F1996" s="8">
        <f>IF($B1996="","",IFERROR(INDEX(PM_Brand,MATCH($B1996,PM_ID,0)),""))</f>
        <v/>
      </c>
      <c r="G1996" s="8">
        <f>IF($B1996="","",IFERROR(INDEX(PM_Model,MATCH($B1996,PM_ID,0)),""))</f>
        <v/>
      </c>
      <c r="H1996" s="5" t="n"/>
      <c r="I1996" s="10" t="n"/>
      <c r="J1996" s="9" t="n"/>
      <c r="K1996" s="5" t="n"/>
      <c r="L1996" s="5" t="n"/>
      <c r="M1996" s="5" t="n"/>
      <c r="N1996" s="5" t="n"/>
      <c r="O1996" s="8">
        <f>IF($B1996="","",IF(AND($A1996&lt;&gt;"",COUNTIF(INV_ID,$A1996)&gt;1),"⚠ this Unit ID already exists",IF(AND($H1996&lt;&gt;"",COUNTIF(INV_Serial,$H1996)&gt;1),"⚠ this serial already exists",IF(COUNTIFS(INV_Product,$B1996,INV_No,$C1996)&gt;1,"⚠ piece number reused",""))))</f>
        <v/>
      </c>
      <c r="P1996" s="5" t="n"/>
    </row>
    <row r="1997">
      <c r="A1997" s="8">
        <f>IF(OR($B1997="",$C1997=""),"",IFERROR(INDEX(PM_Short,MATCH($B1997,PM_ID,0))&amp;"-"&amp;TEXT($C1997,"00"),"?? no such product"))</f>
        <v/>
      </c>
      <c r="B1997" s="5" t="n"/>
      <c r="C1997" s="5" t="n"/>
      <c r="D1997" s="8">
        <f>IF($B1997="","",IFERROR(INDEX(PM_Category,MATCH($B1997,PM_ID,0)),""))</f>
        <v/>
      </c>
      <c r="E1997" s="8">
        <f>IF($B1997="","",IFERROR(INDEX(PM_Subcategory,MATCH($B1997,PM_ID,0)),""))</f>
        <v/>
      </c>
      <c r="F1997" s="8">
        <f>IF($B1997="","",IFERROR(INDEX(PM_Brand,MATCH($B1997,PM_ID,0)),""))</f>
        <v/>
      </c>
      <c r="G1997" s="8">
        <f>IF($B1997="","",IFERROR(INDEX(PM_Model,MATCH($B1997,PM_ID,0)),""))</f>
        <v/>
      </c>
      <c r="H1997" s="5" t="n"/>
      <c r="I1997" s="10" t="n"/>
      <c r="J1997" s="9" t="n"/>
      <c r="K1997" s="5" t="n"/>
      <c r="L1997" s="5" t="n"/>
      <c r="M1997" s="5" t="n"/>
      <c r="N1997" s="5" t="n"/>
      <c r="O1997" s="8">
        <f>IF($B1997="","",IF(AND($A1997&lt;&gt;"",COUNTIF(INV_ID,$A1997)&gt;1),"⚠ this Unit ID already exists",IF(AND($H1997&lt;&gt;"",COUNTIF(INV_Serial,$H1997)&gt;1),"⚠ this serial already exists",IF(COUNTIFS(INV_Product,$B1997,INV_No,$C1997)&gt;1,"⚠ piece number reused",""))))</f>
        <v/>
      </c>
      <c r="P1997" s="5" t="n"/>
    </row>
    <row r="1998">
      <c r="A1998" s="8">
        <f>IF(OR($B1998="",$C1998=""),"",IFERROR(INDEX(PM_Short,MATCH($B1998,PM_ID,0))&amp;"-"&amp;TEXT($C1998,"00"),"?? no such product"))</f>
        <v/>
      </c>
      <c r="B1998" s="5" t="n"/>
      <c r="C1998" s="5" t="n"/>
      <c r="D1998" s="8">
        <f>IF($B1998="","",IFERROR(INDEX(PM_Category,MATCH($B1998,PM_ID,0)),""))</f>
        <v/>
      </c>
      <c r="E1998" s="8">
        <f>IF($B1998="","",IFERROR(INDEX(PM_Subcategory,MATCH($B1998,PM_ID,0)),""))</f>
        <v/>
      </c>
      <c r="F1998" s="8">
        <f>IF($B1998="","",IFERROR(INDEX(PM_Brand,MATCH($B1998,PM_ID,0)),""))</f>
        <v/>
      </c>
      <c r="G1998" s="8">
        <f>IF($B1998="","",IFERROR(INDEX(PM_Model,MATCH($B1998,PM_ID,0)),""))</f>
        <v/>
      </c>
      <c r="H1998" s="5" t="n"/>
      <c r="I1998" s="10" t="n"/>
      <c r="J1998" s="9" t="n"/>
      <c r="K1998" s="5" t="n"/>
      <c r="L1998" s="5" t="n"/>
      <c r="M1998" s="5" t="n"/>
      <c r="N1998" s="5" t="n"/>
      <c r="O1998" s="8">
        <f>IF($B1998="","",IF(AND($A1998&lt;&gt;"",COUNTIF(INV_ID,$A1998)&gt;1),"⚠ this Unit ID already exists",IF(AND($H1998&lt;&gt;"",COUNTIF(INV_Serial,$H1998)&gt;1),"⚠ this serial already exists",IF(COUNTIFS(INV_Product,$B1998,INV_No,$C1998)&gt;1,"⚠ piece number reused",""))))</f>
        <v/>
      </c>
      <c r="P1998" s="5" t="n"/>
    </row>
    <row r="1999">
      <c r="A1999" s="8">
        <f>IF(OR($B1999="",$C1999=""),"",IFERROR(INDEX(PM_Short,MATCH($B1999,PM_ID,0))&amp;"-"&amp;TEXT($C1999,"00"),"?? no such product"))</f>
        <v/>
      </c>
      <c r="B1999" s="5" t="n"/>
      <c r="C1999" s="5" t="n"/>
      <c r="D1999" s="8">
        <f>IF($B1999="","",IFERROR(INDEX(PM_Category,MATCH($B1999,PM_ID,0)),""))</f>
        <v/>
      </c>
      <c r="E1999" s="8">
        <f>IF($B1999="","",IFERROR(INDEX(PM_Subcategory,MATCH($B1999,PM_ID,0)),""))</f>
        <v/>
      </c>
      <c r="F1999" s="8">
        <f>IF($B1999="","",IFERROR(INDEX(PM_Brand,MATCH($B1999,PM_ID,0)),""))</f>
        <v/>
      </c>
      <c r="G1999" s="8">
        <f>IF($B1999="","",IFERROR(INDEX(PM_Model,MATCH($B1999,PM_ID,0)),""))</f>
        <v/>
      </c>
      <c r="H1999" s="5" t="n"/>
      <c r="I1999" s="10" t="n"/>
      <c r="J1999" s="9" t="n"/>
      <c r="K1999" s="5" t="n"/>
      <c r="L1999" s="5" t="n"/>
      <c r="M1999" s="5" t="n"/>
      <c r="N1999" s="5" t="n"/>
      <c r="O1999" s="8">
        <f>IF($B1999="","",IF(AND($A1999&lt;&gt;"",COUNTIF(INV_ID,$A1999)&gt;1),"⚠ this Unit ID already exists",IF(AND($H1999&lt;&gt;"",COUNTIF(INV_Serial,$H1999)&gt;1),"⚠ this serial already exists",IF(COUNTIFS(INV_Product,$B1999,INV_No,$C1999)&gt;1,"⚠ piece number reused",""))))</f>
        <v/>
      </c>
      <c r="P1999" s="5" t="n"/>
    </row>
    <row r="2000">
      <c r="A2000" s="8">
        <f>IF(OR($B2000="",$C2000=""),"",IFERROR(INDEX(PM_Short,MATCH($B2000,PM_ID,0))&amp;"-"&amp;TEXT($C2000,"00"),"?? no such product"))</f>
        <v/>
      </c>
      <c r="B2000" s="5" t="n"/>
      <c r="C2000" s="5" t="n"/>
      <c r="D2000" s="8">
        <f>IF($B2000="","",IFERROR(INDEX(PM_Category,MATCH($B2000,PM_ID,0)),""))</f>
        <v/>
      </c>
      <c r="E2000" s="8">
        <f>IF($B2000="","",IFERROR(INDEX(PM_Subcategory,MATCH($B2000,PM_ID,0)),""))</f>
        <v/>
      </c>
      <c r="F2000" s="8">
        <f>IF($B2000="","",IFERROR(INDEX(PM_Brand,MATCH($B2000,PM_ID,0)),""))</f>
        <v/>
      </c>
      <c r="G2000" s="8">
        <f>IF($B2000="","",IFERROR(INDEX(PM_Model,MATCH($B2000,PM_ID,0)),""))</f>
        <v/>
      </c>
      <c r="H2000" s="5" t="n"/>
      <c r="I2000" s="10" t="n"/>
      <c r="J2000" s="9" t="n"/>
      <c r="K2000" s="5" t="n"/>
      <c r="L2000" s="5" t="n"/>
      <c r="M2000" s="5" t="n"/>
      <c r="N2000" s="5" t="n"/>
      <c r="O2000" s="8">
        <f>IF($B2000="","",IF(AND($A2000&lt;&gt;"",COUNTIF(INV_ID,$A2000)&gt;1),"⚠ this Unit ID already exists",IF(AND($H2000&lt;&gt;"",COUNTIF(INV_Serial,$H2000)&gt;1),"⚠ this serial already exists",IF(COUNTIFS(INV_Product,$B2000,INV_No,$C2000)&gt;1,"⚠ piece number reused",""))))</f>
        <v/>
      </c>
      <c r="P2000" s="5" t="n"/>
    </row>
    <row r="2001">
      <c r="A2001" s="8">
        <f>IF(OR($B2001="",$C2001=""),"",IFERROR(INDEX(PM_Short,MATCH($B2001,PM_ID,0))&amp;"-"&amp;TEXT($C2001,"00"),"?? no such product"))</f>
        <v/>
      </c>
      <c r="B2001" s="5" t="n"/>
      <c r="C2001" s="5" t="n"/>
      <c r="D2001" s="8">
        <f>IF($B2001="","",IFERROR(INDEX(PM_Category,MATCH($B2001,PM_ID,0)),""))</f>
        <v/>
      </c>
      <c r="E2001" s="8">
        <f>IF($B2001="","",IFERROR(INDEX(PM_Subcategory,MATCH($B2001,PM_ID,0)),""))</f>
        <v/>
      </c>
      <c r="F2001" s="8">
        <f>IF($B2001="","",IFERROR(INDEX(PM_Brand,MATCH($B2001,PM_ID,0)),""))</f>
        <v/>
      </c>
      <c r="G2001" s="8">
        <f>IF($B2001="","",IFERROR(INDEX(PM_Model,MATCH($B2001,PM_ID,0)),""))</f>
        <v/>
      </c>
      <c r="H2001" s="5" t="n"/>
      <c r="I2001" s="10" t="n"/>
      <c r="J2001" s="9" t="n"/>
      <c r="K2001" s="5" t="n"/>
      <c r="L2001" s="5" t="n"/>
      <c r="M2001" s="5" t="n"/>
      <c r="N2001" s="5" t="n"/>
      <c r="O2001" s="8">
        <f>IF($B2001="","",IF(AND($A2001&lt;&gt;"",COUNTIF(INV_ID,$A2001)&gt;1),"⚠ this Unit ID already exists",IF(AND($H2001&lt;&gt;"",COUNTIF(INV_Serial,$H2001)&gt;1),"⚠ this serial already exists",IF(COUNTIFS(INV_Product,$B2001,INV_No,$C2001)&gt;1,"⚠ piece number reused",""))))</f>
        <v/>
      </c>
      <c r="P2001" s="5" t="n"/>
    </row>
    <row r="2002">
      <c r="A2002" s="8">
        <f>IF(OR($B2002="",$C2002=""),"",IFERROR(INDEX(PM_Short,MATCH($B2002,PM_ID,0))&amp;"-"&amp;TEXT($C2002,"00"),"?? no such product"))</f>
        <v/>
      </c>
      <c r="B2002" s="5" t="n"/>
      <c r="C2002" s="5" t="n"/>
      <c r="D2002" s="8">
        <f>IF($B2002="","",IFERROR(INDEX(PM_Category,MATCH($B2002,PM_ID,0)),""))</f>
        <v/>
      </c>
      <c r="E2002" s="8">
        <f>IF($B2002="","",IFERROR(INDEX(PM_Subcategory,MATCH($B2002,PM_ID,0)),""))</f>
        <v/>
      </c>
      <c r="F2002" s="8">
        <f>IF($B2002="","",IFERROR(INDEX(PM_Brand,MATCH($B2002,PM_ID,0)),""))</f>
        <v/>
      </c>
      <c r="G2002" s="8">
        <f>IF($B2002="","",IFERROR(INDEX(PM_Model,MATCH($B2002,PM_ID,0)),""))</f>
        <v/>
      </c>
      <c r="H2002" s="5" t="n"/>
      <c r="I2002" s="10" t="n"/>
      <c r="J2002" s="9" t="n"/>
      <c r="K2002" s="5" t="n"/>
      <c r="L2002" s="5" t="n"/>
      <c r="M2002" s="5" t="n"/>
      <c r="N2002" s="5" t="n"/>
      <c r="O2002" s="8">
        <f>IF($B2002="","",IF(AND($A2002&lt;&gt;"",COUNTIF(INV_ID,$A2002)&gt;1),"⚠ this Unit ID already exists",IF(AND($H2002&lt;&gt;"",COUNTIF(INV_Serial,$H2002)&gt;1),"⚠ this serial already exists",IF(COUNTIFS(INV_Product,$B2002,INV_No,$C2002)&gt;1,"⚠ piece number reused",""))))</f>
        <v/>
      </c>
      <c r="P2002" s="5" t="n"/>
    </row>
    <row r="2003">
      <c r="A2003" s="8">
        <f>IF(OR($B2003="",$C2003=""),"",IFERROR(INDEX(PM_Short,MATCH($B2003,PM_ID,0))&amp;"-"&amp;TEXT($C2003,"00"),"?? no such product"))</f>
        <v/>
      </c>
      <c r="B2003" s="5" t="n"/>
      <c r="C2003" s="5" t="n"/>
      <c r="D2003" s="8">
        <f>IF($B2003="","",IFERROR(INDEX(PM_Category,MATCH($B2003,PM_ID,0)),""))</f>
        <v/>
      </c>
      <c r="E2003" s="8">
        <f>IF($B2003="","",IFERROR(INDEX(PM_Subcategory,MATCH($B2003,PM_ID,0)),""))</f>
        <v/>
      </c>
      <c r="F2003" s="8">
        <f>IF($B2003="","",IFERROR(INDEX(PM_Brand,MATCH($B2003,PM_ID,0)),""))</f>
        <v/>
      </c>
      <c r="G2003" s="8">
        <f>IF($B2003="","",IFERROR(INDEX(PM_Model,MATCH($B2003,PM_ID,0)),""))</f>
        <v/>
      </c>
      <c r="H2003" s="5" t="n"/>
      <c r="I2003" s="10" t="n"/>
      <c r="J2003" s="9" t="n"/>
      <c r="K2003" s="5" t="n"/>
      <c r="L2003" s="5" t="n"/>
      <c r="M2003" s="5" t="n"/>
      <c r="N2003" s="5" t="n"/>
      <c r="O2003" s="8">
        <f>IF($B2003="","",IF(AND($A2003&lt;&gt;"",COUNTIF(INV_ID,$A2003)&gt;1),"⚠ this Unit ID already exists",IF(AND($H2003&lt;&gt;"",COUNTIF(INV_Serial,$H2003)&gt;1),"⚠ this serial already exists",IF(COUNTIFS(INV_Product,$B2003,INV_No,$C2003)&gt;1,"⚠ piece number reused",""))))</f>
        <v/>
      </c>
      <c r="P2003" s="5" t="n"/>
    </row>
    <row r="2004"/>
    <row r="2005">
      <c r="A2005" s="3" t="inlineStr">
        <is>
          <t>Unit ID is built for you from the product's short code and the piece number, so it cannot drift from PRODUCT MASTER and cannot be mistyped. Put that exact string on the case.</t>
        </is>
      </c>
    </row>
    <row r="2006">
      <c r="A2006" s="3" t="inlineStr">
        <is>
          <t>Duplicate? catches three different mistakes: the same Unit ID twice, the same serial number twice, and the same piece number used twice for one product. Any of them turns the whole row red.</t>
        </is>
      </c>
    </row>
    <row r="2007">
      <c r="A2007" s="3" t="inlineStr">
        <is>
          <t>Piece numbers are never reused. If piece 3 is lost, the replacement is the next free number — so this row's history stays attached to the box it actually happened to.</t>
        </is>
      </c>
    </row>
  </sheetData>
  <conditionalFormatting sqref="A4:P2003">
    <cfRule type="expression" priority="1" dxfId="0" stopIfTrue="0">
      <formula>$O4&lt;&gt;""</formula>
    </cfRule>
    <cfRule type="expression" priority="2" dxfId="2" stopIfTrue="0">
      <formula>AND($B4&lt;&gt;"",$L4="Available")</formula>
    </cfRule>
    <cfRule type="expression" priority="3" dxfId="1" stopIfTrue="0">
      <formula>OR($L4="In repair",$L4="Damaged")</formula>
    </cfRule>
    <cfRule type="expression" priority="4" dxfId="3" stopIfTrue="0">
      <formula>OR($L4="Lost",$L4="Retired")</formula>
    </cfRule>
  </conditionalFormatting>
  <dataValidations count="4">
    <dataValidation sqref="K4:K2003" showDropDown="0" showInputMessage="0" showErrorMessage="1" allowBlank="1" errorTitle="Pick from the list" error="Not on the list. Add it on the DROPDOWNS sheet and it will appear here." type="list">
      <formula1>=DD_Condition</formula1>
    </dataValidation>
    <dataValidation sqref="L4:L2003" showDropDown="0" showInputMessage="0" showErrorMessage="1" allowBlank="1" errorTitle="Pick from the list" error="Not on the list. Add it on the DROPDOWNS sheet and it will appear here." type="list">
      <formula1>=DD_Status</formula1>
    </dataValidation>
    <dataValidation sqref="M4:M2003" showDropDown="0" showInputMessage="0" showErrorMessage="1" allowBlank="1" errorTitle="Pick from the list" error="Not on the list. Add it on the DROPDOWNS sheet and it will appear here." type="list">
      <formula1>=DD_Location</formula1>
    </dataValidation>
    <dataValidation sqref="N4:N2003" showDropDown="0" showInputMessage="0" showErrorMessage="1" allowBlank="1" errorTitle="Pick from the list" error="Not on the list. Add it on the DROPDOWNS sheet and it will appear here." type="list">
      <formula1>=DD_Ownership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2026-09-04T15:03:00Z</dcterms:created>
  <dcterms:modified xmlns:dcterms="http://purl.org/dc/terms/" xmlns:xsi="http://www.w3.org/2001/XMLSchema-instance" xsi:type="dcterms:W3CDTF">2026-09-04T15:03:02Z</dcterms:modified>
</cp:coreProperties>
</file>